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 2027" sheetId="1" r:id="rId5"/>
    <sheet state="visible" name="Instruções" sheetId="2" r:id="rId6"/>
    <sheet state="visible" name="Listas" sheetId="3" r:id="rId7"/>
  </sheets>
  <definedNames>
    <definedName hidden="1" localSheetId="0" name="_xlnm._FilterDatabase">'PLAC 2027'!$A$6:$AO$67</definedName>
  </definedNames>
  <calcPr/>
</workbook>
</file>

<file path=xl/sharedStrings.xml><?xml version="1.0" encoding="utf-8"?>
<sst xmlns="http://schemas.openxmlformats.org/spreadsheetml/2006/main" count="196" uniqueCount="185">
  <si>
    <t>COMO PREENCHER O LEVANTAMENTO DE NECESSIDADES DO PLAC 2027</t>
  </si>
  <si>
    <t>LISTAS AUXILIARES — não alterar sem comunicar a GCC</t>
  </si>
  <si>
    <t>PLANO ANUAL DE CONTRATAÇÕES — PLAC 2027</t>
  </si>
  <si>
    <t>Antes de começar</t>
  </si>
  <si>
    <t>Diretoria</t>
  </si>
  <si>
    <t>Levantamento das necessidades de contratação — Diretriz nº ___/2026, Anexo I</t>
  </si>
  <si>
    <t>Gerência</t>
  </si>
  <si>
    <t>Objetivos Estratégicos do PEI</t>
  </si>
  <si>
    <t>Natureza</t>
  </si>
  <si>
    <t>Tipo do objeto</t>
  </si>
  <si>
    <t>Orçamento</t>
  </si>
  <si>
    <t>1. Prazo de preenchimento</t>
  </si>
  <si>
    <t>Sim / Não</t>
  </si>
  <si>
    <t>Forma de contratação</t>
  </si>
  <si>
    <t>Preencha uma linha por necessidade. Campos com * são obrigatórios. Células cinza são calculadas automaticamente — não preencher. Consulte a aba "Instruções".</t>
  </si>
  <si>
    <t>Observe a data de encerramento do registro fixada no Cronograma Operacional divulgado pela GCC.</t>
  </si>
  <si>
    <t>Prazo até a assinatura (dias úteis) — Anexo III</t>
  </si>
  <si>
    <t>Notas dos fatores</t>
  </si>
  <si>
    <t>Feriados (conferir anualmente)</t>
  </si>
  <si>
    <t>2. Uma linha por necessidade</t>
  </si>
  <si>
    <t>1000 - Presidência</t>
  </si>
  <si>
    <t>Não agrupe objetos diferentes na mesma linha. A agregação de demandas de mesma natureza é feita pela GCC.</t>
  </si>
  <si>
    <t>3. Campos obrigatórios</t>
  </si>
  <si>
    <t>Estão marcados com asterisco (*) no cabeçalho. Registro incompleto é devolvido para complementação.</t>
  </si>
  <si>
    <t>4. Não preencha as células cinza</t>
  </si>
  <si>
    <t>110 - CONSELHO DE ADMINISTRAÇÃO</t>
  </si>
  <si>
    <t>Totais →</t>
  </si>
  <si>
    <t>São calculadas automaticamente. As células verdes são de uso exclusivo da GCC.</t>
  </si>
  <si>
    <t>1. Fortalecer uma cultura de agilidade e engajamento, com a valorização dos talentos para sustentar os conhecimentos e as competências organizacionais</t>
  </si>
  <si>
    <t>5. Apague a linha de exemplo</t>
  </si>
  <si>
    <t>Nova contratação</t>
  </si>
  <si>
    <t>A linha em amarelo é demonstrativa e deve ser excluída antes do envio.</t>
  </si>
  <si>
    <t>Bem</t>
  </si>
  <si>
    <t>OI - Orçamento de Investimento</t>
  </si>
  <si>
    <t>Não</t>
  </si>
  <si>
    <t>Legenda de cores</t>
  </si>
  <si>
    <t>Pregão eletrônico</t>
  </si>
  <si>
    <t>Branco</t>
  </si>
  <si>
    <t>Campo de preenchimento pela área demandante.</t>
  </si>
  <si>
    <t>Cinza</t>
  </si>
  <si>
    <t>Campo calculado automaticamente pela planilha.</t>
  </si>
  <si>
    <t>Verde</t>
  </si>
  <si>
    <t>Campo de uso exclusivo da GCC.</t>
  </si>
  <si>
    <t>Amarelo</t>
  </si>
  <si>
    <t>Linha de exemplo, a ser excluída.</t>
  </si>
  <si>
    <t>2000 - Diretoria Administrativo-Financeira</t>
  </si>
  <si>
    <t>Vermelho na coluna de alerta</t>
  </si>
  <si>
    <t>111 - GERÊNCIA DE AUDITORIA INTERNA</t>
  </si>
  <si>
    <t>A data-limite de envio recai antes de 2027: a instrução deve ser antecipada ou a data pretendida ajustada.</t>
  </si>
  <si>
    <t>2. Otimizar a estrutura organizacional e os processos empresariais, visando efetividade, qualidade e aderência às boas práticas ambientais, sociais e de governança</t>
  </si>
  <si>
    <t>Prorrogação</t>
  </si>
  <si>
    <t>Serviço</t>
  </si>
  <si>
    <t>Como a planilha calcula</t>
  </si>
  <si>
    <t>PDG - Programa de Dispêndios Globais</t>
  </si>
  <si>
    <t>Sim</t>
  </si>
  <si>
    <t>Data-limite de envio à GCC</t>
  </si>
  <si>
    <t>Dispensa tradicional</t>
  </si>
  <si>
    <t>Data pretendida de assinatura menos o prazo de processamento da forma de contratação escolhida, contado em dias úteis e descontados os feriados (Anexo III, item 5).</t>
  </si>
  <si>
    <t>Pontuação</t>
  </si>
  <si>
    <t>(F1 × 30) + (F2 × 30) + (F3 × 25) + (F4 × 15), conforme o Anexo II, item 4.</t>
  </si>
  <si>
    <t>3000 - Diretoria Técnico-Operacional</t>
  </si>
  <si>
    <t>112 - OUVIDORIA</t>
  </si>
  <si>
    <t>Grau de prioridade</t>
  </si>
  <si>
    <t>3. Promover inovação, com soluções avançadas e adaptáveis às exigências de um mercado dinâmico</t>
  </si>
  <si>
    <t>Alto de 380 a 500; Médio de 240 a 379; Baixo de 100 a 239. A classificação é elevada a Alto quando F3 = 5, ou quando F2 = 5 e F1 for 3 ou 5; e nunca será Baixo quando F2 = 5 (Anexo II, itens 5 a 7).</t>
  </si>
  <si>
    <t>Renovação</t>
  </si>
  <si>
    <t>Serviço de engenharia</t>
  </si>
  <si>
    <t>Como atribuir as notas dos fatores (Anexo II)</t>
  </si>
  <si>
    <t>Não previsto</t>
  </si>
  <si>
    <t>Dispensa tradicional de baixo valor</t>
  </si>
  <si>
    <t>F1 — Criticidade para a atividade-fim</t>
  </si>
  <si>
    <t>5: indispensável à operação da rede ou à prestação dos serviços. 3: apoio relevante à atividade-fim ou a projeto institucional. 1: objeto administrativo ou de suporte.</t>
  </si>
  <si>
    <t>4000 - Diretoria Comercial</t>
  </si>
  <si>
    <t>F2 — Risco de descontinuidade</t>
  </si>
  <si>
    <t>120 - CONSELHO FISCAL</t>
  </si>
  <si>
    <t>5: contrato expira em 2027 sem prorrogação, ou esgotamento previsto de estoque ou capacidade. 3: há contrato prorrogável ou alternativa temporária. 1: contratação nova ou ampliação.</t>
  </si>
  <si>
    <t>4. Aprimorar continuamente a satisfação dos clientes, fornecendo soluções ágeis de alta qualidade que atendam às suas necessidades</t>
  </si>
  <si>
    <t>Solução de TIC</t>
  </si>
  <si>
    <t>F3 — Obrigação legal, regulatória ou contratual</t>
  </si>
  <si>
    <t>5: obrigação com prazo definido em 2027, inclusive determinação de órgão de controle. 3: obrigação sem prazo fatal ou recomendação de controle. 1: contratação discricionária.</t>
  </si>
  <si>
    <t>Dispensa de baixo valor - eletrônica</t>
  </si>
  <si>
    <t>F4 — Materialidade</t>
  </si>
  <si>
    <t>5: entre os 10% maiores valores do PLAC. 3: entre os 40% seguintes. 1: entre os 50% menores. Na dúvida, informe 3; a GCC confirma na consolidação.</t>
  </si>
  <si>
    <t>5000 - Diretoria de Governança</t>
  </si>
  <si>
    <t>1100 - GABINETE DA PRESIDENCIA</t>
  </si>
  <si>
    <t>Observações finais</t>
  </si>
  <si>
    <t>5. Executar as Políticas Públicas de Inclusão e Transformação Digital, assegurando a Conectividade Significativa à Internet</t>
  </si>
  <si>
    <t>Inexigibilidade</t>
  </si>
  <si>
    <t>Sigilo</t>
  </si>
  <si>
    <t>Se a necessidade envolver informação sigilosa, comercial, industrial ou estratégica, marque "Sim" e indique o fundamento. O item não será divulgado.</t>
  </si>
  <si>
    <t>1200 - GERÊNCIA JURIDICA</t>
  </si>
  <si>
    <t>Prorrogações</t>
  </si>
  <si>
    <t>Informe obrigatoriamente o número do contrato e do processo. Prorrogação também é contratação e integra o PLAC.</t>
  </si>
  <si>
    <t>6. Prover soluções robustas e resilientes para a segurança das infraestruturas governamentais</t>
  </si>
  <si>
    <t>Planilha protegida</t>
  </si>
  <si>
    <t>Inexigibilidade - contratação de cursos</t>
  </si>
  <si>
    <t>A proteção não tem senha e serve apenas para evitar alteração acidental das fórmulas. Em caso de dúvida, procure a GCC.</t>
  </si>
  <si>
    <t>1300 - UNIDADE CORRECIONAL</t>
  </si>
  <si>
    <t>7. Assegurar a sustentabilidade econômico-financeira, por meio de uma gestão eficiente dos recursos e da diversificação de receitas</t>
  </si>
  <si>
    <t>Dispensa - contratos de locação</t>
  </si>
  <si>
    <t>2100 - ASSESSORIA DE RELAÇÕES COM INVESTIDORES</t>
  </si>
  <si>
    <t>Dispensa - energia elétrica</t>
  </si>
  <si>
    <t>2200 - GERÊNCIA DE LOGÍSTICA</t>
  </si>
  <si>
    <t>Inexigibilidade - compartilhamento de infraestrutura</t>
  </si>
  <si>
    <t>2300 - GERÊNCIA FINANCEIRA E ORCAMENTARIA</t>
  </si>
  <si>
    <t>Afastamento das regras de licitação (art. 117 do RELIC)</t>
  </si>
  <si>
    <t>2400 - GERÊNCIA DE CONTABILIDADE</t>
  </si>
  <si>
    <t>2500 - GERÊNCIA DE GESTÃO DE PESSOAS</t>
  </si>
  <si>
    <t>2600 - GERÊNCIA DE COMPRAS E CONTRATOS</t>
  </si>
  <si>
    <t>3100 - GERÊNCIA DE PROJ. ESPECIAIS E INOVAÇÃO</t>
  </si>
  <si>
    <t>3200 - GERÊNCIA DE PLANEJAMENTO TÉCNICO E CONTROLE</t>
  </si>
  <si>
    <t>Bloco 1 — Identificação</t>
  </si>
  <si>
    <t>3300 - GERÊNCIA DE ENGENHARIA DE CLIENTES</t>
  </si>
  <si>
    <t>3400 - GERÊNCIA DE ENGENHARIA DE REDES E PLATAFORMAS</t>
  </si>
  <si>
    <t>3500 - GERÊNCIA DE OPERAÇÃO DE REDES E SERVIÇOS</t>
  </si>
  <si>
    <t>3600 - GERÊNCIA DE MANUTENÇÃO DA PLANTA</t>
  </si>
  <si>
    <t>3700 - GERÊNCIA DE TECNOLOGIA DA INFORMACÃO</t>
  </si>
  <si>
    <t>3810 - GERÊNCIA DE TECNOLOGIA E SOLUCÕES SATELITAIS</t>
  </si>
  <si>
    <t>3820 - GERÊNCIA DE ENGENHARIA E OPERACÃO DE SATÉLITES</t>
  </si>
  <si>
    <t>4500 - GERÊNCIA DE RELAC OPERADORAS E PARCEIROS</t>
  </si>
  <si>
    <t>4600 - GERÊNCIA DE OPERAÇÕES COMERCIAIS</t>
  </si>
  <si>
    <t>4710 - ESCRITÓRIO REGIONAL FORTALEZA</t>
  </si>
  <si>
    <t>Bloco 2 — Objeto</t>
  </si>
  <si>
    <t>4740 - ESCRITÓRIO REGIONAL BELEM</t>
  </si>
  <si>
    <t>4750 - ESCRITÓRIO REGIONAL SÃO PAULO</t>
  </si>
  <si>
    <t>4761 - ESCRITÓRIO REGIONAL RIO DE JANEIRO</t>
  </si>
  <si>
    <t>4770 - ESCRITÓRIO REGIONAL PORTO ALEGRE</t>
  </si>
  <si>
    <t>4800 - GERÊNCIA DE PLANEJAMENTO E MARKETING</t>
  </si>
  <si>
    <t>4900 - GERÊNCIA DE INCLUSÃO DIGITAL</t>
  </si>
  <si>
    <t>4910 - GERÊNCIA DE NOVOS NEGÓCIOS</t>
  </si>
  <si>
    <t>Bloco 3 — Vinculações</t>
  </si>
  <si>
    <t>5100 - GERÊNCIA DE INTEGRIDADE, RISCOS, CONFORMIDADE E CONTROLE INTERNO</t>
  </si>
  <si>
    <t>5200 - GERÊNCIA DE GESTÃO EMPRESARIAL</t>
  </si>
  <si>
    <t>Bloco 4 — Valores</t>
  </si>
  <si>
    <t>Bloco 5 — Prazos e priorização</t>
  </si>
  <si>
    <t>Bloco 6 — Uso da GCC</t>
  </si>
  <si>
    <t>Nº do item</t>
  </si>
  <si>
    <t>Diretoria *</t>
  </si>
  <si>
    <t>Gerência demandante *</t>
  </si>
  <si>
    <t>Responsável pelo registro *</t>
  </si>
  <si>
    <t>E-mail do responsável *</t>
  </si>
  <si>
    <t>Natureza *</t>
  </si>
  <si>
    <t>Objeto *</t>
  </si>
  <si>
    <t>Tipo do objeto *</t>
  </si>
  <si>
    <t>CATMAT / CATSER *</t>
  </si>
  <si>
    <t>Quantidade *</t>
  </si>
  <si>
    <t>Unidade *</t>
  </si>
  <si>
    <t>Justificativa da necessidade *</t>
  </si>
  <si>
    <t>Objetivo estratégico do PEI *</t>
  </si>
  <si>
    <t>Contrato vigente (nº e processo)</t>
  </si>
  <si>
    <t>Depende do item nº</t>
  </si>
  <si>
    <t>Projeto ou política pública</t>
  </si>
  <si>
    <t>Sujeito a sigilo *</t>
  </si>
  <si>
    <t>Fundamento do sigilo</t>
  </si>
  <si>
    <t>Orçamento *</t>
  </si>
  <si>
    <t>Valor estimado 2027 (R$) *</t>
  </si>
  <si>
    <t>Valor estimado 2028 (R$)</t>
  </si>
  <si>
    <t>Valor estimado 2029 (R$)</t>
  </si>
  <si>
    <t>Valor estimado 2030 (R$)</t>
  </si>
  <si>
    <t>Valor estimado 2031 (R$)</t>
  </si>
  <si>
    <t>Valor total estimado (R$)</t>
  </si>
  <si>
    <t>Fonte da estimativa *</t>
  </si>
  <si>
    <t>Forma de contratação pretendida *</t>
  </si>
  <si>
    <t>Data pretendida de assinatura *</t>
  </si>
  <si>
    <t>Prazo até a assinatura (dias úteis)</t>
  </si>
  <si>
    <t>F1 Criticidade *</t>
  </si>
  <si>
    <t>F2 Descontinuidade *</t>
  </si>
  <si>
    <t>F3 Obrigação legal *</t>
  </si>
  <si>
    <t>F4 Materialidade *</t>
  </si>
  <si>
    <t>Justificativa das notas *</t>
  </si>
  <si>
    <t>Alerta de antecipação</t>
  </si>
  <si>
    <t>Situação da análise</t>
  </si>
  <si>
    <t>Agregado ao item nº</t>
  </si>
  <si>
    <t>Observações da GCC</t>
  </si>
  <si>
    <t>EXEMPLO</t>
  </si>
  <si>
    <t>Maria Souza</t>
  </si>
  <si>
    <t>maria.souza@telebras.com.br</t>
  </si>
  <si>
    <t>Manutenção preventiva e corretiva de grupos geradores das estações terrenas</t>
  </si>
  <si>
    <t>CATSER 3220</t>
  </si>
  <si>
    <t>Serviço anual</t>
  </si>
  <si>
    <t>Contrato vigente encerra em 31/08/2027. A ausência de manutenção compromete o fornecimento de energia de retaguarda das estações, com risco de interrupção do serviço.</t>
  </si>
  <si>
    <t>Contrato 45/2023 — Processo 0001/2023</t>
  </si>
  <si>
    <t>Programa de continuidade operacional</t>
  </si>
  <si>
    <t>Contrato vigente reajustado pelo IPCA</t>
  </si>
  <si>
    <t>F1: energia de retaguarda das estações terrenas. F2: contrato expira sem possibilidade de prorrogação. F3: obrigação contratual sem prazo fatal. F4: valor na faixa intermediária.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</si>
</sst>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 &quot;#,##0.00"/>
  </numFmts>
  <fonts count="14">
    <font>
      <sz val="11.0"/>
      <color theme="1"/>
      <name val="Calibri"/>
      <scheme val="minor"/>
    </font>
    <font>
      <b/>
      <sz val="15.0"/>
      <color rgb="FF1F3864"/>
      <name val="Arial"/>
    </font>
    <font>
      <b/>
      <sz val="12.0"/>
      <color rgb="FF1F3864"/>
      <name val="Arial"/>
    </font>
    <font>
      <b/>
      <sz val="16.0"/>
      <color rgb="FF1F3864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i/>
      <sz val="10.0"/>
      <color rgb="FF7F7F7F"/>
      <name val="Arial"/>
    </font>
    <font>
      <sz val="10.0"/>
      <color theme="1"/>
      <name val="Arial"/>
    </font>
    <font>
      <b/>
      <sz val="10.0"/>
      <color rgb="FF1F3864"/>
      <name val="Arial"/>
    </font>
    <font/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6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2" fillId="3" fontId="11" numFmtId="0" xfId="0" applyAlignment="1" applyBorder="1" applyFill="1" applyFont="1">
      <alignment horizontal="center" shrinkToFit="0" vertical="center" wrapText="0"/>
    </xf>
    <xf borderId="3" fillId="0" fontId="12" numFmtId="0" xfId="0" applyBorder="1" applyFont="1"/>
    <xf borderId="4" fillId="0" fontId="12" numFmtId="0" xfId="0" applyBorder="1" applyFont="1"/>
    <xf borderId="5" fillId="2" fontId="5" numFmtId="0" xfId="0" applyAlignment="1" applyBorder="1" applyFill="1" applyFont="1">
      <alignment horizontal="center" shrinkToFit="0" vertical="center" wrapText="1"/>
    </xf>
    <xf borderId="5" fillId="4" fontId="13" numFmtId="0" xfId="0" applyAlignment="1" applyBorder="1" applyFill="1" applyFont="1">
      <alignment shrinkToFit="0" vertical="top" wrapText="1"/>
    </xf>
    <xf borderId="5" fillId="5" fontId="13" numFmtId="0" xfId="0" applyAlignment="1" applyBorder="1" applyFill="1" applyFont="1">
      <alignment shrinkToFit="0" vertical="top" wrapText="1"/>
    </xf>
    <xf borderId="5" fillId="5" fontId="13" numFmtId="0" xfId="0" applyAlignment="1" applyBorder="1" applyFill="1" applyFont="1">
      <alignment horizontal="center" shrinkToFit="0" vertical="top" wrapText="0"/>
    </xf>
    <xf borderId="5" fillId="5" fontId="13" numFmtId="165" xfId="0" applyAlignment="1" applyBorder="1" applyFill="1" applyFont="1" applyNumberFormat="1">
      <alignment shrinkToFit="0" vertical="top" wrapText="1"/>
    </xf>
    <xf borderId="5" fillId="4" fontId="13" numFmtId="165" xfId="0" applyAlignment="1" applyBorder="1" applyFill="1" applyFont="1" applyNumberFormat="1">
      <alignment shrinkToFit="0" vertical="top" wrapText="1"/>
    </xf>
    <xf borderId="5" fillId="5" fontId="13" numFmtId="164" xfId="0" applyAlignment="1" applyBorder="1" applyFill="1" applyFont="1" applyNumberFormat="1">
      <alignment shrinkToFit="0" vertical="top" wrapText="1"/>
    </xf>
    <xf borderId="5" fillId="4" fontId="13" numFmtId="164" xfId="0" applyAlignment="1" applyBorder="1" applyFill="1" applyFont="1" applyNumberFormat="1">
      <alignment shrinkToFit="0" vertical="top" wrapText="1"/>
    </xf>
    <xf borderId="5" fillId="4" fontId="10" numFmtId="0" xfId="0" applyAlignment="1" applyBorder="1" applyFill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horizontal="center" shrinkToFit="0" vertical="top" wrapText="0"/>
    </xf>
    <xf borderId="5" fillId="0" fontId="10" numFmtId="165" xfId="0" applyAlignment="1" applyBorder="1" applyFont="1" applyNumberFormat="1">
      <alignment shrinkToFit="0" vertical="top" wrapText="1"/>
    </xf>
    <xf borderId="5" fillId="4" fontId="10" numFmtId="165" xfId="0" applyAlignment="1" applyBorder="1" applyFill="1" applyFont="1" applyNumberFormat="1">
      <alignment shrinkToFit="0" vertical="top" wrapText="1"/>
    </xf>
    <xf borderId="5" fillId="0" fontId="10" numFmtId="164" xfId="0" applyAlignment="1" applyBorder="1" applyFont="1" applyNumberFormat="1">
      <alignment shrinkToFit="0" vertical="top" wrapText="1"/>
    </xf>
    <xf borderId="5" fillId="4" fontId="10" numFmtId="164" xfId="0" applyAlignment="1" applyBorder="1" applyFill="1" applyFont="1" applyNumberFormat="1">
      <alignment shrinkToFit="0" vertical="top" wrapText="1"/>
    </xf>
    <xf borderId="5" fillId="6" fontId="10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FC7CE"/>
          <bgColor rgb="FFFFC7CE"/>
        </patternFill>
      </fill>
      <border/>
    </dxf>
    <dxf>
      <font>
        <b/>
        <sz val="10.0"/>
        <name val="Arial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8.0"/>
    <col customWidth="1" min="2" max="2" width="32.43"/>
    <col customWidth="1" min="3" max="3" width="37.43"/>
    <col customWidth="1" min="4" max="4" width="20.14"/>
    <col customWidth="1" min="5" max="5" width="26.0"/>
    <col customWidth="1" min="6" max="6" width="13.29"/>
    <col customWidth="1" min="7" max="7" width="39.29"/>
    <col customWidth="1" min="8" max="8" width="17.14"/>
    <col customWidth="1" min="9" max="9" width="13.43"/>
    <col customWidth="1" min="10" max="10" width="11.14"/>
    <col customWidth="1" min="11" max="11" width="12.71"/>
    <col customWidth="1" min="12" max="12" width="50.0"/>
    <col customWidth="1" min="13" max="13" width="42.0"/>
    <col customWidth="1" min="14" max="14" width="28.0"/>
    <col customWidth="1" min="15" max="15" width="14.0"/>
    <col customWidth="1" min="16" max="16" width="26.0"/>
    <col customWidth="1" min="17" max="17" width="14.0"/>
    <col customWidth="1" min="18" max="18" width="26.0"/>
    <col customWidth="1" min="19" max="19" width="30.0"/>
    <col customWidth="1" min="20" max="24" width="18.0"/>
    <col customWidth="1" min="25" max="25" width="20.0"/>
    <col customWidth="1" min="26" max="26" width="28.0"/>
    <col customWidth="1" min="27" max="27" width="29.57"/>
    <col customWidth="1" min="28" max="28" width="16.43"/>
    <col customWidth="1" min="29" max="29" width="14.0"/>
    <col customWidth="1" min="30" max="30" width="16.43"/>
    <col customWidth="1" min="31" max="31" width="11.57"/>
    <col customWidth="1" min="32" max="32" width="12.0"/>
    <col customWidth="1" min="33" max="33" width="11.14"/>
    <col customWidth="1" min="34" max="34" width="11.71"/>
    <col customWidth="1" min="35" max="35" width="38.71"/>
    <col customWidth="1" min="36" max="36" width="11.57"/>
    <col customWidth="1" min="37" max="37" width="13.29"/>
    <col customWidth="1" min="38" max="38" width="23.71"/>
    <col customWidth="1" min="39" max="39" width="22.14"/>
    <col customWidth="1" min="40" max="40" width="15.57"/>
    <col customWidth="1" min="41" max="41" width="23.43"/>
  </cols>
  <sheetData>
    <row r="1">
      <c r="A1" s="3" t="s">
        <v>2</v>
      </c>
    </row>
    <row r="2">
      <c r="A2" s="6" t="s">
        <v>5</v>
      </c>
    </row>
    <row r="3">
      <c r="A3" s="9" t="s">
        <v>14</v>
      </c>
    </row>
    <row r="4">
      <c r="S4" s="12" t="s">
        <v>26</v>
      </c>
      <c r="T4" s="14">
        <f t="shared" ref="T4:Y4" si="1">SUM(T8:T67)</f>
        <v>0</v>
      </c>
      <c r="U4" s="14">
        <f t="shared" si="1"/>
        <v>0</v>
      </c>
      <c r="V4" s="14">
        <f t="shared" si="1"/>
        <v>0</v>
      </c>
      <c r="W4" s="14">
        <f t="shared" si="1"/>
        <v>0</v>
      </c>
      <c r="X4" s="14">
        <f t="shared" si="1"/>
        <v>0</v>
      </c>
      <c r="Y4" s="14">
        <f t="shared" si="1"/>
        <v>0</v>
      </c>
    </row>
    <row r="5">
      <c r="A5" s="15" t="s">
        <v>111</v>
      </c>
      <c r="B5" s="16"/>
      <c r="C5" s="16"/>
      <c r="D5" s="16"/>
      <c r="E5" s="16"/>
      <c r="F5" s="17"/>
      <c r="G5" s="15" t="s">
        <v>122</v>
      </c>
      <c r="H5" s="16"/>
      <c r="I5" s="16"/>
      <c r="J5" s="16"/>
      <c r="K5" s="16"/>
      <c r="L5" s="16"/>
      <c r="M5" s="17"/>
      <c r="N5" s="15" t="s">
        <v>130</v>
      </c>
      <c r="O5" s="16"/>
      <c r="P5" s="16"/>
      <c r="Q5" s="16"/>
      <c r="R5" s="17"/>
      <c r="S5" s="15" t="s">
        <v>133</v>
      </c>
      <c r="T5" s="16"/>
      <c r="U5" s="16"/>
      <c r="V5" s="16"/>
      <c r="W5" s="16"/>
      <c r="X5" s="16"/>
      <c r="Y5" s="16"/>
      <c r="Z5" s="17"/>
      <c r="AA5" s="15" t="s">
        <v>134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7"/>
      <c r="AM5" s="15" t="s">
        <v>135</v>
      </c>
      <c r="AN5" s="16"/>
      <c r="AO5" s="17"/>
    </row>
    <row r="6" ht="45.75" customHeight="1">
      <c r="A6" s="18" t="s">
        <v>136</v>
      </c>
      <c r="B6" s="18" t="s">
        <v>137</v>
      </c>
      <c r="C6" s="18" t="s">
        <v>138</v>
      </c>
      <c r="D6" s="18" t="s">
        <v>139</v>
      </c>
      <c r="E6" s="18" t="s">
        <v>140</v>
      </c>
      <c r="F6" s="18" t="s">
        <v>141</v>
      </c>
      <c r="G6" s="18" t="s">
        <v>142</v>
      </c>
      <c r="H6" s="18" t="s">
        <v>143</v>
      </c>
      <c r="I6" s="18" t="s">
        <v>144</v>
      </c>
      <c r="J6" s="18" t="s">
        <v>145</v>
      </c>
      <c r="K6" s="18" t="s">
        <v>146</v>
      </c>
      <c r="L6" s="18" t="s">
        <v>147</v>
      </c>
      <c r="M6" s="18" t="s">
        <v>148</v>
      </c>
      <c r="N6" s="18" t="s">
        <v>149</v>
      </c>
      <c r="O6" s="18" t="s">
        <v>150</v>
      </c>
      <c r="P6" s="18" t="s">
        <v>151</v>
      </c>
      <c r="Q6" s="18" t="s">
        <v>152</v>
      </c>
      <c r="R6" s="18" t="s">
        <v>153</v>
      </c>
      <c r="S6" s="18" t="s">
        <v>154</v>
      </c>
      <c r="T6" s="18" t="s">
        <v>155</v>
      </c>
      <c r="U6" s="18" t="s">
        <v>156</v>
      </c>
      <c r="V6" s="18" t="s">
        <v>157</v>
      </c>
      <c r="W6" s="18" t="s">
        <v>158</v>
      </c>
      <c r="X6" s="18" t="s">
        <v>159</v>
      </c>
      <c r="Y6" s="18" t="s">
        <v>160</v>
      </c>
      <c r="Z6" s="18" t="s">
        <v>161</v>
      </c>
      <c r="AA6" s="18" t="s">
        <v>162</v>
      </c>
      <c r="AB6" s="18" t="s">
        <v>163</v>
      </c>
      <c r="AC6" s="18" t="s">
        <v>164</v>
      </c>
      <c r="AD6" s="18" t="s">
        <v>55</v>
      </c>
      <c r="AE6" s="18" t="s">
        <v>165</v>
      </c>
      <c r="AF6" s="18" t="s">
        <v>166</v>
      </c>
      <c r="AG6" s="18" t="s">
        <v>167</v>
      </c>
      <c r="AH6" s="18" t="s">
        <v>168</v>
      </c>
      <c r="AI6" s="18" t="s">
        <v>169</v>
      </c>
      <c r="AJ6" s="18" t="s">
        <v>58</v>
      </c>
      <c r="AK6" s="18" t="s">
        <v>62</v>
      </c>
      <c r="AL6" s="18" t="s">
        <v>170</v>
      </c>
      <c r="AM6" s="18" t="s">
        <v>171</v>
      </c>
      <c r="AN6" s="18" t="s">
        <v>172</v>
      </c>
      <c r="AO6" s="18" t="s">
        <v>173</v>
      </c>
    </row>
    <row r="7">
      <c r="A7" s="19" t="s">
        <v>174</v>
      </c>
      <c r="B7" s="20" t="s">
        <v>60</v>
      </c>
      <c r="C7" s="20" t="s">
        <v>115</v>
      </c>
      <c r="D7" s="20" t="s">
        <v>175</v>
      </c>
      <c r="E7" s="20" t="s">
        <v>176</v>
      </c>
      <c r="F7" s="20" t="s">
        <v>50</v>
      </c>
      <c r="G7" s="20" t="s">
        <v>177</v>
      </c>
      <c r="H7" s="20" t="s">
        <v>51</v>
      </c>
      <c r="I7" s="20" t="s">
        <v>178</v>
      </c>
      <c r="J7" s="21">
        <v>1.0</v>
      </c>
      <c r="K7" s="20" t="s">
        <v>179</v>
      </c>
      <c r="L7" s="20" t="s">
        <v>180</v>
      </c>
      <c r="M7" s="20" t="s">
        <v>93</v>
      </c>
      <c r="N7" s="20" t="s">
        <v>181</v>
      </c>
      <c r="O7" s="20"/>
      <c r="P7" s="20" t="s">
        <v>182</v>
      </c>
      <c r="Q7" s="20" t="s">
        <v>34</v>
      </c>
      <c r="R7" s="20"/>
      <c r="S7" s="20" t="s">
        <v>53</v>
      </c>
      <c r="T7" s="22">
        <v>1200000.0</v>
      </c>
      <c r="U7" s="22">
        <v>1260000.0</v>
      </c>
      <c r="V7" s="22">
        <v>0.0</v>
      </c>
      <c r="W7" s="22">
        <v>0.0</v>
      </c>
      <c r="X7" s="22">
        <v>0.0</v>
      </c>
      <c r="Y7" s="23">
        <f t="shared" ref="Y7:Y67" si="2">IF(COUNT(T7:X7)=0,"",SUM(T7:X7))</f>
        <v>2460000</v>
      </c>
      <c r="Z7" s="20" t="s">
        <v>183</v>
      </c>
      <c r="AA7" s="20" t="s">
        <v>36</v>
      </c>
      <c r="AB7" s="24">
        <v>46601.0</v>
      </c>
      <c r="AC7" s="19">
        <f t="array" ref="AC7">IFERROR(INDEX(Listas!$Q$4:$Q$13,MATCH($AA7,Listas!$P$4:$P$13,0)),"")</f>
        <v>140</v>
      </c>
      <c r="AD7" s="25">
        <f>IF(OR($AB7="",$AC7=""),"",WORKDAY($AB7,-$AC7,Listas!$U$4:$U$22))</f>
        <v>46398</v>
      </c>
      <c r="AE7" s="21">
        <v>5.0</v>
      </c>
      <c r="AF7" s="21">
        <v>5.0</v>
      </c>
      <c r="AG7" s="21">
        <v>3.0</v>
      </c>
      <c r="AH7" s="21">
        <v>3.0</v>
      </c>
      <c r="AI7" s="20" t="s">
        <v>184</v>
      </c>
      <c r="AJ7" s="19">
        <f t="shared" ref="AJ7:AJ67" si="3">IF(COUNT($AE7:$AH7)&lt;4,"",$AE7*30+$AF7*30+$AG7*25+$AH7*15)</f>
        <v>420</v>
      </c>
      <c r="AK7" s="19" t="str">
        <f t="shared" ref="AK7:AK67" si="4">IF($AJ7="","",IF(OR($AG7=5,AND($AF7=5,$AE7&gt;=3)),"Alto",IF(AND($AF7=5,$AJ7&lt;240),"Médio",IF($AJ7&gt;=380,"Alto",IF($AJ7&gt;=240,"Médio","Baixo")))))</f>
        <v>Alto</v>
      </c>
      <c r="AL7" s="19" t="str">
        <f t="shared" ref="AL7:AL67" si="5">IF($AD7="","",IF($AD7&lt;DATE(2027,1,1),"Antecipar instrução para 2026",""))</f>
        <v/>
      </c>
      <c r="AM7" s="20"/>
      <c r="AN7" s="20"/>
      <c r="AO7" s="20"/>
    </row>
    <row r="8">
      <c r="A8" s="26" t="str">
        <f t="shared" ref="A8:A67" si="6">IF(B8="","",ROW()-7)</f>
        <v/>
      </c>
      <c r="B8" s="27"/>
      <c r="C8" s="27"/>
      <c r="D8" s="27"/>
      <c r="E8" s="27"/>
      <c r="F8" s="27"/>
      <c r="G8" s="27"/>
      <c r="H8" s="27"/>
      <c r="I8" s="27"/>
      <c r="J8" s="28"/>
      <c r="K8" s="27"/>
      <c r="L8" s="27"/>
      <c r="M8" s="27"/>
      <c r="N8" s="27"/>
      <c r="O8" s="27"/>
      <c r="P8" s="27"/>
      <c r="Q8" s="27"/>
      <c r="R8" s="27"/>
      <c r="S8" s="27"/>
      <c r="T8" s="29"/>
      <c r="U8" s="29"/>
      <c r="V8" s="29"/>
      <c r="W8" s="29"/>
      <c r="X8" s="29"/>
      <c r="Y8" s="30" t="str">
        <f t="shared" si="2"/>
        <v/>
      </c>
      <c r="Z8" s="27"/>
      <c r="AA8" s="27"/>
      <c r="AB8" s="31"/>
      <c r="AC8" s="26" t="str">
        <f t="array" ref="AC8">IFERROR(INDEX(Listas!$Q$4:$Q$13,MATCH($AA8,Listas!$P$4:$P$13,0)),"")</f>
        <v/>
      </c>
      <c r="AD8" s="32" t="str">
        <f>IF(OR($AB8="",$AC8=""),"",WORKDAY($AB8,-$AC8,Listas!$U$4:$U$22))</f>
        <v/>
      </c>
      <c r="AE8" s="28"/>
      <c r="AF8" s="28"/>
      <c r="AG8" s="28"/>
      <c r="AH8" s="28"/>
      <c r="AI8" s="27"/>
      <c r="AJ8" s="26" t="str">
        <f t="shared" si="3"/>
        <v/>
      </c>
      <c r="AK8" s="26" t="str">
        <f t="shared" si="4"/>
        <v/>
      </c>
      <c r="AL8" s="26" t="str">
        <f t="shared" si="5"/>
        <v/>
      </c>
      <c r="AM8" s="33"/>
      <c r="AN8" s="33"/>
      <c r="AO8" s="33"/>
    </row>
    <row r="9">
      <c r="A9" s="26" t="str">
        <f t="shared" si="6"/>
        <v/>
      </c>
      <c r="B9" s="27"/>
      <c r="C9" s="27"/>
      <c r="D9" s="27"/>
      <c r="E9" s="27"/>
      <c r="F9" s="27"/>
      <c r="G9" s="27"/>
      <c r="H9" s="27"/>
      <c r="I9" s="27"/>
      <c r="J9" s="28"/>
      <c r="K9" s="27"/>
      <c r="L9" s="27"/>
      <c r="M9" s="27"/>
      <c r="N9" s="27"/>
      <c r="O9" s="27"/>
      <c r="P9" s="27"/>
      <c r="Q9" s="27"/>
      <c r="R9" s="27"/>
      <c r="S9" s="27"/>
      <c r="T9" s="29"/>
      <c r="U9" s="29"/>
      <c r="V9" s="29"/>
      <c r="W9" s="29"/>
      <c r="X9" s="29"/>
      <c r="Y9" s="30" t="str">
        <f t="shared" si="2"/>
        <v/>
      </c>
      <c r="Z9" s="27"/>
      <c r="AA9" s="27"/>
      <c r="AB9" s="31"/>
      <c r="AC9" s="26" t="str">
        <f t="array" ref="AC9">IFERROR(INDEX(Listas!$Q$4:$Q$13,MATCH($AA9,Listas!$P$4:$P$13,0)),"")</f>
        <v/>
      </c>
      <c r="AD9" s="32" t="str">
        <f>IF(OR($AB9="",$AC9=""),"",WORKDAY($AB9,-$AC9,Listas!$U$4:$U$22))</f>
        <v/>
      </c>
      <c r="AE9" s="28"/>
      <c r="AF9" s="28"/>
      <c r="AG9" s="28"/>
      <c r="AH9" s="28"/>
      <c r="AI9" s="27"/>
      <c r="AJ9" s="26" t="str">
        <f t="shared" si="3"/>
        <v/>
      </c>
      <c r="AK9" s="26" t="str">
        <f t="shared" si="4"/>
        <v/>
      </c>
      <c r="AL9" s="26" t="str">
        <f t="shared" si="5"/>
        <v/>
      </c>
      <c r="AM9" s="33"/>
      <c r="AN9" s="33"/>
      <c r="AO9" s="33"/>
    </row>
    <row r="10">
      <c r="A10" s="26" t="str">
        <f t="shared" si="6"/>
        <v/>
      </c>
      <c r="B10" s="27"/>
      <c r="C10" s="27"/>
      <c r="D10" s="27"/>
      <c r="E10" s="27"/>
      <c r="F10" s="27"/>
      <c r="G10" s="27"/>
      <c r="H10" s="27"/>
      <c r="I10" s="27"/>
      <c r="J10" s="28"/>
      <c r="K10" s="27"/>
      <c r="L10" s="27"/>
      <c r="M10" s="27"/>
      <c r="N10" s="27"/>
      <c r="O10" s="27"/>
      <c r="P10" s="27"/>
      <c r="Q10" s="27"/>
      <c r="R10" s="27"/>
      <c r="S10" s="27"/>
      <c r="T10" s="29"/>
      <c r="U10" s="29"/>
      <c r="V10" s="29"/>
      <c r="W10" s="29"/>
      <c r="X10" s="29"/>
      <c r="Y10" s="30" t="str">
        <f t="shared" si="2"/>
        <v/>
      </c>
      <c r="Z10" s="27"/>
      <c r="AA10" s="27"/>
      <c r="AB10" s="31"/>
      <c r="AC10" s="26" t="str">
        <f t="array" ref="AC10">IFERROR(INDEX(Listas!$Q$4:$Q$13,MATCH($AA10,Listas!$P$4:$P$13,0)),"")</f>
        <v/>
      </c>
      <c r="AD10" s="32" t="str">
        <f>IF(OR($AB10="",$AC10=""),"",WORKDAY($AB10,-$AC10,Listas!$U$4:$U$22))</f>
        <v/>
      </c>
      <c r="AE10" s="28"/>
      <c r="AF10" s="28"/>
      <c r="AG10" s="28"/>
      <c r="AH10" s="28"/>
      <c r="AI10" s="27"/>
      <c r="AJ10" s="26" t="str">
        <f t="shared" si="3"/>
        <v/>
      </c>
      <c r="AK10" s="26" t="str">
        <f t="shared" si="4"/>
        <v/>
      </c>
      <c r="AL10" s="26" t="str">
        <f t="shared" si="5"/>
        <v/>
      </c>
      <c r="AM10" s="33"/>
      <c r="AN10" s="33"/>
      <c r="AO10" s="33"/>
    </row>
    <row r="11">
      <c r="A11" s="26" t="str">
        <f t="shared" si="6"/>
        <v/>
      </c>
      <c r="B11" s="27"/>
      <c r="C11" s="27"/>
      <c r="D11" s="27"/>
      <c r="E11" s="27"/>
      <c r="F11" s="27"/>
      <c r="G11" s="27"/>
      <c r="H11" s="27"/>
      <c r="I11" s="27"/>
      <c r="J11" s="28"/>
      <c r="K11" s="27"/>
      <c r="L11" s="27"/>
      <c r="M11" s="27"/>
      <c r="N11" s="27"/>
      <c r="O11" s="27"/>
      <c r="P11" s="27"/>
      <c r="Q11" s="27"/>
      <c r="R11" s="27"/>
      <c r="S11" s="27"/>
      <c r="T11" s="29"/>
      <c r="U11" s="29"/>
      <c r="V11" s="29"/>
      <c r="W11" s="29"/>
      <c r="X11" s="29"/>
      <c r="Y11" s="30" t="str">
        <f t="shared" si="2"/>
        <v/>
      </c>
      <c r="Z11" s="27"/>
      <c r="AA11" s="27"/>
      <c r="AB11" s="31"/>
      <c r="AC11" s="26" t="str">
        <f t="array" ref="AC11">IFERROR(INDEX(Listas!$Q$4:$Q$13,MATCH($AA11,Listas!$P$4:$P$13,0)),"")</f>
        <v/>
      </c>
      <c r="AD11" s="32" t="str">
        <f>IF(OR($AB11="",$AC11=""),"",WORKDAY($AB11,-$AC11,Listas!$U$4:$U$22))</f>
        <v/>
      </c>
      <c r="AE11" s="28"/>
      <c r="AF11" s="28"/>
      <c r="AG11" s="28"/>
      <c r="AH11" s="28"/>
      <c r="AI11" s="27"/>
      <c r="AJ11" s="26" t="str">
        <f t="shared" si="3"/>
        <v/>
      </c>
      <c r="AK11" s="26" t="str">
        <f t="shared" si="4"/>
        <v/>
      </c>
      <c r="AL11" s="26" t="str">
        <f t="shared" si="5"/>
        <v/>
      </c>
      <c r="AM11" s="33"/>
      <c r="AN11" s="33"/>
      <c r="AO11" s="33"/>
    </row>
    <row r="12">
      <c r="A12" s="26" t="str">
        <f t="shared" si="6"/>
        <v/>
      </c>
      <c r="B12" s="27"/>
      <c r="C12" s="27"/>
      <c r="D12" s="27"/>
      <c r="E12" s="27"/>
      <c r="F12" s="27"/>
      <c r="G12" s="27"/>
      <c r="H12" s="27"/>
      <c r="I12" s="27"/>
      <c r="J12" s="28"/>
      <c r="K12" s="27"/>
      <c r="L12" s="27"/>
      <c r="M12" s="27"/>
      <c r="N12" s="27"/>
      <c r="O12" s="27"/>
      <c r="P12" s="27"/>
      <c r="Q12" s="27"/>
      <c r="R12" s="27"/>
      <c r="S12" s="27"/>
      <c r="T12" s="29"/>
      <c r="U12" s="29"/>
      <c r="V12" s="29"/>
      <c r="W12" s="29"/>
      <c r="X12" s="29"/>
      <c r="Y12" s="30" t="str">
        <f t="shared" si="2"/>
        <v/>
      </c>
      <c r="Z12" s="27"/>
      <c r="AA12" s="27"/>
      <c r="AB12" s="31"/>
      <c r="AC12" s="26" t="str">
        <f t="array" ref="AC12">IFERROR(INDEX(Listas!$Q$4:$Q$13,MATCH($AA12,Listas!$P$4:$P$13,0)),"")</f>
        <v/>
      </c>
      <c r="AD12" s="32" t="str">
        <f>IF(OR($AB12="",$AC12=""),"",WORKDAY($AB12,-$AC12,Listas!$U$4:$U$22))</f>
        <v/>
      </c>
      <c r="AE12" s="28"/>
      <c r="AF12" s="28"/>
      <c r="AG12" s="28"/>
      <c r="AH12" s="28"/>
      <c r="AI12" s="27"/>
      <c r="AJ12" s="26" t="str">
        <f t="shared" si="3"/>
        <v/>
      </c>
      <c r="AK12" s="26" t="str">
        <f t="shared" si="4"/>
        <v/>
      </c>
      <c r="AL12" s="26" t="str">
        <f t="shared" si="5"/>
        <v/>
      </c>
      <c r="AM12" s="33"/>
      <c r="AN12" s="33"/>
      <c r="AO12" s="33"/>
    </row>
    <row r="13">
      <c r="A13" s="26" t="str">
        <f t="shared" si="6"/>
        <v/>
      </c>
      <c r="B13" s="27"/>
      <c r="C13" s="27"/>
      <c r="D13" s="27"/>
      <c r="E13" s="27"/>
      <c r="F13" s="27"/>
      <c r="G13" s="27"/>
      <c r="H13" s="27"/>
      <c r="I13" s="27"/>
      <c r="J13" s="28"/>
      <c r="K13" s="27"/>
      <c r="L13" s="27"/>
      <c r="M13" s="27"/>
      <c r="N13" s="27"/>
      <c r="O13" s="27"/>
      <c r="P13" s="27"/>
      <c r="Q13" s="27"/>
      <c r="R13" s="27"/>
      <c r="S13" s="27"/>
      <c r="T13" s="29"/>
      <c r="U13" s="29"/>
      <c r="V13" s="29"/>
      <c r="W13" s="29"/>
      <c r="X13" s="29"/>
      <c r="Y13" s="30" t="str">
        <f t="shared" si="2"/>
        <v/>
      </c>
      <c r="Z13" s="27"/>
      <c r="AA13" s="27"/>
      <c r="AB13" s="31"/>
      <c r="AC13" s="26" t="str">
        <f t="array" ref="AC13">IFERROR(INDEX(Listas!$Q$4:$Q$13,MATCH($AA13,Listas!$P$4:$P$13,0)),"")</f>
        <v/>
      </c>
      <c r="AD13" s="32" t="str">
        <f>IF(OR($AB13="",$AC13=""),"",WORKDAY($AB13,-$AC13,Listas!$U$4:$U$22))</f>
        <v/>
      </c>
      <c r="AE13" s="28"/>
      <c r="AF13" s="28"/>
      <c r="AG13" s="28"/>
      <c r="AH13" s="28"/>
      <c r="AI13" s="27"/>
      <c r="AJ13" s="26" t="str">
        <f t="shared" si="3"/>
        <v/>
      </c>
      <c r="AK13" s="26" t="str">
        <f t="shared" si="4"/>
        <v/>
      </c>
      <c r="AL13" s="26" t="str">
        <f t="shared" si="5"/>
        <v/>
      </c>
      <c r="AM13" s="33"/>
      <c r="AN13" s="33"/>
      <c r="AO13" s="33"/>
    </row>
    <row r="14">
      <c r="A14" s="26" t="str">
        <f t="shared" si="6"/>
        <v/>
      </c>
      <c r="B14" s="27"/>
      <c r="C14" s="27"/>
      <c r="D14" s="27"/>
      <c r="E14" s="27"/>
      <c r="F14" s="27"/>
      <c r="G14" s="27"/>
      <c r="H14" s="27"/>
      <c r="I14" s="27"/>
      <c r="J14" s="28"/>
      <c r="K14" s="27"/>
      <c r="L14" s="27"/>
      <c r="M14" s="27"/>
      <c r="N14" s="27"/>
      <c r="O14" s="27"/>
      <c r="P14" s="27"/>
      <c r="Q14" s="27"/>
      <c r="R14" s="27"/>
      <c r="S14" s="27"/>
      <c r="T14" s="29"/>
      <c r="U14" s="29"/>
      <c r="V14" s="29"/>
      <c r="W14" s="29"/>
      <c r="X14" s="29"/>
      <c r="Y14" s="30" t="str">
        <f t="shared" si="2"/>
        <v/>
      </c>
      <c r="Z14" s="27"/>
      <c r="AA14" s="27"/>
      <c r="AB14" s="31"/>
      <c r="AC14" s="26" t="str">
        <f t="array" ref="AC14">IFERROR(INDEX(Listas!$Q$4:$Q$13,MATCH($AA14,Listas!$P$4:$P$13,0)),"")</f>
        <v/>
      </c>
      <c r="AD14" s="32" t="str">
        <f>IF(OR($AB14="",$AC14=""),"",WORKDAY($AB14,-$AC14,Listas!$U$4:$U$22))</f>
        <v/>
      </c>
      <c r="AE14" s="28"/>
      <c r="AF14" s="28"/>
      <c r="AG14" s="28"/>
      <c r="AH14" s="28"/>
      <c r="AI14" s="27"/>
      <c r="AJ14" s="26" t="str">
        <f t="shared" si="3"/>
        <v/>
      </c>
      <c r="AK14" s="26" t="str">
        <f t="shared" si="4"/>
        <v/>
      </c>
      <c r="AL14" s="26" t="str">
        <f t="shared" si="5"/>
        <v/>
      </c>
      <c r="AM14" s="33"/>
      <c r="AN14" s="33"/>
      <c r="AO14" s="33"/>
    </row>
    <row r="15">
      <c r="A15" s="26" t="str">
        <f t="shared" si="6"/>
        <v/>
      </c>
      <c r="B15" s="27"/>
      <c r="C15" s="27"/>
      <c r="D15" s="27"/>
      <c r="E15" s="27"/>
      <c r="F15" s="27"/>
      <c r="G15" s="27"/>
      <c r="H15" s="27"/>
      <c r="I15" s="27"/>
      <c r="J15" s="28"/>
      <c r="K15" s="27"/>
      <c r="L15" s="27"/>
      <c r="M15" s="27"/>
      <c r="N15" s="27"/>
      <c r="O15" s="27"/>
      <c r="P15" s="27"/>
      <c r="Q15" s="27"/>
      <c r="R15" s="27"/>
      <c r="S15" s="27"/>
      <c r="T15" s="29"/>
      <c r="U15" s="29"/>
      <c r="V15" s="29"/>
      <c r="W15" s="29"/>
      <c r="X15" s="29"/>
      <c r="Y15" s="30" t="str">
        <f t="shared" si="2"/>
        <v/>
      </c>
      <c r="Z15" s="27"/>
      <c r="AA15" s="27"/>
      <c r="AB15" s="31"/>
      <c r="AC15" s="26" t="str">
        <f t="array" ref="AC15">IFERROR(INDEX(Listas!$Q$4:$Q$13,MATCH($AA15,Listas!$P$4:$P$13,0)),"")</f>
        <v/>
      </c>
      <c r="AD15" s="32" t="str">
        <f>IF(OR($AB15="",$AC15=""),"",WORKDAY($AB15,-$AC15,Listas!$U$4:$U$22))</f>
        <v/>
      </c>
      <c r="AE15" s="28"/>
      <c r="AF15" s="28"/>
      <c r="AG15" s="28"/>
      <c r="AH15" s="28"/>
      <c r="AI15" s="27"/>
      <c r="AJ15" s="26" t="str">
        <f t="shared" si="3"/>
        <v/>
      </c>
      <c r="AK15" s="26" t="str">
        <f t="shared" si="4"/>
        <v/>
      </c>
      <c r="AL15" s="26" t="str">
        <f t="shared" si="5"/>
        <v/>
      </c>
      <c r="AM15" s="33"/>
      <c r="AN15" s="33"/>
      <c r="AO15" s="33"/>
    </row>
    <row r="16">
      <c r="A16" s="26" t="str">
        <f t="shared" si="6"/>
        <v/>
      </c>
      <c r="B16" s="27"/>
      <c r="C16" s="27"/>
      <c r="D16" s="27"/>
      <c r="E16" s="27"/>
      <c r="F16" s="27"/>
      <c r="G16" s="27"/>
      <c r="H16" s="27"/>
      <c r="I16" s="27"/>
      <c r="J16" s="28"/>
      <c r="K16" s="27"/>
      <c r="L16" s="27"/>
      <c r="M16" s="27"/>
      <c r="N16" s="27"/>
      <c r="O16" s="27"/>
      <c r="P16" s="27"/>
      <c r="Q16" s="27"/>
      <c r="R16" s="27"/>
      <c r="S16" s="27"/>
      <c r="T16" s="29"/>
      <c r="U16" s="29"/>
      <c r="V16" s="29"/>
      <c r="W16" s="29"/>
      <c r="X16" s="29"/>
      <c r="Y16" s="30" t="str">
        <f t="shared" si="2"/>
        <v/>
      </c>
      <c r="Z16" s="27"/>
      <c r="AA16" s="27"/>
      <c r="AB16" s="31"/>
      <c r="AC16" s="26" t="str">
        <f t="array" ref="AC16">IFERROR(INDEX(Listas!$Q$4:$Q$13,MATCH($AA16,Listas!$P$4:$P$13,0)),"")</f>
        <v/>
      </c>
      <c r="AD16" s="32" t="str">
        <f>IF(OR($AB16="",$AC16=""),"",WORKDAY($AB16,-$AC16,Listas!$U$4:$U$22))</f>
        <v/>
      </c>
      <c r="AE16" s="28"/>
      <c r="AF16" s="28"/>
      <c r="AG16" s="28"/>
      <c r="AH16" s="28"/>
      <c r="AI16" s="27"/>
      <c r="AJ16" s="26" t="str">
        <f t="shared" si="3"/>
        <v/>
      </c>
      <c r="AK16" s="26" t="str">
        <f t="shared" si="4"/>
        <v/>
      </c>
      <c r="AL16" s="26" t="str">
        <f t="shared" si="5"/>
        <v/>
      </c>
      <c r="AM16" s="33"/>
      <c r="AN16" s="33"/>
      <c r="AO16" s="33"/>
    </row>
    <row r="17">
      <c r="A17" s="26" t="str">
        <f t="shared" si="6"/>
        <v/>
      </c>
      <c r="B17" s="27"/>
      <c r="C17" s="27"/>
      <c r="D17" s="27"/>
      <c r="E17" s="27"/>
      <c r="F17" s="27"/>
      <c r="G17" s="27"/>
      <c r="H17" s="27"/>
      <c r="I17" s="27"/>
      <c r="J17" s="28"/>
      <c r="K17" s="27"/>
      <c r="L17" s="27"/>
      <c r="M17" s="27"/>
      <c r="N17" s="27"/>
      <c r="O17" s="27"/>
      <c r="P17" s="27"/>
      <c r="Q17" s="27"/>
      <c r="R17" s="27"/>
      <c r="S17" s="27"/>
      <c r="T17" s="29"/>
      <c r="U17" s="29"/>
      <c r="V17" s="29"/>
      <c r="W17" s="29"/>
      <c r="X17" s="29"/>
      <c r="Y17" s="30" t="str">
        <f t="shared" si="2"/>
        <v/>
      </c>
      <c r="Z17" s="27"/>
      <c r="AA17" s="27"/>
      <c r="AB17" s="31"/>
      <c r="AC17" s="26" t="str">
        <f t="array" ref="AC17">IFERROR(INDEX(Listas!$Q$4:$Q$13,MATCH($AA17,Listas!$P$4:$P$13,0)),"")</f>
        <v/>
      </c>
      <c r="AD17" s="32" t="str">
        <f>IF(OR($AB17="",$AC17=""),"",WORKDAY($AB17,-$AC17,Listas!$U$4:$U$22))</f>
        <v/>
      </c>
      <c r="AE17" s="28"/>
      <c r="AF17" s="28"/>
      <c r="AG17" s="28"/>
      <c r="AH17" s="28"/>
      <c r="AI17" s="27"/>
      <c r="AJ17" s="26" t="str">
        <f t="shared" si="3"/>
        <v/>
      </c>
      <c r="AK17" s="26" t="str">
        <f t="shared" si="4"/>
        <v/>
      </c>
      <c r="AL17" s="26" t="str">
        <f t="shared" si="5"/>
        <v/>
      </c>
      <c r="AM17" s="33"/>
      <c r="AN17" s="33"/>
      <c r="AO17" s="33"/>
    </row>
    <row r="18">
      <c r="A18" s="26" t="str">
        <f t="shared" si="6"/>
        <v/>
      </c>
      <c r="B18" s="27"/>
      <c r="C18" s="27"/>
      <c r="D18" s="27"/>
      <c r="E18" s="27"/>
      <c r="F18" s="27"/>
      <c r="G18" s="27"/>
      <c r="H18" s="27"/>
      <c r="I18" s="27"/>
      <c r="J18" s="28"/>
      <c r="K18" s="27"/>
      <c r="L18" s="27"/>
      <c r="M18" s="27"/>
      <c r="N18" s="27"/>
      <c r="O18" s="27"/>
      <c r="P18" s="27"/>
      <c r="Q18" s="27"/>
      <c r="R18" s="27"/>
      <c r="S18" s="27"/>
      <c r="T18" s="29"/>
      <c r="U18" s="29"/>
      <c r="V18" s="29"/>
      <c r="W18" s="29"/>
      <c r="X18" s="29"/>
      <c r="Y18" s="30" t="str">
        <f t="shared" si="2"/>
        <v/>
      </c>
      <c r="Z18" s="27"/>
      <c r="AA18" s="27"/>
      <c r="AB18" s="31"/>
      <c r="AC18" s="26" t="str">
        <f t="array" ref="AC18">IFERROR(INDEX(Listas!$Q$4:$Q$13,MATCH($AA18,Listas!$P$4:$P$13,0)),"")</f>
        <v/>
      </c>
      <c r="AD18" s="32" t="str">
        <f>IF(OR($AB18="",$AC18=""),"",WORKDAY($AB18,-$AC18,Listas!$U$4:$U$22))</f>
        <v/>
      </c>
      <c r="AE18" s="28"/>
      <c r="AF18" s="28"/>
      <c r="AG18" s="28"/>
      <c r="AH18" s="28"/>
      <c r="AI18" s="27"/>
      <c r="AJ18" s="26" t="str">
        <f t="shared" si="3"/>
        <v/>
      </c>
      <c r="AK18" s="26" t="str">
        <f t="shared" si="4"/>
        <v/>
      </c>
      <c r="AL18" s="26" t="str">
        <f t="shared" si="5"/>
        <v/>
      </c>
      <c r="AM18" s="33"/>
      <c r="AN18" s="33"/>
      <c r="AO18" s="33"/>
    </row>
    <row r="19">
      <c r="A19" s="26" t="str">
        <f t="shared" si="6"/>
        <v/>
      </c>
      <c r="B19" s="27"/>
      <c r="C19" s="27"/>
      <c r="D19" s="27"/>
      <c r="E19" s="27"/>
      <c r="F19" s="27"/>
      <c r="G19" s="27"/>
      <c r="H19" s="27"/>
      <c r="I19" s="27"/>
      <c r="J19" s="28"/>
      <c r="K19" s="27"/>
      <c r="L19" s="27"/>
      <c r="M19" s="27"/>
      <c r="N19" s="27"/>
      <c r="O19" s="27"/>
      <c r="P19" s="27"/>
      <c r="Q19" s="27"/>
      <c r="R19" s="27"/>
      <c r="S19" s="27"/>
      <c r="T19" s="29"/>
      <c r="U19" s="29"/>
      <c r="V19" s="29"/>
      <c r="W19" s="29"/>
      <c r="X19" s="29"/>
      <c r="Y19" s="30" t="str">
        <f t="shared" si="2"/>
        <v/>
      </c>
      <c r="Z19" s="27"/>
      <c r="AA19" s="27"/>
      <c r="AB19" s="31"/>
      <c r="AC19" s="26" t="str">
        <f t="array" ref="AC19">IFERROR(INDEX(Listas!$Q$4:$Q$13,MATCH($AA19,Listas!$P$4:$P$13,0)),"")</f>
        <v/>
      </c>
      <c r="AD19" s="32" t="str">
        <f>IF(OR($AB19="",$AC19=""),"",WORKDAY($AB19,-$AC19,Listas!$U$4:$U$22))</f>
        <v/>
      </c>
      <c r="AE19" s="28"/>
      <c r="AF19" s="28"/>
      <c r="AG19" s="28"/>
      <c r="AH19" s="28"/>
      <c r="AI19" s="27"/>
      <c r="AJ19" s="26" t="str">
        <f t="shared" si="3"/>
        <v/>
      </c>
      <c r="AK19" s="26" t="str">
        <f t="shared" si="4"/>
        <v/>
      </c>
      <c r="AL19" s="26" t="str">
        <f t="shared" si="5"/>
        <v/>
      </c>
      <c r="AM19" s="33"/>
      <c r="AN19" s="33"/>
      <c r="AO19" s="33"/>
    </row>
    <row r="20">
      <c r="A20" s="26" t="str">
        <f t="shared" si="6"/>
        <v/>
      </c>
      <c r="B20" s="27"/>
      <c r="C20" s="27"/>
      <c r="D20" s="27"/>
      <c r="E20" s="27"/>
      <c r="F20" s="27"/>
      <c r="G20" s="27"/>
      <c r="H20" s="27"/>
      <c r="I20" s="27"/>
      <c r="J20" s="28"/>
      <c r="K20" s="27"/>
      <c r="L20" s="27"/>
      <c r="M20" s="27"/>
      <c r="N20" s="27"/>
      <c r="O20" s="27"/>
      <c r="P20" s="27"/>
      <c r="Q20" s="27"/>
      <c r="R20" s="27"/>
      <c r="S20" s="27"/>
      <c r="T20" s="29"/>
      <c r="U20" s="29"/>
      <c r="V20" s="29"/>
      <c r="W20" s="29"/>
      <c r="X20" s="29"/>
      <c r="Y20" s="30" t="str">
        <f t="shared" si="2"/>
        <v/>
      </c>
      <c r="Z20" s="27"/>
      <c r="AA20" s="27"/>
      <c r="AB20" s="31"/>
      <c r="AC20" s="26" t="str">
        <f t="array" ref="AC20">IFERROR(INDEX(Listas!$Q$4:$Q$13,MATCH($AA20,Listas!$P$4:$P$13,0)),"")</f>
        <v/>
      </c>
      <c r="AD20" s="32" t="str">
        <f>IF(OR($AB20="",$AC20=""),"",WORKDAY($AB20,-$AC20,Listas!$U$4:$U$22))</f>
        <v/>
      </c>
      <c r="AE20" s="28"/>
      <c r="AF20" s="28"/>
      <c r="AG20" s="28"/>
      <c r="AH20" s="28"/>
      <c r="AI20" s="27"/>
      <c r="AJ20" s="26" t="str">
        <f t="shared" si="3"/>
        <v/>
      </c>
      <c r="AK20" s="26" t="str">
        <f t="shared" si="4"/>
        <v/>
      </c>
      <c r="AL20" s="26" t="str">
        <f t="shared" si="5"/>
        <v/>
      </c>
      <c r="AM20" s="33"/>
      <c r="AN20" s="33"/>
      <c r="AO20" s="33"/>
    </row>
    <row r="21" ht="15.75" customHeight="1">
      <c r="A21" s="26" t="str">
        <f t="shared" si="6"/>
        <v/>
      </c>
      <c r="B21" s="27"/>
      <c r="C21" s="27"/>
      <c r="D21" s="27"/>
      <c r="E21" s="27"/>
      <c r="F21" s="27"/>
      <c r="G21" s="27"/>
      <c r="H21" s="27"/>
      <c r="I21" s="27"/>
      <c r="J21" s="28"/>
      <c r="K21" s="27"/>
      <c r="L21" s="27"/>
      <c r="M21" s="27"/>
      <c r="N21" s="27"/>
      <c r="O21" s="27"/>
      <c r="P21" s="27"/>
      <c r="Q21" s="27"/>
      <c r="R21" s="27"/>
      <c r="S21" s="27"/>
      <c r="T21" s="29"/>
      <c r="U21" s="29"/>
      <c r="V21" s="29"/>
      <c r="W21" s="29"/>
      <c r="X21" s="29"/>
      <c r="Y21" s="30" t="str">
        <f t="shared" si="2"/>
        <v/>
      </c>
      <c r="Z21" s="27"/>
      <c r="AA21" s="27"/>
      <c r="AB21" s="31"/>
      <c r="AC21" s="26" t="str">
        <f t="array" ref="AC21">IFERROR(INDEX(Listas!$Q$4:$Q$13,MATCH($AA21,Listas!$P$4:$P$13,0)),"")</f>
        <v/>
      </c>
      <c r="AD21" s="32" t="str">
        <f>IF(OR($AB21="",$AC21=""),"",WORKDAY($AB21,-$AC21,Listas!$U$4:$U$22))</f>
        <v/>
      </c>
      <c r="AE21" s="28"/>
      <c r="AF21" s="28"/>
      <c r="AG21" s="28"/>
      <c r="AH21" s="28"/>
      <c r="AI21" s="27"/>
      <c r="AJ21" s="26" t="str">
        <f t="shared" si="3"/>
        <v/>
      </c>
      <c r="AK21" s="26" t="str">
        <f t="shared" si="4"/>
        <v/>
      </c>
      <c r="AL21" s="26" t="str">
        <f t="shared" si="5"/>
        <v/>
      </c>
      <c r="AM21" s="33"/>
      <c r="AN21" s="33"/>
      <c r="AO21" s="33"/>
    </row>
    <row r="22" ht="15.75" customHeight="1">
      <c r="A22" s="26" t="str">
        <f t="shared" si="6"/>
        <v/>
      </c>
      <c r="B22" s="27"/>
      <c r="C22" s="27"/>
      <c r="D22" s="27"/>
      <c r="E22" s="27"/>
      <c r="F22" s="27"/>
      <c r="G22" s="27"/>
      <c r="H22" s="27"/>
      <c r="I22" s="27"/>
      <c r="J22" s="28"/>
      <c r="K22" s="27"/>
      <c r="L22" s="27"/>
      <c r="M22" s="27"/>
      <c r="N22" s="27"/>
      <c r="O22" s="27"/>
      <c r="P22" s="27"/>
      <c r="Q22" s="27"/>
      <c r="R22" s="27"/>
      <c r="S22" s="27"/>
      <c r="T22" s="29"/>
      <c r="U22" s="29"/>
      <c r="V22" s="29"/>
      <c r="W22" s="29"/>
      <c r="X22" s="29"/>
      <c r="Y22" s="30" t="str">
        <f t="shared" si="2"/>
        <v/>
      </c>
      <c r="Z22" s="27"/>
      <c r="AA22" s="27"/>
      <c r="AB22" s="31"/>
      <c r="AC22" s="26" t="str">
        <f t="array" ref="AC22">IFERROR(INDEX(Listas!$Q$4:$Q$13,MATCH($AA22,Listas!$P$4:$P$13,0)),"")</f>
        <v/>
      </c>
      <c r="AD22" s="32" t="str">
        <f>IF(OR($AB22="",$AC22=""),"",WORKDAY($AB22,-$AC22,Listas!$U$4:$U$22))</f>
        <v/>
      </c>
      <c r="AE22" s="28"/>
      <c r="AF22" s="28"/>
      <c r="AG22" s="28"/>
      <c r="AH22" s="28"/>
      <c r="AI22" s="27"/>
      <c r="AJ22" s="26" t="str">
        <f t="shared" si="3"/>
        <v/>
      </c>
      <c r="AK22" s="26" t="str">
        <f t="shared" si="4"/>
        <v/>
      </c>
      <c r="AL22" s="26" t="str">
        <f t="shared" si="5"/>
        <v/>
      </c>
      <c r="AM22" s="33"/>
      <c r="AN22" s="33"/>
      <c r="AO22" s="33"/>
    </row>
    <row r="23" ht="15.75" customHeight="1">
      <c r="A23" s="26" t="str">
        <f t="shared" si="6"/>
        <v/>
      </c>
      <c r="B23" s="27"/>
      <c r="C23" s="27"/>
      <c r="D23" s="27"/>
      <c r="E23" s="27"/>
      <c r="F23" s="27"/>
      <c r="G23" s="27"/>
      <c r="H23" s="27"/>
      <c r="I23" s="27"/>
      <c r="J23" s="28"/>
      <c r="K23" s="27"/>
      <c r="L23" s="27"/>
      <c r="M23" s="27"/>
      <c r="N23" s="27"/>
      <c r="O23" s="27"/>
      <c r="P23" s="27"/>
      <c r="Q23" s="27"/>
      <c r="R23" s="27"/>
      <c r="S23" s="27"/>
      <c r="T23" s="29"/>
      <c r="U23" s="29"/>
      <c r="V23" s="29"/>
      <c r="W23" s="29"/>
      <c r="X23" s="29"/>
      <c r="Y23" s="30" t="str">
        <f t="shared" si="2"/>
        <v/>
      </c>
      <c r="Z23" s="27"/>
      <c r="AA23" s="27"/>
      <c r="AB23" s="31"/>
      <c r="AC23" s="26" t="str">
        <f t="array" ref="AC23">IFERROR(INDEX(Listas!$Q$4:$Q$13,MATCH($AA23,Listas!$P$4:$P$13,0)),"")</f>
        <v/>
      </c>
      <c r="AD23" s="32" t="str">
        <f>IF(OR($AB23="",$AC23=""),"",WORKDAY($AB23,-$AC23,Listas!$U$4:$U$22))</f>
        <v/>
      </c>
      <c r="AE23" s="28"/>
      <c r="AF23" s="28"/>
      <c r="AG23" s="28"/>
      <c r="AH23" s="28"/>
      <c r="AI23" s="27"/>
      <c r="AJ23" s="26" t="str">
        <f t="shared" si="3"/>
        <v/>
      </c>
      <c r="AK23" s="26" t="str">
        <f t="shared" si="4"/>
        <v/>
      </c>
      <c r="AL23" s="26" t="str">
        <f t="shared" si="5"/>
        <v/>
      </c>
      <c r="AM23" s="33"/>
      <c r="AN23" s="33"/>
      <c r="AO23" s="33"/>
    </row>
    <row r="24" ht="15.75" customHeight="1">
      <c r="A24" s="26" t="str">
        <f t="shared" si="6"/>
        <v/>
      </c>
      <c r="B24" s="27"/>
      <c r="C24" s="27"/>
      <c r="D24" s="27"/>
      <c r="E24" s="27"/>
      <c r="F24" s="27"/>
      <c r="G24" s="27"/>
      <c r="H24" s="27"/>
      <c r="I24" s="27"/>
      <c r="J24" s="28"/>
      <c r="K24" s="27"/>
      <c r="L24" s="27"/>
      <c r="M24" s="27"/>
      <c r="N24" s="27"/>
      <c r="O24" s="27"/>
      <c r="P24" s="27"/>
      <c r="Q24" s="27"/>
      <c r="R24" s="27"/>
      <c r="S24" s="27"/>
      <c r="T24" s="29"/>
      <c r="U24" s="29"/>
      <c r="V24" s="29"/>
      <c r="W24" s="29"/>
      <c r="X24" s="29"/>
      <c r="Y24" s="30" t="str">
        <f t="shared" si="2"/>
        <v/>
      </c>
      <c r="Z24" s="27"/>
      <c r="AA24" s="27"/>
      <c r="AB24" s="31"/>
      <c r="AC24" s="26" t="str">
        <f t="array" ref="AC24">IFERROR(INDEX(Listas!$Q$4:$Q$13,MATCH($AA24,Listas!$P$4:$P$13,0)),"")</f>
        <v/>
      </c>
      <c r="AD24" s="32" t="str">
        <f>IF(OR($AB24="",$AC24=""),"",WORKDAY($AB24,-$AC24,Listas!$U$4:$U$22))</f>
        <v/>
      </c>
      <c r="AE24" s="28"/>
      <c r="AF24" s="28"/>
      <c r="AG24" s="28"/>
      <c r="AH24" s="28"/>
      <c r="AI24" s="27"/>
      <c r="AJ24" s="26" t="str">
        <f t="shared" si="3"/>
        <v/>
      </c>
      <c r="AK24" s="26" t="str">
        <f t="shared" si="4"/>
        <v/>
      </c>
      <c r="AL24" s="26" t="str">
        <f t="shared" si="5"/>
        <v/>
      </c>
      <c r="AM24" s="33"/>
      <c r="AN24" s="33"/>
      <c r="AO24" s="33"/>
    </row>
    <row r="25" ht="15.75" customHeight="1">
      <c r="A25" s="26" t="str">
        <f t="shared" si="6"/>
        <v/>
      </c>
      <c r="B25" s="27"/>
      <c r="C25" s="27"/>
      <c r="D25" s="27"/>
      <c r="E25" s="27"/>
      <c r="F25" s="27"/>
      <c r="G25" s="27"/>
      <c r="H25" s="27"/>
      <c r="I25" s="27"/>
      <c r="J25" s="28"/>
      <c r="K25" s="27"/>
      <c r="L25" s="27"/>
      <c r="M25" s="27"/>
      <c r="N25" s="27"/>
      <c r="O25" s="27"/>
      <c r="P25" s="27"/>
      <c r="Q25" s="27"/>
      <c r="R25" s="27"/>
      <c r="S25" s="27"/>
      <c r="T25" s="29"/>
      <c r="U25" s="29"/>
      <c r="V25" s="29"/>
      <c r="W25" s="29"/>
      <c r="X25" s="29"/>
      <c r="Y25" s="30" t="str">
        <f t="shared" si="2"/>
        <v/>
      </c>
      <c r="Z25" s="27"/>
      <c r="AA25" s="27"/>
      <c r="AB25" s="31"/>
      <c r="AC25" s="26" t="str">
        <f t="array" ref="AC25">IFERROR(INDEX(Listas!$Q$4:$Q$13,MATCH($AA25,Listas!$P$4:$P$13,0)),"")</f>
        <v/>
      </c>
      <c r="AD25" s="32" t="str">
        <f>IF(OR($AB25="",$AC25=""),"",WORKDAY($AB25,-$AC25,Listas!$U$4:$U$22))</f>
        <v/>
      </c>
      <c r="AE25" s="28"/>
      <c r="AF25" s="28"/>
      <c r="AG25" s="28"/>
      <c r="AH25" s="28"/>
      <c r="AI25" s="27"/>
      <c r="AJ25" s="26" t="str">
        <f t="shared" si="3"/>
        <v/>
      </c>
      <c r="AK25" s="26" t="str">
        <f t="shared" si="4"/>
        <v/>
      </c>
      <c r="AL25" s="26" t="str">
        <f t="shared" si="5"/>
        <v/>
      </c>
      <c r="AM25" s="33"/>
      <c r="AN25" s="33"/>
      <c r="AO25" s="33"/>
    </row>
    <row r="26" ht="15.75" customHeight="1">
      <c r="A26" s="26" t="str">
        <f t="shared" si="6"/>
        <v/>
      </c>
      <c r="B26" s="27"/>
      <c r="C26" s="27"/>
      <c r="D26" s="27"/>
      <c r="E26" s="27"/>
      <c r="F26" s="27"/>
      <c r="G26" s="27"/>
      <c r="H26" s="27"/>
      <c r="I26" s="27"/>
      <c r="J26" s="28"/>
      <c r="K26" s="27"/>
      <c r="L26" s="27"/>
      <c r="M26" s="27"/>
      <c r="N26" s="27"/>
      <c r="O26" s="27"/>
      <c r="P26" s="27"/>
      <c r="Q26" s="27"/>
      <c r="R26" s="27"/>
      <c r="S26" s="27"/>
      <c r="T26" s="29"/>
      <c r="U26" s="29"/>
      <c r="V26" s="29"/>
      <c r="W26" s="29"/>
      <c r="X26" s="29"/>
      <c r="Y26" s="30" t="str">
        <f t="shared" si="2"/>
        <v/>
      </c>
      <c r="Z26" s="27"/>
      <c r="AA26" s="27"/>
      <c r="AB26" s="31"/>
      <c r="AC26" s="26" t="str">
        <f t="array" ref="AC26">IFERROR(INDEX(Listas!$Q$4:$Q$13,MATCH($AA26,Listas!$P$4:$P$13,0)),"")</f>
        <v/>
      </c>
      <c r="AD26" s="32" t="str">
        <f>IF(OR($AB26="",$AC26=""),"",WORKDAY($AB26,-$AC26,Listas!$U$4:$U$22))</f>
        <v/>
      </c>
      <c r="AE26" s="28"/>
      <c r="AF26" s="28"/>
      <c r="AG26" s="28"/>
      <c r="AH26" s="28"/>
      <c r="AI26" s="27"/>
      <c r="AJ26" s="26" t="str">
        <f t="shared" si="3"/>
        <v/>
      </c>
      <c r="AK26" s="26" t="str">
        <f t="shared" si="4"/>
        <v/>
      </c>
      <c r="AL26" s="26" t="str">
        <f t="shared" si="5"/>
        <v/>
      </c>
      <c r="AM26" s="33"/>
      <c r="AN26" s="33"/>
      <c r="AO26" s="33"/>
    </row>
    <row r="27" ht="15.75" customHeight="1">
      <c r="A27" s="26" t="str">
        <f t="shared" si="6"/>
        <v/>
      </c>
      <c r="B27" s="27"/>
      <c r="C27" s="27"/>
      <c r="D27" s="27"/>
      <c r="E27" s="27"/>
      <c r="F27" s="27"/>
      <c r="G27" s="27"/>
      <c r="H27" s="27"/>
      <c r="I27" s="27"/>
      <c r="J27" s="28"/>
      <c r="K27" s="27"/>
      <c r="L27" s="27"/>
      <c r="M27" s="27"/>
      <c r="N27" s="27"/>
      <c r="O27" s="27"/>
      <c r="P27" s="27"/>
      <c r="Q27" s="27"/>
      <c r="R27" s="27"/>
      <c r="S27" s="27"/>
      <c r="T27" s="29"/>
      <c r="U27" s="29"/>
      <c r="V27" s="29"/>
      <c r="W27" s="29"/>
      <c r="X27" s="29"/>
      <c r="Y27" s="30" t="str">
        <f t="shared" si="2"/>
        <v/>
      </c>
      <c r="Z27" s="27"/>
      <c r="AA27" s="27"/>
      <c r="AB27" s="31"/>
      <c r="AC27" s="26" t="str">
        <f t="array" ref="AC27">IFERROR(INDEX(Listas!$Q$4:$Q$13,MATCH($AA27,Listas!$P$4:$P$13,0)),"")</f>
        <v/>
      </c>
      <c r="AD27" s="32" t="str">
        <f>IF(OR($AB27="",$AC27=""),"",WORKDAY($AB27,-$AC27,Listas!$U$4:$U$22))</f>
        <v/>
      </c>
      <c r="AE27" s="28"/>
      <c r="AF27" s="28"/>
      <c r="AG27" s="28"/>
      <c r="AH27" s="28"/>
      <c r="AI27" s="27"/>
      <c r="AJ27" s="26" t="str">
        <f t="shared" si="3"/>
        <v/>
      </c>
      <c r="AK27" s="26" t="str">
        <f t="shared" si="4"/>
        <v/>
      </c>
      <c r="AL27" s="26" t="str">
        <f t="shared" si="5"/>
        <v/>
      </c>
      <c r="AM27" s="33"/>
      <c r="AN27" s="33"/>
      <c r="AO27" s="33"/>
    </row>
    <row r="28" ht="15.75" customHeight="1">
      <c r="A28" s="26" t="str">
        <f t="shared" si="6"/>
        <v/>
      </c>
      <c r="B28" s="27"/>
      <c r="C28" s="27"/>
      <c r="D28" s="27"/>
      <c r="E28" s="27"/>
      <c r="F28" s="27"/>
      <c r="G28" s="27"/>
      <c r="H28" s="27"/>
      <c r="I28" s="27"/>
      <c r="J28" s="28"/>
      <c r="K28" s="27"/>
      <c r="L28" s="27"/>
      <c r="M28" s="27"/>
      <c r="N28" s="27"/>
      <c r="O28" s="27"/>
      <c r="P28" s="27"/>
      <c r="Q28" s="27"/>
      <c r="R28" s="27"/>
      <c r="S28" s="27"/>
      <c r="T28" s="29"/>
      <c r="U28" s="29"/>
      <c r="V28" s="29"/>
      <c r="W28" s="29"/>
      <c r="X28" s="29"/>
      <c r="Y28" s="30" t="str">
        <f t="shared" si="2"/>
        <v/>
      </c>
      <c r="Z28" s="27"/>
      <c r="AA28" s="27"/>
      <c r="AB28" s="31"/>
      <c r="AC28" s="26" t="str">
        <f t="array" ref="AC28">IFERROR(INDEX(Listas!$Q$4:$Q$13,MATCH($AA28,Listas!$P$4:$P$13,0)),"")</f>
        <v/>
      </c>
      <c r="AD28" s="32" t="str">
        <f>IF(OR($AB28="",$AC28=""),"",WORKDAY($AB28,-$AC28,Listas!$U$4:$U$22))</f>
        <v/>
      </c>
      <c r="AE28" s="28"/>
      <c r="AF28" s="28"/>
      <c r="AG28" s="28"/>
      <c r="AH28" s="28"/>
      <c r="AI28" s="27"/>
      <c r="AJ28" s="26" t="str">
        <f t="shared" si="3"/>
        <v/>
      </c>
      <c r="AK28" s="26" t="str">
        <f t="shared" si="4"/>
        <v/>
      </c>
      <c r="AL28" s="26" t="str">
        <f t="shared" si="5"/>
        <v/>
      </c>
      <c r="AM28" s="33"/>
      <c r="AN28" s="33"/>
      <c r="AO28" s="33"/>
    </row>
    <row r="29" ht="15.75" customHeight="1">
      <c r="A29" s="26" t="str">
        <f t="shared" si="6"/>
        <v/>
      </c>
      <c r="B29" s="27"/>
      <c r="C29" s="27"/>
      <c r="D29" s="27"/>
      <c r="E29" s="27"/>
      <c r="F29" s="27"/>
      <c r="G29" s="27"/>
      <c r="H29" s="27"/>
      <c r="I29" s="27"/>
      <c r="J29" s="28"/>
      <c r="K29" s="27"/>
      <c r="L29" s="27"/>
      <c r="M29" s="27"/>
      <c r="N29" s="27"/>
      <c r="O29" s="27"/>
      <c r="P29" s="27"/>
      <c r="Q29" s="27"/>
      <c r="R29" s="27"/>
      <c r="S29" s="27"/>
      <c r="T29" s="29"/>
      <c r="U29" s="29"/>
      <c r="V29" s="29"/>
      <c r="W29" s="29"/>
      <c r="X29" s="29"/>
      <c r="Y29" s="30" t="str">
        <f t="shared" si="2"/>
        <v/>
      </c>
      <c r="Z29" s="27"/>
      <c r="AA29" s="27"/>
      <c r="AB29" s="31"/>
      <c r="AC29" s="26" t="str">
        <f t="array" ref="AC29">IFERROR(INDEX(Listas!$Q$4:$Q$13,MATCH($AA29,Listas!$P$4:$P$13,0)),"")</f>
        <v/>
      </c>
      <c r="AD29" s="32" t="str">
        <f>IF(OR($AB29="",$AC29=""),"",WORKDAY($AB29,-$AC29,Listas!$U$4:$U$22))</f>
        <v/>
      </c>
      <c r="AE29" s="28"/>
      <c r="AF29" s="28"/>
      <c r="AG29" s="28"/>
      <c r="AH29" s="28"/>
      <c r="AI29" s="27"/>
      <c r="AJ29" s="26" t="str">
        <f t="shared" si="3"/>
        <v/>
      </c>
      <c r="AK29" s="26" t="str">
        <f t="shared" si="4"/>
        <v/>
      </c>
      <c r="AL29" s="26" t="str">
        <f t="shared" si="5"/>
        <v/>
      </c>
      <c r="AM29" s="33"/>
      <c r="AN29" s="33"/>
      <c r="AO29" s="33"/>
    </row>
    <row r="30" ht="15.75" customHeight="1">
      <c r="A30" s="26" t="str">
        <f t="shared" si="6"/>
        <v/>
      </c>
      <c r="B30" s="27"/>
      <c r="C30" s="27"/>
      <c r="D30" s="27"/>
      <c r="E30" s="27"/>
      <c r="F30" s="27"/>
      <c r="G30" s="27"/>
      <c r="H30" s="27"/>
      <c r="I30" s="27"/>
      <c r="J30" s="28"/>
      <c r="K30" s="27"/>
      <c r="L30" s="27"/>
      <c r="M30" s="27"/>
      <c r="N30" s="27"/>
      <c r="O30" s="27"/>
      <c r="P30" s="27"/>
      <c r="Q30" s="27"/>
      <c r="R30" s="27"/>
      <c r="S30" s="27"/>
      <c r="T30" s="29"/>
      <c r="U30" s="29"/>
      <c r="V30" s="29"/>
      <c r="W30" s="29"/>
      <c r="X30" s="29"/>
      <c r="Y30" s="30" t="str">
        <f t="shared" si="2"/>
        <v/>
      </c>
      <c r="Z30" s="27"/>
      <c r="AA30" s="27"/>
      <c r="AB30" s="31"/>
      <c r="AC30" s="26" t="str">
        <f t="array" ref="AC30">IFERROR(INDEX(Listas!$Q$4:$Q$13,MATCH($AA30,Listas!$P$4:$P$13,0)),"")</f>
        <v/>
      </c>
      <c r="AD30" s="32" t="str">
        <f>IF(OR($AB30="",$AC30=""),"",WORKDAY($AB30,-$AC30,Listas!$U$4:$U$22))</f>
        <v/>
      </c>
      <c r="AE30" s="28"/>
      <c r="AF30" s="28"/>
      <c r="AG30" s="28"/>
      <c r="AH30" s="28"/>
      <c r="AI30" s="27"/>
      <c r="AJ30" s="26" t="str">
        <f t="shared" si="3"/>
        <v/>
      </c>
      <c r="AK30" s="26" t="str">
        <f t="shared" si="4"/>
        <v/>
      </c>
      <c r="AL30" s="26" t="str">
        <f t="shared" si="5"/>
        <v/>
      </c>
      <c r="AM30" s="33"/>
      <c r="AN30" s="33"/>
      <c r="AO30" s="33"/>
    </row>
    <row r="31" ht="15.75" customHeight="1">
      <c r="A31" s="26" t="str">
        <f t="shared" si="6"/>
        <v/>
      </c>
      <c r="B31" s="27"/>
      <c r="C31" s="27"/>
      <c r="D31" s="27"/>
      <c r="E31" s="27"/>
      <c r="F31" s="27"/>
      <c r="G31" s="27"/>
      <c r="H31" s="27"/>
      <c r="I31" s="27"/>
      <c r="J31" s="28"/>
      <c r="K31" s="27"/>
      <c r="L31" s="27"/>
      <c r="M31" s="27"/>
      <c r="N31" s="27"/>
      <c r="O31" s="27"/>
      <c r="P31" s="27"/>
      <c r="Q31" s="27"/>
      <c r="R31" s="27"/>
      <c r="S31" s="27"/>
      <c r="T31" s="29"/>
      <c r="U31" s="29"/>
      <c r="V31" s="29"/>
      <c r="W31" s="29"/>
      <c r="X31" s="29"/>
      <c r="Y31" s="30" t="str">
        <f t="shared" si="2"/>
        <v/>
      </c>
      <c r="Z31" s="27"/>
      <c r="AA31" s="27"/>
      <c r="AB31" s="31"/>
      <c r="AC31" s="26" t="str">
        <f t="array" ref="AC31">IFERROR(INDEX(Listas!$Q$4:$Q$13,MATCH($AA31,Listas!$P$4:$P$13,0)),"")</f>
        <v/>
      </c>
      <c r="AD31" s="32" t="str">
        <f>IF(OR($AB31="",$AC31=""),"",WORKDAY($AB31,-$AC31,Listas!$U$4:$U$22))</f>
        <v/>
      </c>
      <c r="AE31" s="28"/>
      <c r="AF31" s="28"/>
      <c r="AG31" s="28"/>
      <c r="AH31" s="28"/>
      <c r="AI31" s="27"/>
      <c r="AJ31" s="26" t="str">
        <f t="shared" si="3"/>
        <v/>
      </c>
      <c r="AK31" s="26" t="str">
        <f t="shared" si="4"/>
        <v/>
      </c>
      <c r="AL31" s="26" t="str">
        <f t="shared" si="5"/>
        <v/>
      </c>
      <c r="AM31" s="33"/>
      <c r="AN31" s="33"/>
      <c r="AO31" s="33"/>
    </row>
    <row r="32" ht="15.75" customHeight="1">
      <c r="A32" s="26" t="str">
        <f t="shared" si="6"/>
        <v/>
      </c>
      <c r="B32" s="27"/>
      <c r="C32" s="27"/>
      <c r="D32" s="27"/>
      <c r="E32" s="27"/>
      <c r="F32" s="27"/>
      <c r="G32" s="27"/>
      <c r="H32" s="27"/>
      <c r="I32" s="27"/>
      <c r="J32" s="28"/>
      <c r="K32" s="27"/>
      <c r="L32" s="27"/>
      <c r="M32" s="27"/>
      <c r="N32" s="27"/>
      <c r="O32" s="27"/>
      <c r="P32" s="27"/>
      <c r="Q32" s="27"/>
      <c r="R32" s="27"/>
      <c r="S32" s="27"/>
      <c r="T32" s="29"/>
      <c r="U32" s="29"/>
      <c r="V32" s="29"/>
      <c r="W32" s="29"/>
      <c r="X32" s="29"/>
      <c r="Y32" s="30" t="str">
        <f t="shared" si="2"/>
        <v/>
      </c>
      <c r="Z32" s="27"/>
      <c r="AA32" s="27"/>
      <c r="AB32" s="31"/>
      <c r="AC32" s="26" t="str">
        <f t="array" ref="AC32">IFERROR(INDEX(Listas!$Q$4:$Q$13,MATCH($AA32,Listas!$P$4:$P$13,0)),"")</f>
        <v/>
      </c>
      <c r="AD32" s="32" t="str">
        <f>IF(OR($AB32="",$AC32=""),"",WORKDAY($AB32,-$AC32,Listas!$U$4:$U$22))</f>
        <v/>
      </c>
      <c r="AE32" s="28"/>
      <c r="AF32" s="28"/>
      <c r="AG32" s="28"/>
      <c r="AH32" s="28"/>
      <c r="AI32" s="27"/>
      <c r="AJ32" s="26" t="str">
        <f t="shared" si="3"/>
        <v/>
      </c>
      <c r="AK32" s="26" t="str">
        <f t="shared" si="4"/>
        <v/>
      </c>
      <c r="AL32" s="26" t="str">
        <f t="shared" si="5"/>
        <v/>
      </c>
      <c r="AM32" s="33"/>
      <c r="AN32" s="33"/>
      <c r="AO32" s="33"/>
    </row>
    <row r="33" ht="15.75" customHeight="1">
      <c r="A33" s="26" t="str">
        <f t="shared" si="6"/>
        <v/>
      </c>
      <c r="B33" s="27"/>
      <c r="C33" s="27"/>
      <c r="D33" s="27"/>
      <c r="E33" s="27"/>
      <c r="F33" s="27"/>
      <c r="G33" s="27"/>
      <c r="H33" s="27"/>
      <c r="I33" s="27"/>
      <c r="J33" s="28"/>
      <c r="K33" s="27"/>
      <c r="L33" s="27"/>
      <c r="M33" s="27"/>
      <c r="N33" s="27"/>
      <c r="O33" s="27"/>
      <c r="P33" s="27"/>
      <c r="Q33" s="27"/>
      <c r="R33" s="27"/>
      <c r="S33" s="27"/>
      <c r="T33" s="29"/>
      <c r="U33" s="29"/>
      <c r="V33" s="29"/>
      <c r="W33" s="29"/>
      <c r="X33" s="29"/>
      <c r="Y33" s="30" t="str">
        <f t="shared" si="2"/>
        <v/>
      </c>
      <c r="Z33" s="27"/>
      <c r="AA33" s="27"/>
      <c r="AB33" s="31"/>
      <c r="AC33" s="26" t="str">
        <f t="array" ref="AC33">IFERROR(INDEX(Listas!$Q$4:$Q$13,MATCH($AA33,Listas!$P$4:$P$13,0)),"")</f>
        <v/>
      </c>
      <c r="AD33" s="32" t="str">
        <f>IF(OR($AB33="",$AC33=""),"",WORKDAY($AB33,-$AC33,Listas!$U$4:$U$22))</f>
        <v/>
      </c>
      <c r="AE33" s="28"/>
      <c r="AF33" s="28"/>
      <c r="AG33" s="28"/>
      <c r="AH33" s="28"/>
      <c r="AI33" s="27"/>
      <c r="AJ33" s="26" t="str">
        <f t="shared" si="3"/>
        <v/>
      </c>
      <c r="AK33" s="26" t="str">
        <f t="shared" si="4"/>
        <v/>
      </c>
      <c r="AL33" s="26" t="str">
        <f t="shared" si="5"/>
        <v/>
      </c>
      <c r="AM33" s="33"/>
      <c r="AN33" s="33"/>
      <c r="AO33" s="33"/>
    </row>
    <row r="34" ht="15.75" customHeight="1">
      <c r="A34" s="26" t="str">
        <f t="shared" si="6"/>
        <v/>
      </c>
      <c r="B34" s="27"/>
      <c r="C34" s="27"/>
      <c r="D34" s="27"/>
      <c r="E34" s="27"/>
      <c r="F34" s="27"/>
      <c r="G34" s="27"/>
      <c r="H34" s="27"/>
      <c r="I34" s="27"/>
      <c r="J34" s="28"/>
      <c r="K34" s="27"/>
      <c r="L34" s="27"/>
      <c r="M34" s="27"/>
      <c r="N34" s="27"/>
      <c r="O34" s="27"/>
      <c r="P34" s="27"/>
      <c r="Q34" s="27"/>
      <c r="R34" s="27"/>
      <c r="S34" s="27"/>
      <c r="T34" s="29"/>
      <c r="U34" s="29"/>
      <c r="V34" s="29"/>
      <c r="W34" s="29"/>
      <c r="X34" s="29"/>
      <c r="Y34" s="30" t="str">
        <f t="shared" si="2"/>
        <v/>
      </c>
      <c r="Z34" s="27"/>
      <c r="AA34" s="27"/>
      <c r="AB34" s="31"/>
      <c r="AC34" s="26" t="str">
        <f t="array" ref="AC34">IFERROR(INDEX(Listas!$Q$4:$Q$13,MATCH($AA34,Listas!$P$4:$P$13,0)),"")</f>
        <v/>
      </c>
      <c r="AD34" s="32" t="str">
        <f>IF(OR($AB34="",$AC34=""),"",WORKDAY($AB34,-$AC34,Listas!$U$4:$U$22))</f>
        <v/>
      </c>
      <c r="AE34" s="28"/>
      <c r="AF34" s="28"/>
      <c r="AG34" s="28"/>
      <c r="AH34" s="28"/>
      <c r="AI34" s="27"/>
      <c r="AJ34" s="26" t="str">
        <f t="shared" si="3"/>
        <v/>
      </c>
      <c r="AK34" s="26" t="str">
        <f t="shared" si="4"/>
        <v/>
      </c>
      <c r="AL34" s="26" t="str">
        <f t="shared" si="5"/>
        <v/>
      </c>
      <c r="AM34" s="33"/>
      <c r="AN34" s="33"/>
      <c r="AO34" s="33"/>
    </row>
    <row r="35" ht="15.75" customHeight="1">
      <c r="A35" s="26" t="str">
        <f t="shared" si="6"/>
        <v/>
      </c>
      <c r="B35" s="27"/>
      <c r="C35" s="27"/>
      <c r="D35" s="27"/>
      <c r="E35" s="27"/>
      <c r="F35" s="27"/>
      <c r="G35" s="27"/>
      <c r="H35" s="27"/>
      <c r="I35" s="27"/>
      <c r="J35" s="28"/>
      <c r="K35" s="27"/>
      <c r="L35" s="27"/>
      <c r="M35" s="27"/>
      <c r="N35" s="27"/>
      <c r="O35" s="27"/>
      <c r="P35" s="27"/>
      <c r="Q35" s="27"/>
      <c r="R35" s="27"/>
      <c r="S35" s="27"/>
      <c r="T35" s="29"/>
      <c r="U35" s="29"/>
      <c r="V35" s="29"/>
      <c r="W35" s="29"/>
      <c r="X35" s="29"/>
      <c r="Y35" s="30" t="str">
        <f t="shared" si="2"/>
        <v/>
      </c>
      <c r="Z35" s="27"/>
      <c r="AA35" s="27"/>
      <c r="AB35" s="31"/>
      <c r="AC35" s="26" t="str">
        <f t="array" ref="AC35">IFERROR(INDEX(Listas!$Q$4:$Q$13,MATCH($AA35,Listas!$P$4:$P$13,0)),"")</f>
        <v/>
      </c>
      <c r="AD35" s="32" t="str">
        <f>IF(OR($AB35="",$AC35=""),"",WORKDAY($AB35,-$AC35,Listas!$U$4:$U$22))</f>
        <v/>
      </c>
      <c r="AE35" s="28"/>
      <c r="AF35" s="28"/>
      <c r="AG35" s="28"/>
      <c r="AH35" s="28"/>
      <c r="AI35" s="27"/>
      <c r="AJ35" s="26" t="str">
        <f t="shared" si="3"/>
        <v/>
      </c>
      <c r="AK35" s="26" t="str">
        <f t="shared" si="4"/>
        <v/>
      </c>
      <c r="AL35" s="26" t="str">
        <f t="shared" si="5"/>
        <v/>
      </c>
      <c r="AM35" s="33"/>
      <c r="AN35" s="33"/>
      <c r="AO35" s="33"/>
    </row>
    <row r="36" ht="15.75" customHeight="1">
      <c r="A36" s="26" t="str">
        <f t="shared" si="6"/>
        <v/>
      </c>
      <c r="B36" s="27"/>
      <c r="C36" s="27"/>
      <c r="D36" s="27"/>
      <c r="E36" s="27"/>
      <c r="F36" s="27"/>
      <c r="G36" s="27"/>
      <c r="H36" s="27"/>
      <c r="I36" s="27"/>
      <c r="J36" s="28"/>
      <c r="K36" s="27"/>
      <c r="L36" s="27"/>
      <c r="M36" s="27"/>
      <c r="N36" s="27"/>
      <c r="O36" s="27"/>
      <c r="P36" s="27"/>
      <c r="Q36" s="27"/>
      <c r="R36" s="27"/>
      <c r="S36" s="27"/>
      <c r="T36" s="29"/>
      <c r="U36" s="29"/>
      <c r="V36" s="29"/>
      <c r="W36" s="29"/>
      <c r="X36" s="29"/>
      <c r="Y36" s="30" t="str">
        <f t="shared" si="2"/>
        <v/>
      </c>
      <c r="Z36" s="27"/>
      <c r="AA36" s="27"/>
      <c r="AB36" s="31"/>
      <c r="AC36" s="26" t="str">
        <f t="array" ref="AC36">IFERROR(INDEX(Listas!$Q$4:$Q$13,MATCH($AA36,Listas!$P$4:$P$13,0)),"")</f>
        <v/>
      </c>
      <c r="AD36" s="32" t="str">
        <f>IF(OR($AB36="",$AC36=""),"",WORKDAY($AB36,-$AC36,Listas!$U$4:$U$22))</f>
        <v/>
      </c>
      <c r="AE36" s="28"/>
      <c r="AF36" s="28"/>
      <c r="AG36" s="28"/>
      <c r="AH36" s="28"/>
      <c r="AI36" s="27"/>
      <c r="AJ36" s="26" t="str">
        <f t="shared" si="3"/>
        <v/>
      </c>
      <c r="AK36" s="26" t="str">
        <f t="shared" si="4"/>
        <v/>
      </c>
      <c r="AL36" s="26" t="str">
        <f t="shared" si="5"/>
        <v/>
      </c>
      <c r="AM36" s="33"/>
      <c r="AN36" s="33"/>
      <c r="AO36" s="33"/>
    </row>
    <row r="37" ht="15.75" customHeight="1">
      <c r="A37" s="26" t="str">
        <f t="shared" si="6"/>
        <v/>
      </c>
      <c r="B37" s="27"/>
      <c r="C37" s="27"/>
      <c r="D37" s="27"/>
      <c r="E37" s="27"/>
      <c r="F37" s="27"/>
      <c r="G37" s="27"/>
      <c r="H37" s="27"/>
      <c r="I37" s="27"/>
      <c r="J37" s="28"/>
      <c r="K37" s="27"/>
      <c r="L37" s="27"/>
      <c r="M37" s="27"/>
      <c r="N37" s="27"/>
      <c r="O37" s="27"/>
      <c r="P37" s="27"/>
      <c r="Q37" s="27"/>
      <c r="R37" s="27"/>
      <c r="S37" s="27"/>
      <c r="T37" s="29"/>
      <c r="U37" s="29"/>
      <c r="V37" s="29"/>
      <c r="W37" s="29"/>
      <c r="X37" s="29"/>
      <c r="Y37" s="30" t="str">
        <f t="shared" si="2"/>
        <v/>
      </c>
      <c r="Z37" s="27"/>
      <c r="AA37" s="27"/>
      <c r="AB37" s="31"/>
      <c r="AC37" s="26" t="str">
        <f t="array" ref="AC37">IFERROR(INDEX(Listas!$Q$4:$Q$13,MATCH($AA37,Listas!$P$4:$P$13,0)),"")</f>
        <v/>
      </c>
      <c r="AD37" s="32" t="str">
        <f>IF(OR($AB37="",$AC37=""),"",WORKDAY($AB37,-$AC37,Listas!$U$4:$U$22))</f>
        <v/>
      </c>
      <c r="AE37" s="28"/>
      <c r="AF37" s="28"/>
      <c r="AG37" s="28"/>
      <c r="AH37" s="28"/>
      <c r="AI37" s="27"/>
      <c r="AJ37" s="26" t="str">
        <f t="shared" si="3"/>
        <v/>
      </c>
      <c r="AK37" s="26" t="str">
        <f t="shared" si="4"/>
        <v/>
      </c>
      <c r="AL37" s="26" t="str">
        <f t="shared" si="5"/>
        <v/>
      </c>
      <c r="AM37" s="33"/>
      <c r="AN37" s="33"/>
      <c r="AO37" s="33"/>
    </row>
    <row r="38" ht="15.75" customHeight="1">
      <c r="A38" s="26" t="str">
        <f t="shared" si="6"/>
        <v/>
      </c>
      <c r="B38" s="27"/>
      <c r="C38" s="27"/>
      <c r="D38" s="27"/>
      <c r="E38" s="27"/>
      <c r="F38" s="27"/>
      <c r="G38" s="27"/>
      <c r="H38" s="27"/>
      <c r="I38" s="27"/>
      <c r="J38" s="28"/>
      <c r="K38" s="27"/>
      <c r="L38" s="27"/>
      <c r="M38" s="27"/>
      <c r="N38" s="27"/>
      <c r="O38" s="27"/>
      <c r="P38" s="27"/>
      <c r="Q38" s="27"/>
      <c r="R38" s="27"/>
      <c r="S38" s="27"/>
      <c r="T38" s="29"/>
      <c r="U38" s="29"/>
      <c r="V38" s="29"/>
      <c r="W38" s="29"/>
      <c r="X38" s="29"/>
      <c r="Y38" s="30" t="str">
        <f t="shared" si="2"/>
        <v/>
      </c>
      <c r="Z38" s="27"/>
      <c r="AA38" s="27"/>
      <c r="AB38" s="31"/>
      <c r="AC38" s="26" t="str">
        <f t="array" ref="AC38">IFERROR(INDEX(Listas!$Q$4:$Q$13,MATCH($AA38,Listas!$P$4:$P$13,0)),"")</f>
        <v/>
      </c>
      <c r="AD38" s="32" t="str">
        <f>IF(OR($AB38="",$AC38=""),"",WORKDAY($AB38,-$AC38,Listas!$U$4:$U$22))</f>
        <v/>
      </c>
      <c r="AE38" s="28"/>
      <c r="AF38" s="28"/>
      <c r="AG38" s="28"/>
      <c r="AH38" s="28"/>
      <c r="AI38" s="27"/>
      <c r="AJ38" s="26" t="str">
        <f t="shared" si="3"/>
        <v/>
      </c>
      <c r="AK38" s="26" t="str">
        <f t="shared" si="4"/>
        <v/>
      </c>
      <c r="AL38" s="26" t="str">
        <f t="shared" si="5"/>
        <v/>
      </c>
      <c r="AM38" s="33"/>
      <c r="AN38" s="33"/>
      <c r="AO38" s="33"/>
    </row>
    <row r="39" ht="15.75" customHeight="1">
      <c r="A39" s="26" t="str">
        <f t="shared" si="6"/>
        <v/>
      </c>
      <c r="B39" s="27"/>
      <c r="C39" s="27"/>
      <c r="D39" s="27"/>
      <c r="E39" s="27"/>
      <c r="F39" s="27"/>
      <c r="G39" s="27"/>
      <c r="H39" s="27"/>
      <c r="I39" s="27"/>
      <c r="J39" s="28"/>
      <c r="K39" s="27"/>
      <c r="L39" s="27"/>
      <c r="M39" s="27"/>
      <c r="N39" s="27"/>
      <c r="O39" s="27"/>
      <c r="P39" s="27"/>
      <c r="Q39" s="27"/>
      <c r="R39" s="27"/>
      <c r="S39" s="27"/>
      <c r="T39" s="29"/>
      <c r="U39" s="29"/>
      <c r="V39" s="29"/>
      <c r="W39" s="29"/>
      <c r="X39" s="29"/>
      <c r="Y39" s="30" t="str">
        <f t="shared" si="2"/>
        <v/>
      </c>
      <c r="Z39" s="27"/>
      <c r="AA39" s="27"/>
      <c r="AB39" s="31"/>
      <c r="AC39" s="26" t="str">
        <f t="array" ref="AC39">IFERROR(INDEX(Listas!$Q$4:$Q$13,MATCH($AA39,Listas!$P$4:$P$13,0)),"")</f>
        <v/>
      </c>
      <c r="AD39" s="32" t="str">
        <f>IF(OR($AB39="",$AC39=""),"",WORKDAY($AB39,-$AC39,Listas!$U$4:$U$22))</f>
        <v/>
      </c>
      <c r="AE39" s="28"/>
      <c r="AF39" s="28"/>
      <c r="AG39" s="28"/>
      <c r="AH39" s="28"/>
      <c r="AI39" s="27"/>
      <c r="AJ39" s="26" t="str">
        <f t="shared" si="3"/>
        <v/>
      </c>
      <c r="AK39" s="26" t="str">
        <f t="shared" si="4"/>
        <v/>
      </c>
      <c r="AL39" s="26" t="str">
        <f t="shared" si="5"/>
        <v/>
      </c>
      <c r="AM39" s="33"/>
      <c r="AN39" s="33"/>
      <c r="AO39" s="33"/>
    </row>
    <row r="40" ht="15.75" customHeight="1">
      <c r="A40" s="26" t="str">
        <f t="shared" si="6"/>
        <v/>
      </c>
      <c r="B40" s="27"/>
      <c r="C40" s="27"/>
      <c r="D40" s="27"/>
      <c r="E40" s="27"/>
      <c r="F40" s="27"/>
      <c r="G40" s="27"/>
      <c r="H40" s="27"/>
      <c r="I40" s="27"/>
      <c r="J40" s="28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9"/>
      <c r="V40" s="29"/>
      <c r="W40" s="29"/>
      <c r="X40" s="29"/>
      <c r="Y40" s="30" t="str">
        <f t="shared" si="2"/>
        <v/>
      </c>
      <c r="Z40" s="27"/>
      <c r="AA40" s="27"/>
      <c r="AB40" s="31"/>
      <c r="AC40" s="26" t="str">
        <f t="array" ref="AC40">IFERROR(INDEX(Listas!$Q$4:$Q$13,MATCH($AA40,Listas!$P$4:$P$13,0)),"")</f>
        <v/>
      </c>
      <c r="AD40" s="32" t="str">
        <f>IF(OR($AB40="",$AC40=""),"",WORKDAY($AB40,-$AC40,Listas!$U$4:$U$22))</f>
        <v/>
      </c>
      <c r="AE40" s="28"/>
      <c r="AF40" s="28"/>
      <c r="AG40" s="28"/>
      <c r="AH40" s="28"/>
      <c r="AI40" s="27"/>
      <c r="AJ40" s="26" t="str">
        <f t="shared" si="3"/>
        <v/>
      </c>
      <c r="AK40" s="26" t="str">
        <f t="shared" si="4"/>
        <v/>
      </c>
      <c r="AL40" s="26" t="str">
        <f t="shared" si="5"/>
        <v/>
      </c>
      <c r="AM40" s="33"/>
      <c r="AN40" s="33"/>
      <c r="AO40" s="33"/>
    </row>
    <row r="41" ht="15.75" customHeight="1">
      <c r="A41" s="26" t="str">
        <f t="shared" si="6"/>
        <v/>
      </c>
      <c r="B41" s="27"/>
      <c r="C41" s="27"/>
      <c r="D41" s="27"/>
      <c r="E41" s="27"/>
      <c r="F41" s="27"/>
      <c r="G41" s="27"/>
      <c r="H41" s="27"/>
      <c r="I41" s="27"/>
      <c r="J41" s="28"/>
      <c r="K41" s="27"/>
      <c r="L41" s="27"/>
      <c r="M41" s="27"/>
      <c r="N41" s="27"/>
      <c r="O41" s="27"/>
      <c r="P41" s="27"/>
      <c r="Q41" s="27"/>
      <c r="R41" s="27"/>
      <c r="S41" s="27"/>
      <c r="T41" s="29"/>
      <c r="U41" s="29"/>
      <c r="V41" s="29"/>
      <c r="W41" s="29"/>
      <c r="X41" s="29"/>
      <c r="Y41" s="30" t="str">
        <f t="shared" si="2"/>
        <v/>
      </c>
      <c r="Z41" s="27"/>
      <c r="AA41" s="27"/>
      <c r="AB41" s="31"/>
      <c r="AC41" s="26" t="str">
        <f t="array" ref="AC41">IFERROR(INDEX(Listas!$Q$4:$Q$13,MATCH($AA41,Listas!$P$4:$P$13,0)),"")</f>
        <v/>
      </c>
      <c r="AD41" s="32" t="str">
        <f>IF(OR($AB41="",$AC41=""),"",WORKDAY($AB41,-$AC41,Listas!$U$4:$U$22))</f>
        <v/>
      </c>
      <c r="AE41" s="28"/>
      <c r="AF41" s="28"/>
      <c r="AG41" s="28"/>
      <c r="AH41" s="28"/>
      <c r="AI41" s="27"/>
      <c r="AJ41" s="26" t="str">
        <f t="shared" si="3"/>
        <v/>
      </c>
      <c r="AK41" s="26" t="str">
        <f t="shared" si="4"/>
        <v/>
      </c>
      <c r="AL41" s="26" t="str">
        <f t="shared" si="5"/>
        <v/>
      </c>
      <c r="AM41" s="33"/>
      <c r="AN41" s="33"/>
      <c r="AO41" s="33"/>
    </row>
    <row r="42" ht="15.75" customHeight="1">
      <c r="A42" s="26" t="str">
        <f t="shared" si="6"/>
        <v/>
      </c>
      <c r="B42" s="27"/>
      <c r="C42" s="27"/>
      <c r="D42" s="27"/>
      <c r="E42" s="27"/>
      <c r="F42" s="27"/>
      <c r="G42" s="27"/>
      <c r="H42" s="27"/>
      <c r="I42" s="27"/>
      <c r="J42" s="28"/>
      <c r="K42" s="27"/>
      <c r="L42" s="27"/>
      <c r="M42" s="27"/>
      <c r="N42" s="27"/>
      <c r="O42" s="27"/>
      <c r="P42" s="27"/>
      <c r="Q42" s="27"/>
      <c r="R42" s="27"/>
      <c r="S42" s="27"/>
      <c r="T42" s="29"/>
      <c r="U42" s="29"/>
      <c r="V42" s="29"/>
      <c r="W42" s="29"/>
      <c r="X42" s="29"/>
      <c r="Y42" s="30" t="str">
        <f t="shared" si="2"/>
        <v/>
      </c>
      <c r="Z42" s="27"/>
      <c r="AA42" s="27"/>
      <c r="AB42" s="31"/>
      <c r="AC42" s="26" t="str">
        <f t="array" ref="AC42">IFERROR(INDEX(Listas!$Q$4:$Q$13,MATCH($AA42,Listas!$P$4:$P$13,0)),"")</f>
        <v/>
      </c>
      <c r="AD42" s="32" t="str">
        <f>IF(OR($AB42="",$AC42=""),"",WORKDAY($AB42,-$AC42,Listas!$U$4:$U$22))</f>
        <v/>
      </c>
      <c r="AE42" s="28"/>
      <c r="AF42" s="28"/>
      <c r="AG42" s="28"/>
      <c r="AH42" s="28"/>
      <c r="AI42" s="27"/>
      <c r="AJ42" s="26" t="str">
        <f t="shared" si="3"/>
        <v/>
      </c>
      <c r="AK42" s="26" t="str">
        <f t="shared" si="4"/>
        <v/>
      </c>
      <c r="AL42" s="26" t="str">
        <f t="shared" si="5"/>
        <v/>
      </c>
      <c r="AM42" s="33"/>
      <c r="AN42" s="33"/>
      <c r="AO42" s="33"/>
    </row>
    <row r="43" ht="15.75" customHeight="1">
      <c r="A43" s="26" t="str">
        <f t="shared" si="6"/>
        <v/>
      </c>
      <c r="B43" s="27"/>
      <c r="C43" s="27"/>
      <c r="D43" s="27"/>
      <c r="E43" s="27"/>
      <c r="F43" s="27"/>
      <c r="G43" s="27"/>
      <c r="H43" s="27"/>
      <c r="I43" s="27"/>
      <c r="J43" s="28"/>
      <c r="K43" s="27"/>
      <c r="L43" s="27"/>
      <c r="M43" s="27"/>
      <c r="N43" s="27"/>
      <c r="O43" s="27"/>
      <c r="P43" s="27"/>
      <c r="Q43" s="27"/>
      <c r="R43" s="27"/>
      <c r="S43" s="27"/>
      <c r="T43" s="29"/>
      <c r="U43" s="29"/>
      <c r="V43" s="29"/>
      <c r="W43" s="29"/>
      <c r="X43" s="29"/>
      <c r="Y43" s="30" t="str">
        <f t="shared" si="2"/>
        <v/>
      </c>
      <c r="Z43" s="27"/>
      <c r="AA43" s="27"/>
      <c r="AB43" s="31"/>
      <c r="AC43" s="26" t="str">
        <f t="array" ref="AC43">IFERROR(INDEX(Listas!$Q$4:$Q$13,MATCH($AA43,Listas!$P$4:$P$13,0)),"")</f>
        <v/>
      </c>
      <c r="AD43" s="32" t="str">
        <f>IF(OR($AB43="",$AC43=""),"",WORKDAY($AB43,-$AC43,Listas!$U$4:$U$22))</f>
        <v/>
      </c>
      <c r="AE43" s="28"/>
      <c r="AF43" s="28"/>
      <c r="AG43" s="28"/>
      <c r="AH43" s="28"/>
      <c r="AI43" s="27"/>
      <c r="AJ43" s="26" t="str">
        <f t="shared" si="3"/>
        <v/>
      </c>
      <c r="AK43" s="26" t="str">
        <f t="shared" si="4"/>
        <v/>
      </c>
      <c r="AL43" s="26" t="str">
        <f t="shared" si="5"/>
        <v/>
      </c>
      <c r="AM43" s="33"/>
      <c r="AN43" s="33"/>
      <c r="AO43" s="33"/>
    </row>
    <row r="44" ht="15.75" customHeight="1">
      <c r="A44" s="26" t="str">
        <f t="shared" si="6"/>
        <v/>
      </c>
      <c r="B44" s="27"/>
      <c r="C44" s="27"/>
      <c r="D44" s="27"/>
      <c r="E44" s="27"/>
      <c r="F44" s="27"/>
      <c r="G44" s="27"/>
      <c r="H44" s="27"/>
      <c r="I44" s="27"/>
      <c r="J44" s="28"/>
      <c r="K44" s="27"/>
      <c r="L44" s="27"/>
      <c r="M44" s="27"/>
      <c r="N44" s="27"/>
      <c r="O44" s="27"/>
      <c r="P44" s="27"/>
      <c r="Q44" s="27"/>
      <c r="R44" s="27"/>
      <c r="S44" s="27"/>
      <c r="T44" s="29"/>
      <c r="U44" s="29"/>
      <c r="V44" s="29"/>
      <c r="W44" s="29"/>
      <c r="X44" s="29"/>
      <c r="Y44" s="30" t="str">
        <f t="shared" si="2"/>
        <v/>
      </c>
      <c r="Z44" s="27"/>
      <c r="AA44" s="27"/>
      <c r="AB44" s="31"/>
      <c r="AC44" s="26" t="str">
        <f t="array" ref="AC44">IFERROR(INDEX(Listas!$Q$4:$Q$13,MATCH($AA44,Listas!$P$4:$P$13,0)),"")</f>
        <v/>
      </c>
      <c r="AD44" s="32" t="str">
        <f>IF(OR($AB44="",$AC44=""),"",WORKDAY($AB44,-$AC44,Listas!$U$4:$U$22))</f>
        <v/>
      </c>
      <c r="AE44" s="28"/>
      <c r="AF44" s="28"/>
      <c r="AG44" s="28"/>
      <c r="AH44" s="28"/>
      <c r="AI44" s="27"/>
      <c r="AJ44" s="26" t="str">
        <f t="shared" si="3"/>
        <v/>
      </c>
      <c r="AK44" s="26" t="str">
        <f t="shared" si="4"/>
        <v/>
      </c>
      <c r="AL44" s="26" t="str">
        <f t="shared" si="5"/>
        <v/>
      </c>
      <c r="AM44" s="33"/>
      <c r="AN44" s="33"/>
      <c r="AO44" s="33"/>
    </row>
    <row r="45" ht="15.75" customHeight="1">
      <c r="A45" s="26" t="str">
        <f t="shared" si="6"/>
        <v/>
      </c>
      <c r="B45" s="27"/>
      <c r="C45" s="27"/>
      <c r="D45" s="27"/>
      <c r="E45" s="27"/>
      <c r="F45" s="27"/>
      <c r="G45" s="27"/>
      <c r="H45" s="27"/>
      <c r="I45" s="27"/>
      <c r="J45" s="28"/>
      <c r="K45" s="27"/>
      <c r="L45" s="27"/>
      <c r="M45" s="27"/>
      <c r="N45" s="27"/>
      <c r="O45" s="27"/>
      <c r="P45" s="27"/>
      <c r="Q45" s="27"/>
      <c r="R45" s="27"/>
      <c r="S45" s="27"/>
      <c r="T45" s="29"/>
      <c r="U45" s="29"/>
      <c r="V45" s="29"/>
      <c r="W45" s="29"/>
      <c r="X45" s="29"/>
      <c r="Y45" s="30" t="str">
        <f t="shared" si="2"/>
        <v/>
      </c>
      <c r="Z45" s="27"/>
      <c r="AA45" s="27"/>
      <c r="AB45" s="31"/>
      <c r="AC45" s="26" t="str">
        <f t="array" ref="AC45">IFERROR(INDEX(Listas!$Q$4:$Q$13,MATCH($AA45,Listas!$P$4:$P$13,0)),"")</f>
        <v/>
      </c>
      <c r="AD45" s="32" t="str">
        <f>IF(OR($AB45="",$AC45=""),"",WORKDAY($AB45,-$AC45,Listas!$U$4:$U$22))</f>
        <v/>
      </c>
      <c r="AE45" s="28"/>
      <c r="AF45" s="28"/>
      <c r="AG45" s="28"/>
      <c r="AH45" s="28"/>
      <c r="AI45" s="27"/>
      <c r="AJ45" s="26" t="str">
        <f t="shared" si="3"/>
        <v/>
      </c>
      <c r="AK45" s="26" t="str">
        <f t="shared" si="4"/>
        <v/>
      </c>
      <c r="AL45" s="26" t="str">
        <f t="shared" si="5"/>
        <v/>
      </c>
      <c r="AM45" s="33"/>
      <c r="AN45" s="33"/>
      <c r="AO45" s="33"/>
    </row>
    <row r="46" ht="15.75" customHeight="1">
      <c r="A46" s="26" t="str">
        <f t="shared" si="6"/>
        <v/>
      </c>
      <c r="B46" s="27"/>
      <c r="C46" s="27"/>
      <c r="D46" s="27"/>
      <c r="E46" s="27"/>
      <c r="F46" s="27"/>
      <c r="G46" s="27"/>
      <c r="H46" s="27"/>
      <c r="I46" s="27"/>
      <c r="J46" s="28"/>
      <c r="K46" s="27"/>
      <c r="L46" s="27"/>
      <c r="M46" s="27"/>
      <c r="N46" s="27"/>
      <c r="O46" s="27"/>
      <c r="P46" s="27"/>
      <c r="Q46" s="27"/>
      <c r="R46" s="27"/>
      <c r="S46" s="27"/>
      <c r="T46" s="29"/>
      <c r="U46" s="29"/>
      <c r="V46" s="29"/>
      <c r="W46" s="29"/>
      <c r="X46" s="29"/>
      <c r="Y46" s="30" t="str">
        <f t="shared" si="2"/>
        <v/>
      </c>
      <c r="Z46" s="27"/>
      <c r="AA46" s="27"/>
      <c r="AB46" s="31"/>
      <c r="AC46" s="26" t="str">
        <f t="array" ref="AC46">IFERROR(INDEX(Listas!$Q$4:$Q$13,MATCH($AA46,Listas!$P$4:$P$13,0)),"")</f>
        <v/>
      </c>
      <c r="AD46" s="32" t="str">
        <f>IF(OR($AB46="",$AC46=""),"",WORKDAY($AB46,-$AC46,Listas!$U$4:$U$22))</f>
        <v/>
      </c>
      <c r="AE46" s="28"/>
      <c r="AF46" s="28"/>
      <c r="AG46" s="28"/>
      <c r="AH46" s="28"/>
      <c r="AI46" s="27"/>
      <c r="AJ46" s="26" t="str">
        <f t="shared" si="3"/>
        <v/>
      </c>
      <c r="AK46" s="26" t="str">
        <f t="shared" si="4"/>
        <v/>
      </c>
      <c r="AL46" s="26" t="str">
        <f t="shared" si="5"/>
        <v/>
      </c>
      <c r="AM46" s="33"/>
      <c r="AN46" s="33"/>
      <c r="AO46" s="33"/>
    </row>
    <row r="47" ht="15.75" customHeight="1">
      <c r="A47" s="26" t="str">
        <f t="shared" si="6"/>
        <v/>
      </c>
      <c r="B47" s="27"/>
      <c r="C47" s="27"/>
      <c r="D47" s="27"/>
      <c r="E47" s="27"/>
      <c r="F47" s="27"/>
      <c r="G47" s="27"/>
      <c r="H47" s="27"/>
      <c r="I47" s="27"/>
      <c r="J47" s="28"/>
      <c r="K47" s="27"/>
      <c r="L47" s="27"/>
      <c r="M47" s="27"/>
      <c r="N47" s="27"/>
      <c r="O47" s="27"/>
      <c r="P47" s="27"/>
      <c r="Q47" s="27"/>
      <c r="R47" s="27"/>
      <c r="S47" s="27"/>
      <c r="T47" s="29"/>
      <c r="U47" s="29"/>
      <c r="V47" s="29"/>
      <c r="W47" s="29"/>
      <c r="X47" s="29"/>
      <c r="Y47" s="30" t="str">
        <f t="shared" si="2"/>
        <v/>
      </c>
      <c r="Z47" s="27"/>
      <c r="AA47" s="27"/>
      <c r="AB47" s="31"/>
      <c r="AC47" s="26" t="str">
        <f t="array" ref="AC47">IFERROR(INDEX(Listas!$Q$4:$Q$13,MATCH($AA47,Listas!$P$4:$P$13,0)),"")</f>
        <v/>
      </c>
      <c r="AD47" s="32" t="str">
        <f>IF(OR($AB47="",$AC47=""),"",WORKDAY($AB47,-$AC47,Listas!$U$4:$U$22))</f>
        <v/>
      </c>
      <c r="AE47" s="28"/>
      <c r="AF47" s="28"/>
      <c r="AG47" s="28"/>
      <c r="AH47" s="28"/>
      <c r="AI47" s="27"/>
      <c r="AJ47" s="26" t="str">
        <f t="shared" si="3"/>
        <v/>
      </c>
      <c r="AK47" s="26" t="str">
        <f t="shared" si="4"/>
        <v/>
      </c>
      <c r="AL47" s="26" t="str">
        <f t="shared" si="5"/>
        <v/>
      </c>
      <c r="AM47" s="33"/>
      <c r="AN47" s="33"/>
      <c r="AO47" s="33"/>
    </row>
    <row r="48" ht="15.75" customHeight="1">
      <c r="A48" s="26" t="str">
        <f t="shared" si="6"/>
        <v/>
      </c>
      <c r="B48" s="27"/>
      <c r="C48" s="27"/>
      <c r="D48" s="27"/>
      <c r="E48" s="27"/>
      <c r="F48" s="27"/>
      <c r="G48" s="27"/>
      <c r="H48" s="27"/>
      <c r="I48" s="27"/>
      <c r="J48" s="28"/>
      <c r="K48" s="27"/>
      <c r="L48" s="27"/>
      <c r="M48" s="27"/>
      <c r="N48" s="27"/>
      <c r="O48" s="27"/>
      <c r="P48" s="27"/>
      <c r="Q48" s="27"/>
      <c r="R48" s="27"/>
      <c r="S48" s="27"/>
      <c r="T48" s="29"/>
      <c r="U48" s="29"/>
      <c r="V48" s="29"/>
      <c r="W48" s="29"/>
      <c r="X48" s="29"/>
      <c r="Y48" s="30" t="str">
        <f t="shared" si="2"/>
        <v/>
      </c>
      <c r="Z48" s="27"/>
      <c r="AA48" s="27"/>
      <c r="AB48" s="31"/>
      <c r="AC48" s="26" t="str">
        <f t="array" ref="AC48">IFERROR(INDEX(Listas!$Q$4:$Q$13,MATCH($AA48,Listas!$P$4:$P$13,0)),"")</f>
        <v/>
      </c>
      <c r="AD48" s="32" t="str">
        <f>IF(OR($AB48="",$AC48=""),"",WORKDAY($AB48,-$AC48,Listas!$U$4:$U$22))</f>
        <v/>
      </c>
      <c r="AE48" s="28"/>
      <c r="AF48" s="28"/>
      <c r="AG48" s="28"/>
      <c r="AH48" s="28"/>
      <c r="AI48" s="27"/>
      <c r="AJ48" s="26" t="str">
        <f t="shared" si="3"/>
        <v/>
      </c>
      <c r="AK48" s="26" t="str">
        <f t="shared" si="4"/>
        <v/>
      </c>
      <c r="AL48" s="26" t="str">
        <f t="shared" si="5"/>
        <v/>
      </c>
      <c r="AM48" s="33"/>
      <c r="AN48" s="33"/>
      <c r="AO48" s="33"/>
    </row>
    <row r="49" ht="15.75" customHeight="1">
      <c r="A49" s="26" t="str">
        <f t="shared" si="6"/>
        <v/>
      </c>
      <c r="B49" s="27"/>
      <c r="C49" s="27"/>
      <c r="D49" s="27"/>
      <c r="E49" s="27"/>
      <c r="F49" s="27"/>
      <c r="G49" s="27"/>
      <c r="H49" s="27"/>
      <c r="I49" s="27"/>
      <c r="J49" s="28"/>
      <c r="K49" s="27"/>
      <c r="L49" s="27"/>
      <c r="M49" s="27"/>
      <c r="N49" s="27"/>
      <c r="O49" s="27"/>
      <c r="P49" s="27"/>
      <c r="Q49" s="27"/>
      <c r="R49" s="27"/>
      <c r="S49" s="27"/>
      <c r="T49" s="29"/>
      <c r="U49" s="29"/>
      <c r="V49" s="29"/>
      <c r="W49" s="29"/>
      <c r="X49" s="29"/>
      <c r="Y49" s="30" t="str">
        <f t="shared" si="2"/>
        <v/>
      </c>
      <c r="Z49" s="27"/>
      <c r="AA49" s="27"/>
      <c r="AB49" s="31"/>
      <c r="AC49" s="26" t="str">
        <f t="array" ref="AC49">IFERROR(INDEX(Listas!$Q$4:$Q$13,MATCH($AA49,Listas!$P$4:$P$13,0)),"")</f>
        <v/>
      </c>
      <c r="AD49" s="32" t="str">
        <f>IF(OR($AB49="",$AC49=""),"",WORKDAY($AB49,-$AC49,Listas!$U$4:$U$22))</f>
        <v/>
      </c>
      <c r="AE49" s="28"/>
      <c r="AF49" s="28"/>
      <c r="AG49" s="28"/>
      <c r="AH49" s="28"/>
      <c r="AI49" s="27"/>
      <c r="AJ49" s="26" t="str">
        <f t="shared" si="3"/>
        <v/>
      </c>
      <c r="AK49" s="26" t="str">
        <f t="shared" si="4"/>
        <v/>
      </c>
      <c r="AL49" s="26" t="str">
        <f t="shared" si="5"/>
        <v/>
      </c>
      <c r="AM49" s="33"/>
      <c r="AN49" s="33"/>
      <c r="AO49" s="33"/>
    </row>
    <row r="50" ht="15.75" customHeight="1">
      <c r="A50" s="26" t="str">
        <f t="shared" si="6"/>
        <v/>
      </c>
      <c r="B50" s="27"/>
      <c r="C50" s="27"/>
      <c r="D50" s="27"/>
      <c r="E50" s="27"/>
      <c r="F50" s="27"/>
      <c r="G50" s="27"/>
      <c r="H50" s="27"/>
      <c r="I50" s="27"/>
      <c r="J50" s="28"/>
      <c r="K50" s="27"/>
      <c r="L50" s="27"/>
      <c r="M50" s="27"/>
      <c r="N50" s="27"/>
      <c r="O50" s="27"/>
      <c r="P50" s="27"/>
      <c r="Q50" s="27"/>
      <c r="R50" s="27"/>
      <c r="S50" s="27"/>
      <c r="T50" s="29"/>
      <c r="U50" s="29"/>
      <c r="V50" s="29"/>
      <c r="W50" s="29"/>
      <c r="X50" s="29"/>
      <c r="Y50" s="30" t="str">
        <f t="shared" si="2"/>
        <v/>
      </c>
      <c r="Z50" s="27"/>
      <c r="AA50" s="27"/>
      <c r="AB50" s="31"/>
      <c r="AC50" s="26" t="str">
        <f t="array" ref="AC50">IFERROR(INDEX(Listas!$Q$4:$Q$13,MATCH($AA50,Listas!$P$4:$P$13,0)),"")</f>
        <v/>
      </c>
      <c r="AD50" s="32" t="str">
        <f>IF(OR($AB50="",$AC50=""),"",WORKDAY($AB50,-$AC50,Listas!$U$4:$U$22))</f>
        <v/>
      </c>
      <c r="AE50" s="28"/>
      <c r="AF50" s="28"/>
      <c r="AG50" s="28"/>
      <c r="AH50" s="28"/>
      <c r="AI50" s="27"/>
      <c r="AJ50" s="26" t="str">
        <f t="shared" si="3"/>
        <v/>
      </c>
      <c r="AK50" s="26" t="str">
        <f t="shared" si="4"/>
        <v/>
      </c>
      <c r="AL50" s="26" t="str">
        <f t="shared" si="5"/>
        <v/>
      </c>
      <c r="AM50" s="33"/>
      <c r="AN50" s="33"/>
      <c r="AO50" s="33"/>
    </row>
    <row r="51" ht="15.75" customHeight="1">
      <c r="A51" s="26" t="str">
        <f t="shared" si="6"/>
        <v/>
      </c>
      <c r="B51" s="27"/>
      <c r="C51" s="27"/>
      <c r="D51" s="27"/>
      <c r="E51" s="27"/>
      <c r="F51" s="27"/>
      <c r="G51" s="27"/>
      <c r="H51" s="27"/>
      <c r="I51" s="27"/>
      <c r="J51" s="28"/>
      <c r="K51" s="27"/>
      <c r="L51" s="27"/>
      <c r="M51" s="27"/>
      <c r="N51" s="27"/>
      <c r="O51" s="27"/>
      <c r="P51" s="27"/>
      <c r="Q51" s="27"/>
      <c r="R51" s="27"/>
      <c r="S51" s="27"/>
      <c r="T51" s="29"/>
      <c r="U51" s="29"/>
      <c r="V51" s="29"/>
      <c r="W51" s="29"/>
      <c r="X51" s="29"/>
      <c r="Y51" s="30" t="str">
        <f t="shared" si="2"/>
        <v/>
      </c>
      <c r="Z51" s="27"/>
      <c r="AA51" s="27"/>
      <c r="AB51" s="31"/>
      <c r="AC51" s="26" t="str">
        <f t="array" ref="AC51">IFERROR(INDEX(Listas!$Q$4:$Q$13,MATCH($AA51,Listas!$P$4:$P$13,0)),"")</f>
        <v/>
      </c>
      <c r="AD51" s="32" t="str">
        <f>IF(OR($AB51="",$AC51=""),"",WORKDAY($AB51,-$AC51,Listas!$U$4:$U$22))</f>
        <v/>
      </c>
      <c r="AE51" s="28"/>
      <c r="AF51" s="28"/>
      <c r="AG51" s="28"/>
      <c r="AH51" s="28"/>
      <c r="AI51" s="27"/>
      <c r="AJ51" s="26" t="str">
        <f t="shared" si="3"/>
        <v/>
      </c>
      <c r="AK51" s="26" t="str">
        <f t="shared" si="4"/>
        <v/>
      </c>
      <c r="AL51" s="26" t="str">
        <f t="shared" si="5"/>
        <v/>
      </c>
      <c r="AM51" s="33"/>
      <c r="AN51" s="33"/>
      <c r="AO51" s="33"/>
    </row>
    <row r="52" ht="15.75" customHeight="1">
      <c r="A52" s="26" t="str">
        <f t="shared" si="6"/>
        <v/>
      </c>
      <c r="B52" s="27"/>
      <c r="C52" s="27"/>
      <c r="D52" s="27"/>
      <c r="E52" s="27"/>
      <c r="F52" s="27"/>
      <c r="G52" s="27"/>
      <c r="H52" s="27"/>
      <c r="I52" s="27"/>
      <c r="J52" s="28"/>
      <c r="K52" s="27"/>
      <c r="L52" s="27"/>
      <c r="M52" s="27"/>
      <c r="N52" s="27"/>
      <c r="O52" s="27"/>
      <c r="P52" s="27"/>
      <c r="Q52" s="27"/>
      <c r="R52" s="27"/>
      <c r="S52" s="27"/>
      <c r="T52" s="29"/>
      <c r="U52" s="29"/>
      <c r="V52" s="29"/>
      <c r="W52" s="29"/>
      <c r="X52" s="29"/>
      <c r="Y52" s="30" t="str">
        <f t="shared" si="2"/>
        <v/>
      </c>
      <c r="Z52" s="27"/>
      <c r="AA52" s="27"/>
      <c r="AB52" s="31"/>
      <c r="AC52" s="26" t="str">
        <f t="array" ref="AC52">IFERROR(INDEX(Listas!$Q$4:$Q$13,MATCH($AA52,Listas!$P$4:$P$13,0)),"")</f>
        <v/>
      </c>
      <c r="AD52" s="32" t="str">
        <f>IF(OR($AB52="",$AC52=""),"",WORKDAY($AB52,-$AC52,Listas!$U$4:$U$22))</f>
        <v/>
      </c>
      <c r="AE52" s="28"/>
      <c r="AF52" s="28"/>
      <c r="AG52" s="28"/>
      <c r="AH52" s="28"/>
      <c r="AI52" s="27"/>
      <c r="AJ52" s="26" t="str">
        <f t="shared" si="3"/>
        <v/>
      </c>
      <c r="AK52" s="26" t="str">
        <f t="shared" si="4"/>
        <v/>
      </c>
      <c r="AL52" s="26" t="str">
        <f t="shared" si="5"/>
        <v/>
      </c>
      <c r="AM52" s="33"/>
      <c r="AN52" s="33"/>
      <c r="AO52" s="33"/>
    </row>
    <row r="53" ht="15.75" customHeight="1">
      <c r="A53" s="26" t="str">
        <f t="shared" si="6"/>
        <v/>
      </c>
      <c r="B53" s="27"/>
      <c r="C53" s="27"/>
      <c r="D53" s="27"/>
      <c r="E53" s="27"/>
      <c r="F53" s="27"/>
      <c r="G53" s="27"/>
      <c r="H53" s="27"/>
      <c r="I53" s="27"/>
      <c r="J53" s="28"/>
      <c r="K53" s="27"/>
      <c r="L53" s="27"/>
      <c r="M53" s="27"/>
      <c r="N53" s="27"/>
      <c r="O53" s="27"/>
      <c r="P53" s="27"/>
      <c r="Q53" s="27"/>
      <c r="R53" s="27"/>
      <c r="S53" s="27"/>
      <c r="T53" s="29"/>
      <c r="U53" s="29"/>
      <c r="V53" s="29"/>
      <c r="W53" s="29"/>
      <c r="X53" s="29"/>
      <c r="Y53" s="30" t="str">
        <f t="shared" si="2"/>
        <v/>
      </c>
      <c r="Z53" s="27"/>
      <c r="AA53" s="27"/>
      <c r="AB53" s="31"/>
      <c r="AC53" s="26" t="str">
        <f t="array" ref="AC53">IFERROR(INDEX(Listas!$Q$4:$Q$13,MATCH($AA53,Listas!$P$4:$P$13,0)),"")</f>
        <v/>
      </c>
      <c r="AD53" s="32" t="str">
        <f>IF(OR($AB53="",$AC53=""),"",WORKDAY($AB53,-$AC53,Listas!$U$4:$U$22))</f>
        <v/>
      </c>
      <c r="AE53" s="28"/>
      <c r="AF53" s="28"/>
      <c r="AG53" s="28"/>
      <c r="AH53" s="28"/>
      <c r="AI53" s="27"/>
      <c r="AJ53" s="26" t="str">
        <f t="shared" si="3"/>
        <v/>
      </c>
      <c r="AK53" s="26" t="str">
        <f t="shared" si="4"/>
        <v/>
      </c>
      <c r="AL53" s="26" t="str">
        <f t="shared" si="5"/>
        <v/>
      </c>
      <c r="AM53" s="33"/>
      <c r="AN53" s="33"/>
      <c r="AO53" s="33"/>
    </row>
    <row r="54" ht="15.75" customHeight="1">
      <c r="A54" s="26" t="str">
        <f t="shared" si="6"/>
        <v/>
      </c>
      <c r="B54" s="27"/>
      <c r="C54" s="27"/>
      <c r="D54" s="27"/>
      <c r="E54" s="27"/>
      <c r="F54" s="27"/>
      <c r="G54" s="27"/>
      <c r="H54" s="27"/>
      <c r="I54" s="27"/>
      <c r="J54" s="28"/>
      <c r="K54" s="27"/>
      <c r="L54" s="27"/>
      <c r="M54" s="27"/>
      <c r="N54" s="27"/>
      <c r="O54" s="27"/>
      <c r="P54" s="27"/>
      <c r="Q54" s="27"/>
      <c r="R54" s="27"/>
      <c r="S54" s="27"/>
      <c r="T54" s="29"/>
      <c r="U54" s="29"/>
      <c r="V54" s="29"/>
      <c r="W54" s="29"/>
      <c r="X54" s="29"/>
      <c r="Y54" s="30" t="str">
        <f t="shared" si="2"/>
        <v/>
      </c>
      <c r="Z54" s="27"/>
      <c r="AA54" s="27"/>
      <c r="AB54" s="31"/>
      <c r="AC54" s="26" t="str">
        <f t="array" ref="AC54">IFERROR(INDEX(Listas!$Q$4:$Q$13,MATCH($AA54,Listas!$P$4:$P$13,0)),"")</f>
        <v/>
      </c>
      <c r="AD54" s="32" t="str">
        <f>IF(OR($AB54="",$AC54=""),"",WORKDAY($AB54,-$AC54,Listas!$U$4:$U$22))</f>
        <v/>
      </c>
      <c r="AE54" s="28"/>
      <c r="AF54" s="28"/>
      <c r="AG54" s="28"/>
      <c r="AH54" s="28"/>
      <c r="AI54" s="27"/>
      <c r="AJ54" s="26" t="str">
        <f t="shared" si="3"/>
        <v/>
      </c>
      <c r="AK54" s="26" t="str">
        <f t="shared" si="4"/>
        <v/>
      </c>
      <c r="AL54" s="26" t="str">
        <f t="shared" si="5"/>
        <v/>
      </c>
      <c r="AM54" s="33"/>
      <c r="AN54" s="33"/>
      <c r="AO54" s="33"/>
    </row>
    <row r="55" ht="15.75" customHeight="1">
      <c r="A55" s="26" t="str">
        <f t="shared" si="6"/>
        <v/>
      </c>
      <c r="B55" s="27"/>
      <c r="C55" s="27"/>
      <c r="D55" s="27"/>
      <c r="E55" s="27"/>
      <c r="F55" s="27"/>
      <c r="G55" s="27"/>
      <c r="H55" s="27"/>
      <c r="I55" s="27"/>
      <c r="J55" s="28"/>
      <c r="K55" s="27"/>
      <c r="L55" s="27"/>
      <c r="M55" s="27"/>
      <c r="N55" s="27"/>
      <c r="O55" s="27"/>
      <c r="P55" s="27"/>
      <c r="Q55" s="27"/>
      <c r="R55" s="27"/>
      <c r="S55" s="27"/>
      <c r="T55" s="29"/>
      <c r="U55" s="29"/>
      <c r="V55" s="29"/>
      <c r="W55" s="29"/>
      <c r="X55" s="29"/>
      <c r="Y55" s="30" t="str">
        <f t="shared" si="2"/>
        <v/>
      </c>
      <c r="Z55" s="27"/>
      <c r="AA55" s="27"/>
      <c r="AB55" s="31"/>
      <c r="AC55" s="26" t="str">
        <f t="array" ref="AC55">IFERROR(INDEX(Listas!$Q$4:$Q$13,MATCH($AA55,Listas!$P$4:$P$13,0)),"")</f>
        <v/>
      </c>
      <c r="AD55" s="32" t="str">
        <f>IF(OR($AB55="",$AC55=""),"",WORKDAY($AB55,-$AC55,Listas!$U$4:$U$22))</f>
        <v/>
      </c>
      <c r="AE55" s="28"/>
      <c r="AF55" s="28"/>
      <c r="AG55" s="28"/>
      <c r="AH55" s="28"/>
      <c r="AI55" s="27"/>
      <c r="AJ55" s="26" t="str">
        <f t="shared" si="3"/>
        <v/>
      </c>
      <c r="AK55" s="26" t="str">
        <f t="shared" si="4"/>
        <v/>
      </c>
      <c r="AL55" s="26" t="str">
        <f t="shared" si="5"/>
        <v/>
      </c>
      <c r="AM55" s="33"/>
      <c r="AN55" s="33"/>
      <c r="AO55" s="33"/>
    </row>
    <row r="56" ht="15.75" customHeight="1">
      <c r="A56" s="26" t="str">
        <f t="shared" si="6"/>
        <v/>
      </c>
      <c r="B56" s="27"/>
      <c r="C56" s="27"/>
      <c r="D56" s="27"/>
      <c r="E56" s="27"/>
      <c r="F56" s="27"/>
      <c r="G56" s="27"/>
      <c r="H56" s="27"/>
      <c r="I56" s="27"/>
      <c r="J56" s="28"/>
      <c r="K56" s="27"/>
      <c r="L56" s="27"/>
      <c r="M56" s="27"/>
      <c r="N56" s="27"/>
      <c r="O56" s="27"/>
      <c r="P56" s="27"/>
      <c r="Q56" s="27"/>
      <c r="R56" s="27"/>
      <c r="S56" s="27"/>
      <c r="T56" s="29"/>
      <c r="U56" s="29"/>
      <c r="V56" s="29"/>
      <c r="W56" s="29"/>
      <c r="X56" s="29"/>
      <c r="Y56" s="30" t="str">
        <f t="shared" si="2"/>
        <v/>
      </c>
      <c r="Z56" s="27"/>
      <c r="AA56" s="27"/>
      <c r="AB56" s="31"/>
      <c r="AC56" s="26" t="str">
        <f t="array" ref="AC56">IFERROR(INDEX(Listas!$Q$4:$Q$13,MATCH($AA56,Listas!$P$4:$P$13,0)),"")</f>
        <v/>
      </c>
      <c r="AD56" s="32" t="str">
        <f>IF(OR($AB56="",$AC56=""),"",WORKDAY($AB56,-$AC56,Listas!$U$4:$U$22))</f>
        <v/>
      </c>
      <c r="AE56" s="28"/>
      <c r="AF56" s="28"/>
      <c r="AG56" s="28"/>
      <c r="AH56" s="28"/>
      <c r="AI56" s="27"/>
      <c r="AJ56" s="26" t="str">
        <f t="shared" si="3"/>
        <v/>
      </c>
      <c r="AK56" s="26" t="str">
        <f t="shared" si="4"/>
        <v/>
      </c>
      <c r="AL56" s="26" t="str">
        <f t="shared" si="5"/>
        <v/>
      </c>
      <c r="AM56" s="33"/>
      <c r="AN56" s="33"/>
      <c r="AO56" s="33"/>
    </row>
    <row r="57" ht="15.75" customHeight="1">
      <c r="A57" s="26" t="str">
        <f t="shared" si="6"/>
        <v/>
      </c>
      <c r="B57" s="27"/>
      <c r="C57" s="27"/>
      <c r="D57" s="27"/>
      <c r="E57" s="27"/>
      <c r="F57" s="27"/>
      <c r="G57" s="27"/>
      <c r="H57" s="27"/>
      <c r="I57" s="27"/>
      <c r="J57" s="28"/>
      <c r="K57" s="27"/>
      <c r="L57" s="27"/>
      <c r="M57" s="27"/>
      <c r="N57" s="27"/>
      <c r="O57" s="27"/>
      <c r="P57" s="27"/>
      <c r="Q57" s="27"/>
      <c r="R57" s="27"/>
      <c r="S57" s="27"/>
      <c r="T57" s="29"/>
      <c r="U57" s="29"/>
      <c r="V57" s="29"/>
      <c r="W57" s="29"/>
      <c r="X57" s="29"/>
      <c r="Y57" s="30" t="str">
        <f t="shared" si="2"/>
        <v/>
      </c>
      <c r="Z57" s="27"/>
      <c r="AA57" s="27"/>
      <c r="AB57" s="31"/>
      <c r="AC57" s="26" t="str">
        <f t="array" ref="AC57">IFERROR(INDEX(Listas!$Q$4:$Q$13,MATCH($AA57,Listas!$P$4:$P$13,0)),"")</f>
        <v/>
      </c>
      <c r="AD57" s="32" t="str">
        <f>IF(OR($AB57="",$AC57=""),"",WORKDAY($AB57,-$AC57,Listas!$U$4:$U$22))</f>
        <v/>
      </c>
      <c r="AE57" s="28"/>
      <c r="AF57" s="28"/>
      <c r="AG57" s="28"/>
      <c r="AH57" s="28"/>
      <c r="AI57" s="27"/>
      <c r="AJ57" s="26" t="str">
        <f t="shared" si="3"/>
        <v/>
      </c>
      <c r="AK57" s="26" t="str">
        <f t="shared" si="4"/>
        <v/>
      </c>
      <c r="AL57" s="26" t="str">
        <f t="shared" si="5"/>
        <v/>
      </c>
      <c r="AM57" s="33"/>
      <c r="AN57" s="33"/>
      <c r="AO57" s="33"/>
    </row>
    <row r="58" ht="15.75" customHeight="1">
      <c r="A58" s="26" t="str">
        <f t="shared" si="6"/>
        <v/>
      </c>
      <c r="B58" s="27"/>
      <c r="C58" s="27"/>
      <c r="D58" s="27"/>
      <c r="E58" s="27"/>
      <c r="F58" s="27"/>
      <c r="G58" s="27"/>
      <c r="H58" s="27"/>
      <c r="I58" s="27"/>
      <c r="J58" s="28"/>
      <c r="K58" s="27"/>
      <c r="L58" s="27"/>
      <c r="M58" s="27"/>
      <c r="N58" s="27"/>
      <c r="O58" s="27"/>
      <c r="P58" s="27"/>
      <c r="Q58" s="27"/>
      <c r="R58" s="27"/>
      <c r="S58" s="27"/>
      <c r="T58" s="29"/>
      <c r="U58" s="29"/>
      <c r="V58" s="29"/>
      <c r="W58" s="29"/>
      <c r="X58" s="29"/>
      <c r="Y58" s="30" t="str">
        <f t="shared" si="2"/>
        <v/>
      </c>
      <c r="Z58" s="27"/>
      <c r="AA58" s="27"/>
      <c r="AB58" s="31"/>
      <c r="AC58" s="26" t="str">
        <f t="array" ref="AC58">IFERROR(INDEX(Listas!$Q$4:$Q$13,MATCH($AA58,Listas!$P$4:$P$13,0)),"")</f>
        <v/>
      </c>
      <c r="AD58" s="32" t="str">
        <f>IF(OR($AB58="",$AC58=""),"",WORKDAY($AB58,-$AC58,Listas!$U$4:$U$22))</f>
        <v/>
      </c>
      <c r="AE58" s="28"/>
      <c r="AF58" s="28"/>
      <c r="AG58" s="28"/>
      <c r="AH58" s="28"/>
      <c r="AI58" s="27"/>
      <c r="AJ58" s="26" t="str">
        <f t="shared" si="3"/>
        <v/>
      </c>
      <c r="AK58" s="26" t="str">
        <f t="shared" si="4"/>
        <v/>
      </c>
      <c r="AL58" s="26" t="str">
        <f t="shared" si="5"/>
        <v/>
      </c>
      <c r="AM58" s="33"/>
      <c r="AN58" s="33"/>
      <c r="AO58" s="33"/>
    </row>
    <row r="59" ht="15.75" customHeight="1">
      <c r="A59" s="26" t="str">
        <f t="shared" si="6"/>
        <v/>
      </c>
      <c r="B59" s="27"/>
      <c r="C59" s="27"/>
      <c r="D59" s="27"/>
      <c r="E59" s="27"/>
      <c r="F59" s="27"/>
      <c r="G59" s="27"/>
      <c r="H59" s="27"/>
      <c r="I59" s="27"/>
      <c r="J59" s="28"/>
      <c r="K59" s="27"/>
      <c r="L59" s="27"/>
      <c r="M59" s="27"/>
      <c r="N59" s="27"/>
      <c r="O59" s="27"/>
      <c r="P59" s="27"/>
      <c r="Q59" s="27"/>
      <c r="R59" s="27"/>
      <c r="S59" s="27"/>
      <c r="T59" s="29"/>
      <c r="U59" s="29"/>
      <c r="V59" s="29"/>
      <c r="W59" s="29"/>
      <c r="X59" s="29"/>
      <c r="Y59" s="30" t="str">
        <f t="shared" si="2"/>
        <v/>
      </c>
      <c r="Z59" s="27"/>
      <c r="AA59" s="27"/>
      <c r="AB59" s="31"/>
      <c r="AC59" s="26" t="str">
        <f t="array" ref="AC59">IFERROR(INDEX(Listas!$Q$4:$Q$13,MATCH($AA59,Listas!$P$4:$P$13,0)),"")</f>
        <v/>
      </c>
      <c r="AD59" s="32" t="str">
        <f>IF(OR($AB59="",$AC59=""),"",WORKDAY($AB59,-$AC59,Listas!$U$4:$U$22))</f>
        <v/>
      </c>
      <c r="AE59" s="28"/>
      <c r="AF59" s="28"/>
      <c r="AG59" s="28"/>
      <c r="AH59" s="28"/>
      <c r="AI59" s="27"/>
      <c r="AJ59" s="26" t="str">
        <f t="shared" si="3"/>
        <v/>
      </c>
      <c r="AK59" s="26" t="str">
        <f t="shared" si="4"/>
        <v/>
      </c>
      <c r="AL59" s="26" t="str">
        <f t="shared" si="5"/>
        <v/>
      </c>
      <c r="AM59" s="33"/>
      <c r="AN59" s="33"/>
      <c r="AO59" s="33"/>
    </row>
    <row r="60" ht="15.75" customHeight="1">
      <c r="A60" s="26" t="str">
        <f t="shared" si="6"/>
        <v/>
      </c>
      <c r="B60" s="27"/>
      <c r="C60" s="27"/>
      <c r="D60" s="27"/>
      <c r="E60" s="27"/>
      <c r="F60" s="27"/>
      <c r="G60" s="27"/>
      <c r="H60" s="27"/>
      <c r="I60" s="27"/>
      <c r="J60" s="28"/>
      <c r="K60" s="27"/>
      <c r="L60" s="27"/>
      <c r="M60" s="27"/>
      <c r="N60" s="27"/>
      <c r="O60" s="27"/>
      <c r="P60" s="27"/>
      <c r="Q60" s="27"/>
      <c r="R60" s="27"/>
      <c r="S60" s="27"/>
      <c r="T60" s="29"/>
      <c r="U60" s="29"/>
      <c r="V60" s="29"/>
      <c r="W60" s="29"/>
      <c r="X60" s="29"/>
      <c r="Y60" s="30" t="str">
        <f t="shared" si="2"/>
        <v/>
      </c>
      <c r="Z60" s="27"/>
      <c r="AA60" s="27"/>
      <c r="AB60" s="31"/>
      <c r="AC60" s="26" t="str">
        <f t="array" ref="AC60">IFERROR(INDEX(Listas!$Q$4:$Q$13,MATCH($AA60,Listas!$P$4:$P$13,0)),"")</f>
        <v/>
      </c>
      <c r="AD60" s="32" t="str">
        <f>IF(OR($AB60="",$AC60=""),"",WORKDAY($AB60,-$AC60,Listas!$U$4:$U$22))</f>
        <v/>
      </c>
      <c r="AE60" s="28"/>
      <c r="AF60" s="28"/>
      <c r="AG60" s="28"/>
      <c r="AH60" s="28"/>
      <c r="AI60" s="27"/>
      <c r="AJ60" s="26" t="str">
        <f t="shared" si="3"/>
        <v/>
      </c>
      <c r="AK60" s="26" t="str">
        <f t="shared" si="4"/>
        <v/>
      </c>
      <c r="AL60" s="26" t="str">
        <f t="shared" si="5"/>
        <v/>
      </c>
      <c r="AM60" s="33"/>
      <c r="AN60" s="33"/>
      <c r="AO60" s="33"/>
    </row>
    <row r="61" ht="15.75" customHeight="1">
      <c r="A61" s="26" t="str">
        <f t="shared" si="6"/>
        <v/>
      </c>
      <c r="B61" s="27"/>
      <c r="C61" s="27"/>
      <c r="D61" s="27"/>
      <c r="E61" s="27"/>
      <c r="F61" s="27"/>
      <c r="G61" s="27"/>
      <c r="H61" s="27"/>
      <c r="I61" s="27"/>
      <c r="J61" s="28"/>
      <c r="K61" s="27"/>
      <c r="L61" s="27"/>
      <c r="M61" s="27"/>
      <c r="N61" s="27"/>
      <c r="O61" s="27"/>
      <c r="P61" s="27"/>
      <c r="Q61" s="27"/>
      <c r="R61" s="27"/>
      <c r="S61" s="27"/>
      <c r="T61" s="29"/>
      <c r="U61" s="29"/>
      <c r="V61" s="29"/>
      <c r="W61" s="29"/>
      <c r="X61" s="29"/>
      <c r="Y61" s="30" t="str">
        <f t="shared" si="2"/>
        <v/>
      </c>
      <c r="Z61" s="27"/>
      <c r="AA61" s="27"/>
      <c r="AB61" s="31"/>
      <c r="AC61" s="26" t="str">
        <f t="array" ref="AC61">IFERROR(INDEX(Listas!$Q$4:$Q$13,MATCH($AA61,Listas!$P$4:$P$13,0)),"")</f>
        <v/>
      </c>
      <c r="AD61" s="32" t="str">
        <f>IF(OR($AB61="",$AC61=""),"",WORKDAY($AB61,-$AC61,Listas!$U$4:$U$22))</f>
        <v/>
      </c>
      <c r="AE61" s="28"/>
      <c r="AF61" s="28"/>
      <c r="AG61" s="28"/>
      <c r="AH61" s="28"/>
      <c r="AI61" s="27"/>
      <c r="AJ61" s="26" t="str">
        <f t="shared" si="3"/>
        <v/>
      </c>
      <c r="AK61" s="26" t="str">
        <f t="shared" si="4"/>
        <v/>
      </c>
      <c r="AL61" s="26" t="str">
        <f t="shared" si="5"/>
        <v/>
      </c>
      <c r="AM61" s="33"/>
      <c r="AN61" s="33"/>
      <c r="AO61" s="33"/>
    </row>
    <row r="62" ht="15.75" customHeight="1">
      <c r="A62" s="26" t="str">
        <f t="shared" si="6"/>
        <v/>
      </c>
      <c r="B62" s="27"/>
      <c r="C62" s="27"/>
      <c r="D62" s="27"/>
      <c r="E62" s="27"/>
      <c r="F62" s="27"/>
      <c r="G62" s="27"/>
      <c r="H62" s="27"/>
      <c r="I62" s="27"/>
      <c r="J62" s="28"/>
      <c r="K62" s="27"/>
      <c r="L62" s="27"/>
      <c r="M62" s="27"/>
      <c r="N62" s="27"/>
      <c r="O62" s="27"/>
      <c r="P62" s="27"/>
      <c r="Q62" s="27"/>
      <c r="R62" s="27"/>
      <c r="S62" s="27"/>
      <c r="T62" s="29"/>
      <c r="U62" s="29"/>
      <c r="V62" s="29"/>
      <c r="W62" s="29"/>
      <c r="X62" s="29"/>
      <c r="Y62" s="30" t="str">
        <f t="shared" si="2"/>
        <v/>
      </c>
      <c r="Z62" s="27"/>
      <c r="AA62" s="27"/>
      <c r="AB62" s="31"/>
      <c r="AC62" s="26" t="str">
        <f t="array" ref="AC62">IFERROR(INDEX(Listas!$Q$4:$Q$13,MATCH($AA62,Listas!$P$4:$P$13,0)),"")</f>
        <v/>
      </c>
      <c r="AD62" s="32" t="str">
        <f>IF(OR($AB62="",$AC62=""),"",WORKDAY($AB62,-$AC62,Listas!$U$4:$U$22))</f>
        <v/>
      </c>
      <c r="AE62" s="28"/>
      <c r="AF62" s="28"/>
      <c r="AG62" s="28"/>
      <c r="AH62" s="28"/>
      <c r="AI62" s="27"/>
      <c r="AJ62" s="26" t="str">
        <f t="shared" si="3"/>
        <v/>
      </c>
      <c r="AK62" s="26" t="str">
        <f t="shared" si="4"/>
        <v/>
      </c>
      <c r="AL62" s="26" t="str">
        <f t="shared" si="5"/>
        <v/>
      </c>
      <c r="AM62" s="33"/>
      <c r="AN62" s="33"/>
      <c r="AO62" s="33"/>
    </row>
    <row r="63" ht="15.75" customHeight="1">
      <c r="A63" s="26" t="str">
        <f t="shared" si="6"/>
        <v/>
      </c>
      <c r="B63" s="27"/>
      <c r="C63" s="27"/>
      <c r="D63" s="27"/>
      <c r="E63" s="27"/>
      <c r="F63" s="27"/>
      <c r="G63" s="27"/>
      <c r="H63" s="27"/>
      <c r="I63" s="27"/>
      <c r="J63" s="28"/>
      <c r="K63" s="27"/>
      <c r="L63" s="27"/>
      <c r="M63" s="27"/>
      <c r="N63" s="27"/>
      <c r="O63" s="27"/>
      <c r="P63" s="27"/>
      <c r="Q63" s="27"/>
      <c r="R63" s="27"/>
      <c r="S63" s="27"/>
      <c r="T63" s="29"/>
      <c r="U63" s="29"/>
      <c r="V63" s="29"/>
      <c r="W63" s="29"/>
      <c r="X63" s="29"/>
      <c r="Y63" s="30" t="str">
        <f t="shared" si="2"/>
        <v/>
      </c>
      <c r="Z63" s="27"/>
      <c r="AA63" s="27"/>
      <c r="AB63" s="31"/>
      <c r="AC63" s="26" t="str">
        <f t="array" ref="AC63">IFERROR(INDEX(Listas!$Q$4:$Q$13,MATCH($AA63,Listas!$P$4:$P$13,0)),"")</f>
        <v/>
      </c>
      <c r="AD63" s="32" t="str">
        <f>IF(OR($AB63="",$AC63=""),"",WORKDAY($AB63,-$AC63,Listas!$U$4:$U$22))</f>
        <v/>
      </c>
      <c r="AE63" s="28"/>
      <c r="AF63" s="28"/>
      <c r="AG63" s="28"/>
      <c r="AH63" s="28"/>
      <c r="AI63" s="27"/>
      <c r="AJ63" s="26" t="str">
        <f t="shared" si="3"/>
        <v/>
      </c>
      <c r="AK63" s="26" t="str">
        <f t="shared" si="4"/>
        <v/>
      </c>
      <c r="AL63" s="26" t="str">
        <f t="shared" si="5"/>
        <v/>
      </c>
      <c r="AM63" s="33"/>
      <c r="AN63" s="33"/>
      <c r="AO63" s="33"/>
    </row>
    <row r="64" ht="15.75" customHeight="1">
      <c r="A64" s="26" t="str">
        <f t="shared" si="6"/>
        <v/>
      </c>
      <c r="B64" s="27"/>
      <c r="C64" s="27"/>
      <c r="D64" s="27"/>
      <c r="E64" s="27"/>
      <c r="F64" s="27"/>
      <c r="G64" s="27"/>
      <c r="H64" s="27"/>
      <c r="I64" s="27"/>
      <c r="J64" s="28"/>
      <c r="K64" s="27"/>
      <c r="L64" s="27"/>
      <c r="M64" s="27"/>
      <c r="N64" s="27"/>
      <c r="O64" s="27"/>
      <c r="P64" s="27"/>
      <c r="Q64" s="27"/>
      <c r="R64" s="27"/>
      <c r="S64" s="27"/>
      <c r="T64" s="29"/>
      <c r="U64" s="29"/>
      <c r="V64" s="29"/>
      <c r="W64" s="29"/>
      <c r="X64" s="29"/>
      <c r="Y64" s="30" t="str">
        <f t="shared" si="2"/>
        <v/>
      </c>
      <c r="Z64" s="27"/>
      <c r="AA64" s="27"/>
      <c r="AB64" s="31"/>
      <c r="AC64" s="26" t="str">
        <f t="array" ref="AC64">IFERROR(INDEX(Listas!$Q$4:$Q$13,MATCH($AA64,Listas!$P$4:$P$13,0)),"")</f>
        <v/>
      </c>
      <c r="AD64" s="32" t="str">
        <f>IF(OR($AB64="",$AC64=""),"",WORKDAY($AB64,-$AC64,Listas!$U$4:$U$22))</f>
        <v/>
      </c>
      <c r="AE64" s="28"/>
      <c r="AF64" s="28"/>
      <c r="AG64" s="28"/>
      <c r="AH64" s="28"/>
      <c r="AI64" s="27"/>
      <c r="AJ64" s="26" t="str">
        <f t="shared" si="3"/>
        <v/>
      </c>
      <c r="AK64" s="26" t="str">
        <f t="shared" si="4"/>
        <v/>
      </c>
      <c r="AL64" s="26" t="str">
        <f t="shared" si="5"/>
        <v/>
      </c>
      <c r="AM64" s="33"/>
      <c r="AN64" s="33"/>
      <c r="AO64" s="33"/>
    </row>
    <row r="65" ht="15.75" customHeight="1">
      <c r="A65" s="26" t="str">
        <f t="shared" si="6"/>
        <v/>
      </c>
      <c r="B65" s="27"/>
      <c r="C65" s="27"/>
      <c r="D65" s="27"/>
      <c r="E65" s="27"/>
      <c r="F65" s="27"/>
      <c r="G65" s="27"/>
      <c r="H65" s="27"/>
      <c r="I65" s="27"/>
      <c r="J65" s="28"/>
      <c r="K65" s="27"/>
      <c r="L65" s="27"/>
      <c r="M65" s="27"/>
      <c r="N65" s="27"/>
      <c r="O65" s="27"/>
      <c r="P65" s="27"/>
      <c r="Q65" s="27"/>
      <c r="R65" s="27"/>
      <c r="S65" s="27"/>
      <c r="T65" s="29"/>
      <c r="U65" s="29"/>
      <c r="V65" s="29"/>
      <c r="W65" s="29"/>
      <c r="X65" s="29"/>
      <c r="Y65" s="30" t="str">
        <f t="shared" si="2"/>
        <v/>
      </c>
      <c r="Z65" s="27"/>
      <c r="AA65" s="27"/>
      <c r="AB65" s="31"/>
      <c r="AC65" s="26" t="str">
        <f t="array" ref="AC65">IFERROR(INDEX(Listas!$Q$4:$Q$13,MATCH($AA65,Listas!$P$4:$P$13,0)),"")</f>
        <v/>
      </c>
      <c r="AD65" s="32" t="str">
        <f>IF(OR($AB65="",$AC65=""),"",WORKDAY($AB65,-$AC65,Listas!$U$4:$U$22))</f>
        <v/>
      </c>
      <c r="AE65" s="28"/>
      <c r="AF65" s="28"/>
      <c r="AG65" s="28"/>
      <c r="AH65" s="28"/>
      <c r="AI65" s="27"/>
      <c r="AJ65" s="26" t="str">
        <f t="shared" si="3"/>
        <v/>
      </c>
      <c r="AK65" s="26" t="str">
        <f t="shared" si="4"/>
        <v/>
      </c>
      <c r="AL65" s="26" t="str">
        <f t="shared" si="5"/>
        <v/>
      </c>
      <c r="AM65" s="33"/>
      <c r="AN65" s="33"/>
      <c r="AO65" s="33"/>
    </row>
    <row r="66" ht="15.75" customHeight="1">
      <c r="A66" s="26" t="str">
        <f t="shared" si="6"/>
        <v/>
      </c>
      <c r="B66" s="27"/>
      <c r="C66" s="27"/>
      <c r="D66" s="27"/>
      <c r="E66" s="27"/>
      <c r="F66" s="27"/>
      <c r="G66" s="27"/>
      <c r="H66" s="27"/>
      <c r="I66" s="27"/>
      <c r="J66" s="28"/>
      <c r="K66" s="27"/>
      <c r="L66" s="27"/>
      <c r="M66" s="27"/>
      <c r="N66" s="27"/>
      <c r="O66" s="27"/>
      <c r="P66" s="27"/>
      <c r="Q66" s="27"/>
      <c r="R66" s="27"/>
      <c r="S66" s="27"/>
      <c r="T66" s="29"/>
      <c r="U66" s="29"/>
      <c r="V66" s="29"/>
      <c r="W66" s="29"/>
      <c r="X66" s="29"/>
      <c r="Y66" s="30" t="str">
        <f t="shared" si="2"/>
        <v/>
      </c>
      <c r="Z66" s="27"/>
      <c r="AA66" s="27"/>
      <c r="AB66" s="31"/>
      <c r="AC66" s="26" t="str">
        <f t="array" ref="AC66">IFERROR(INDEX(Listas!$Q$4:$Q$13,MATCH($AA66,Listas!$P$4:$P$13,0)),"")</f>
        <v/>
      </c>
      <c r="AD66" s="32" t="str">
        <f>IF(OR($AB66="",$AC66=""),"",WORKDAY($AB66,-$AC66,Listas!$U$4:$U$22))</f>
        <v/>
      </c>
      <c r="AE66" s="28"/>
      <c r="AF66" s="28"/>
      <c r="AG66" s="28"/>
      <c r="AH66" s="28"/>
      <c r="AI66" s="27"/>
      <c r="AJ66" s="26" t="str">
        <f t="shared" si="3"/>
        <v/>
      </c>
      <c r="AK66" s="26" t="str">
        <f t="shared" si="4"/>
        <v/>
      </c>
      <c r="AL66" s="26" t="str">
        <f t="shared" si="5"/>
        <v/>
      </c>
      <c r="AM66" s="33"/>
      <c r="AN66" s="33"/>
      <c r="AO66" s="33"/>
    </row>
    <row r="67" ht="15.75" customHeight="1">
      <c r="A67" s="26" t="str">
        <f t="shared" si="6"/>
        <v/>
      </c>
      <c r="B67" s="27"/>
      <c r="C67" s="27"/>
      <c r="D67" s="27"/>
      <c r="E67" s="27"/>
      <c r="F67" s="27"/>
      <c r="G67" s="27"/>
      <c r="H67" s="27"/>
      <c r="I67" s="27"/>
      <c r="J67" s="28"/>
      <c r="K67" s="27"/>
      <c r="L67" s="27"/>
      <c r="M67" s="27"/>
      <c r="N67" s="27"/>
      <c r="O67" s="27"/>
      <c r="P67" s="27"/>
      <c r="Q67" s="27"/>
      <c r="R67" s="27"/>
      <c r="S67" s="27"/>
      <c r="T67" s="29"/>
      <c r="U67" s="29"/>
      <c r="V67" s="29"/>
      <c r="W67" s="29"/>
      <c r="X67" s="29"/>
      <c r="Y67" s="30" t="str">
        <f t="shared" si="2"/>
        <v/>
      </c>
      <c r="Z67" s="27"/>
      <c r="AA67" s="27"/>
      <c r="AB67" s="31"/>
      <c r="AC67" s="26" t="str">
        <f t="array" ref="AC67">IFERROR(INDEX(Listas!$Q$4:$Q$13,MATCH($AA67,Listas!$P$4:$P$13,0)),"")</f>
        <v/>
      </c>
      <c r="AD67" s="32" t="str">
        <f>IF(OR($AB67="",$AC67=""),"",WORKDAY($AB67,-$AC67,Listas!$U$4:$U$22))</f>
        <v/>
      </c>
      <c r="AE67" s="28"/>
      <c r="AF67" s="28"/>
      <c r="AG67" s="28"/>
      <c r="AH67" s="28"/>
      <c r="AI67" s="27"/>
      <c r="AJ67" s="26" t="str">
        <f t="shared" si="3"/>
        <v/>
      </c>
      <c r="AK67" s="26" t="str">
        <f t="shared" si="4"/>
        <v/>
      </c>
      <c r="AL67" s="26" t="str">
        <f t="shared" si="5"/>
        <v/>
      </c>
      <c r="AM67" s="33"/>
      <c r="AN67" s="33"/>
      <c r="AO67" s="3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O$67"/>
  <mergeCells count="6">
    <mergeCell ref="A5:F5"/>
    <mergeCell ref="G5:M5"/>
    <mergeCell ref="N5:R5"/>
    <mergeCell ref="S5:Z5"/>
    <mergeCell ref="AA5:AL5"/>
    <mergeCell ref="AM5:AO5"/>
  </mergeCells>
  <conditionalFormatting sqref="AL8:AL67">
    <cfRule type="expression" dxfId="0" priority="1">
      <formula>AND($AL8&lt;&gt;"",$AL8&lt;&gt;0)</formula>
    </cfRule>
  </conditionalFormatting>
  <conditionalFormatting sqref="AK8:AK67">
    <cfRule type="expression" dxfId="1" priority="2">
      <formula>$AK8="Alto"</formula>
    </cfRule>
  </conditionalFormatting>
  <conditionalFormatting sqref="AK8:AK67">
    <cfRule type="expression" dxfId="2" priority="3">
      <formula>$AK8="Médio"</formula>
    </cfRule>
  </conditionalFormatting>
  <conditionalFormatting sqref="AK8:AK67">
    <cfRule type="expression" dxfId="3" priority="4">
      <formula>$AK8="Baixo"</formula>
    </cfRule>
  </conditionalFormatting>
  <dataValidations>
    <dataValidation type="list" allowBlank="1" sqref="H8:H67">
      <formula1>Listas!$J$4:$J$7</formula1>
    </dataValidation>
    <dataValidation type="list" allowBlank="1" sqref="C8:C67">
      <formula1>Listas!$D$4:$D$37</formula1>
    </dataValidation>
    <dataValidation type="list" allowBlank="1" sqref="S8:S67">
      <formula1>Listas!$L$4:$L$6</formula1>
    </dataValidation>
    <dataValidation type="list" allowBlank="1" sqref="AA8:AA67">
      <formula1>Listas!$P$4:$P$13</formula1>
    </dataValidation>
    <dataValidation type="list" allowBlank="1" sqref="Q8:Q67">
      <formula1>Listas!$N$4:$N$5</formula1>
    </dataValidation>
    <dataValidation type="list" allowBlank="1" sqref="AE8:AH67">
      <formula1>Listas!$S$4:$S$6</formula1>
    </dataValidation>
    <dataValidation type="list" allowBlank="1" sqref="M8:M67">
      <formula1>Listas!$F$4:$F$10</formula1>
    </dataValidation>
    <dataValidation type="list" allowBlank="1" sqref="B8:B67">
      <formula1>Listas!$B$4:$B$8</formula1>
    </dataValidation>
    <dataValidation type="list" allowBlank="1" sqref="F8:F67">
      <formula1>Listas!$H$4:$H$6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96.0"/>
    <col customWidth="1" min="4" max="26" width="8.71"/>
  </cols>
  <sheetData>
    <row r="2">
      <c r="B2" s="1" t="s">
        <v>0</v>
      </c>
    </row>
    <row r="4">
      <c r="B4" s="4" t="s">
        <v>3</v>
      </c>
      <c r="C4" s="7"/>
    </row>
    <row r="5" ht="30.0" customHeight="1">
      <c r="B5" s="8" t="s">
        <v>11</v>
      </c>
      <c r="C5" s="10" t="s">
        <v>15</v>
      </c>
    </row>
    <row r="6" ht="30.0" customHeight="1">
      <c r="B6" s="8" t="s">
        <v>19</v>
      </c>
      <c r="C6" s="10" t="s">
        <v>21</v>
      </c>
    </row>
    <row r="7" ht="30.0" customHeight="1">
      <c r="B7" s="8" t="s">
        <v>22</v>
      </c>
      <c r="C7" s="10" t="s">
        <v>23</v>
      </c>
    </row>
    <row r="8" ht="30.0" customHeight="1">
      <c r="B8" s="8" t="s">
        <v>24</v>
      </c>
      <c r="C8" s="10" t="s">
        <v>27</v>
      </c>
    </row>
    <row r="9" ht="30.0" customHeight="1">
      <c r="B9" s="8" t="s">
        <v>29</v>
      </c>
      <c r="C9" s="10" t="s">
        <v>31</v>
      </c>
    </row>
    <row r="11">
      <c r="B11" s="4" t="s">
        <v>35</v>
      </c>
      <c r="C11" s="7"/>
    </row>
    <row r="12" ht="30.0" customHeight="1">
      <c r="B12" s="8" t="s">
        <v>37</v>
      </c>
      <c r="C12" s="10" t="s">
        <v>38</v>
      </c>
    </row>
    <row r="13" ht="30.0" customHeight="1">
      <c r="B13" s="8" t="s">
        <v>39</v>
      </c>
      <c r="C13" s="10" t="s">
        <v>40</v>
      </c>
    </row>
    <row r="14" ht="30.0" customHeight="1">
      <c r="B14" s="8" t="s">
        <v>41</v>
      </c>
      <c r="C14" s="10" t="s">
        <v>42</v>
      </c>
    </row>
    <row r="15" ht="30.0" customHeight="1">
      <c r="B15" s="8" t="s">
        <v>43</v>
      </c>
      <c r="C15" s="10" t="s">
        <v>44</v>
      </c>
    </row>
    <row r="16" ht="30.0" customHeight="1">
      <c r="B16" s="8" t="s">
        <v>46</v>
      </c>
      <c r="C16" s="10" t="s">
        <v>48</v>
      </c>
    </row>
    <row r="18">
      <c r="B18" s="4" t="s">
        <v>52</v>
      </c>
      <c r="C18" s="7"/>
    </row>
    <row r="19" ht="30.0" customHeight="1">
      <c r="B19" s="8" t="s">
        <v>55</v>
      </c>
      <c r="C19" s="10" t="s">
        <v>57</v>
      </c>
    </row>
    <row r="20" ht="30.0" customHeight="1">
      <c r="B20" s="8" t="s">
        <v>58</v>
      </c>
      <c r="C20" s="10" t="s">
        <v>59</v>
      </c>
    </row>
    <row r="21" ht="30.0" customHeight="1">
      <c r="B21" s="8" t="s">
        <v>62</v>
      </c>
      <c r="C21" s="10" t="s">
        <v>64</v>
      </c>
    </row>
    <row r="22" ht="15.75" customHeight="1"/>
    <row r="23" ht="15.75" customHeight="1">
      <c r="B23" s="4" t="s">
        <v>67</v>
      </c>
      <c r="C23" s="7"/>
    </row>
    <row r="24" ht="30.0" customHeight="1">
      <c r="B24" s="8" t="s">
        <v>70</v>
      </c>
      <c r="C24" s="10" t="s">
        <v>71</v>
      </c>
    </row>
    <row r="25" ht="30.0" customHeight="1">
      <c r="B25" s="8" t="s">
        <v>73</v>
      </c>
      <c r="C25" s="10" t="s">
        <v>75</v>
      </c>
    </row>
    <row r="26" ht="30.0" customHeight="1">
      <c r="B26" s="8" t="s">
        <v>78</v>
      </c>
      <c r="C26" s="10" t="s">
        <v>79</v>
      </c>
    </row>
    <row r="27" ht="30.0" customHeight="1">
      <c r="B27" s="8" t="s">
        <v>81</v>
      </c>
      <c r="C27" s="10" t="s">
        <v>82</v>
      </c>
    </row>
    <row r="28" ht="15.75" customHeight="1"/>
    <row r="29" ht="15.75" customHeight="1">
      <c r="B29" s="4" t="s">
        <v>85</v>
      </c>
      <c r="C29" s="7"/>
    </row>
    <row r="30" ht="30.0" customHeight="1">
      <c r="B30" s="8" t="s">
        <v>88</v>
      </c>
      <c r="C30" s="10" t="s">
        <v>89</v>
      </c>
    </row>
    <row r="31" ht="30.0" customHeight="1">
      <c r="B31" s="8" t="s">
        <v>91</v>
      </c>
      <c r="C31" s="10" t="s">
        <v>92</v>
      </c>
    </row>
    <row r="32" ht="30.0" customHeight="1">
      <c r="B32" s="8" t="s">
        <v>94</v>
      </c>
      <c r="C32" s="10" t="s">
        <v>96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0"/>
    <col customWidth="1" min="3" max="3" width="8.71"/>
    <col customWidth="1" min="4" max="4" width="52.0"/>
    <col customWidth="1" min="5" max="5" width="8.71"/>
    <col customWidth="1" min="6" max="6" width="70.0"/>
    <col customWidth="1" min="7" max="7" width="8.71"/>
    <col customWidth="1" min="8" max="8" width="20.0"/>
    <col customWidth="1" min="9" max="9" width="8.71"/>
    <col customWidth="1" min="10" max="10" width="22.0"/>
    <col customWidth="1" min="11" max="11" width="8.71"/>
    <col customWidth="1" min="12" max="12" width="38.0"/>
    <col customWidth="1" min="13" max="13" width="8.71"/>
    <col customWidth="1" min="14" max="14" width="12.0"/>
    <col customWidth="1" min="15" max="15" width="8.71"/>
    <col customWidth="1" min="16" max="16" width="46.0"/>
    <col customWidth="1" min="17" max="17" width="22.0"/>
    <col customWidth="1" min="18" max="18" width="8.71"/>
    <col customWidth="1" min="19" max="19" width="16.0"/>
    <col customWidth="1" min="20" max="20" width="8.71"/>
    <col customWidth="1" min="21" max="21" width="26.0"/>
    <col customWidth="1" min="22" max="26" width="8.71"/>
  </cols>
  <sheetData>
    <row r="1">
      <c r="B1" s="2" t="s">
        <v>1</v>
      </c>
    </row>
    <row r="3">
      <c r="B3" s="5" t="s">
        <v>4</v>
      </c>
      <c r="D3" s="5" t="s">
        <v>6</v>
      </c>
      <c r="F3" s="5" t="s">
        <v>7</v>
      </c>
      <c r="H3" s="5" t="s">
        <v>8</v>
      </c>
      <c r="J3" s="5" t="s">
        <v>9</v>
      </c>
      <c r="L3" s="5" t="s">
        <v>10</v>
      </c>
      <c r="N3" s="5" t="s">
        <v>12</v>
      </c>
      <c r="P3" s="5" t="s">
        <v>13</v>
      </c>
      <c r="Q3" s="5" t="s">
        <v>16</v>
      </c>
      <c r="S3" s="5" t="s">
        <v>17</v>
      </c>
      <c r="U3" s="5" t="s">
        <v>18</v>
      </c>
    </row>
    <row r="4">
      <c r="B4" s="11" t="s">
        <v>20</v>
      </c>
      <c r="D4" s="11" t="s">
        <v>25</v>
      </c>
      <c r="F4" s="11" t="s">
        <v>28</v>
      </c>
      <c r="H4" s="11" t="s">
        <v>30</v>
      </c>
      <c r="J4" s="11" t="s">
        <v>32</v>
      </c>
      <c r="L4" s="11" t="s">
        <v>33</v>
      </c>
      <c r="N4" s="11" t="s">
        <v>34</v>
      </c>
      <c r="P4" s="11" t="s">
        <v>36</v>
      </c>
      <c r="Q4" s="11">
        <v>140.0</v>
      </c>
      <c r="S4" s="11">
        <v>5.0</v>
      </c>
      <c r="U4" s="13">
        <v>46272.0</v>
      </c>
    </row>
    <row r="5">
      <c r="B5" s="11" t="s">
        <v>45</v>
      </c>
      <c r="D5" s="11" t="s">
        <v>47</v>
      </c>
      <c r="F5" s="11" t="s">
        <v>49</v>
      </c>
      <c r="H5" s="11" t="s">
        <v>50</v>
      </c>
      <c r="J5" s="11" t="s">
        <v>51</v>
      </c>
      <c r="L5" s="11" t="s">
        <v>53</v>
      </c>
      <c r="N5" s="11" t="s">
        <v>54</v>
      </c>
      <c r="P5" s="11" t="s">
        <v>56</v>
      </c>
      <c r="Q5" s="11">
        <v>92.0</v>
      </c>
      <c r="S5" s="11">
        <v>3.0</v>
      </c>
      <c r="U5" s="13">
        <v>46307.0</v>
      </c>
    </row>
    <row r="6">
      <c r="B6" s="11" t="s">
        <v>60</v>
      </c>
      <c r="D6" s="11" t="s">
        <v>61</v>
      </c>
      <c r="F6" s="11" t="s">
        <v>63</v>
      </c>
      <c r="H6" s="11" t="s">
        <v>65</v>
      </c>
      <c r="J6" s="11" t="s">
        <v>66</v>
      </c>
      <c r="L6" s="11" t="s">
        <v>68</v>
      </c>
      <c r="P6" s="11" t="s">
        <v>69</v>
      </c>
      <c r="Q6" s="11">
        <v>90.0</v>
      </c>
      <c r="S6" s="11">
        <v>1.0</v>
      </c>
      <c r="U6" s="13">
        <v>46328.0</v>
      </c>
    </row>
    <row r="7">
      <c r="B7" s="11" t="s">
        <v>72</v>
      </c>
      <c r="D7" s="11" t="s">
        <v>74</v>
      </c>
      <c r="F7" s="11" t="s">
        <v>76</v>
      </c>
      <c r="J7" s="11" t="s">
        <v>77</v>
      </c>
      <c r="P7" s="11" t="s">
        <v>80</v>
      </c>
      <c r="Q7" s="11">
        <v>81.0</v>
      </c>
      <c r="U7" s="13">
        <v>46341.0</v>
      </c>
    </row>
    <row r="8">
      <c r="B8" s="11" t="s">
        <v>83</v>
      </c>
      <c r="D8" s="11" t="s">
        <v>84</v>
      </c>
      <c r="F8" s="11" t="s">
        <v>86</v>
      </c>
      <c r="P8" s="11" t="s">
        <v>87</v>
      </c>
      <c r="Q8" s="11">
        <v>88.0</v>
      </c>
      <c r="U8" s="13">
        <v>46346.0</v>
      </c>
    </row>
    <row r="9">
      <c r="D9" s="11" t="s">
        <v>90</v>
      </c>
      <c r="F9" s="11" t="s">
        <v>93</v>
      </c>
      <c r="P9" s="11" t="s">
        <v>95</v>
      </c>
      <c r="Q9" s="11">
        <v>20.0</v>
      </c>
      <c r="U9" s="13">
        <v>46381.0</v>
      </c>
    </row>
    <row r="10">
      <c r="D10" s="11" t="s">
        <v>97</v>
      </c>
      <c r="F10" s="11" t="s">
        <v>98</v>
      </c>
      <c r="P10" s="11" t="s">
        <v>99</v>
      </c>
      <c r="Q10" s="11">
        <v>40.0</v>
      </c>
      <c r="U10" s="13">
        <v>46388.0</v>
      </c>
    </row>
    <row r="11">
      <c r="D11" s="11" t="s">
        <v>100</v>
      </c>
      <c r="P11" s="11" t="s">
        <v>101</v>
      </c>
      <c r="Q11" s="11">
        <v>37.0</v>
      </c>
      <c r="U11" s="13">
        <v>46426.0</v>
      </c>
    </row>
    <row r="12">
      <c r="D12" s="11" t="s">
        <v>102</v>
      </c>
      <c r="P12" s="11" t="s">
        <v>103</v>
      </c>
      <c r="Q12" s="11">
        <v>59.0</v>
      </c>
      <c r="U12" s="13">
        <v>46427.0</v>
      </c>
    </row>
    <row r="13">
      <c r="D13" s="11" t="s">
        <v>104</v>
      </c>
      <c r="P13" s="11" t="s">
        <v>105</v>
      </c>
      <c r="Q13" s="11">
        <v>87.0</v>
      </c>
      <c r="U13" s="13">
        <v>46472.0</v>
      </c>
    </row>
    <row r="14">
      <c r="D14" s="11" t="s">
        <v>106</v>
      </c>
      <c r="U14" s="13">
        <v>46498.0</v>
      </c>
    </row>
    <row r="15">
      <c r="D15" s="11" t="s">
        <v>107</v>
      </c>
      <c r="U15" s="13">
        <v>46508.0</v>
      </c>
    </row>
    <row r="16">
      <c r="D16" s="11" t="s">
        <v>108</v>
      </c>
      <c r="U16" s="13">
        <v>46534.0</v>
      </c>
    </row>
    <row r="17">
      <c r="D17" s="11" t="s">
        <v>109</v>
      </c>
      <c r="U17" s="13">
        <v>46637.0</v>
      </c>
    </row>
    <row r="18">
      <c r="D18" s="11" t="s">
        <v>110</v>
      </c>
      <c r="U18" s="13">
        <v>46672.0</v>
      </c>
    </row>
    <row r="19">
      <c r="D19" s="11" t="s">
        <v>112</v>
      </c>
      <c r="U19" s="13">
        <v>46693.0</v>
      </c>
    </row>
    <row r="20">
      <c r="D20" s="11" t="s">
        <v>113</v>
      </c>
      <c r="U20" s="13">
        <v>46706.0</v>
      </c>
    </row>
    <row r="21" ht="15.75" customHeight="1">
      <c r="D21" s="11" t="s">
        <v>114</v>
      </c>
      <c r="U21" s="13">
        <v>46711.0</v>
      </c>
    </row>
    <row r="22" ht="15.75" customHeight="1">
      <c r="D22" s="11" t="s">
        <v>115</v>
      </c>
      <c r="U22" s="13">
        <v>46746.0</v>
      </c>
    </row>
    <row r="23" ht="15.75" customHeight="1">
      <c r="D23" s="11" t="s">
        <v>116</v>
      </c>
    </row>
    <row r="24" ht="15.75" customHeight="1">
      <c r="D24" s="11" t="s">
        <v>117</v>
      </c>
    </row>
    <row r="25" ht="15.75" customHeight="1">
      <c r="D25" s="11" t="s">
        <v>118</v>
      </c>
    </row>
    <row r="26" ht="15.75" customHeight="1">
      <c r="D26" s="11" t="s">
        <v>119</v>
      </c>
    </row>
    <row r="27" ht="15.75" customHeight="1">
      <c r="D27" s="11" t="s">
        <v>120</v>
      </c>
    </row>
    <row r="28" ht="15.75" customHeight="1">
      <c r="D28" s="11" t="s">
        <v>121</v>
      </c>
    </row>
    <row r="29" ht="15.75" customHeight="1">
      <c r="D29" s="11" t="s">
        <v>123</v>
      </c>
    </row>
    <row r="30" ht="15.75" customHeight="1">
      <c r="D30" s="11" t="s">
        <v>124</v>
      </c>
    </row>
    <row r="31" ht="15.75" customHeight="1">
      <c r="D31" s="11" t="s">
        <v>125</v>
      </c>
    </row>
    <row r="32" ht="15.75" customHeight="1">
      <c r="D32" s="11" t="s">
        <v>126</v>
      </c>
    </row>
    <row r="33" ht="15.75" customHeight="1">
      <c r="D33" s="11" t="s">
        <v>127</v>
      </c>
    </row>
    <row r="34" ht="15.75" customHeight="1">
      <c r="D34" s="11" t="s">
        <v>128</v>
      </c>
    </row>
    <row r="35" ht="15.75" customHeight="1">
      <c r="D35" s="11" t="s">
        <v>129</v>
      </c>
    </row>
    <row r="36" ht="15.75" customHeight="1">
      <c r="D36" s="11" t="s">
        <v>131</v>
      </c>
    </row>
    <row r="37" ht="15.75" customHeight="1">
      <c r="D37" s="11" t="s">
        <v>132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