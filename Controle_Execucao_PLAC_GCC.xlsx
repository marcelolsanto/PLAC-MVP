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5"/>
    <sheet state="visible" name="Painel" sheetId="2" r:id="rId6"/>
    <sheet state="visible" name="Execução" sheetId="3" r:id="rId7"/>
    <sheet state="visible" name="Alterações" sheetId="4" r:id="rId8"/>
    <sheet state="visible" name="Listas" sheetId="5" r:id="rId9"/>
  </sheets>
  <definedNames>
    <definedName hidden="1" localSheetId="2" name="_xlnm._FilterDatabase">'Execução'!$A$6:$W$206</definedName>
    <definedName hidden="1" localSheetId="3" name="_xlnm._FilterDatabase">'Alterações'!$A$6:$I$106</definedName>
  </definedNames>
  <calcPr/>
</workbook>
</file>

<file path=xl/sharedStrings.xml><?xml version="1.0" encoding="utf-8"?>
<sst xmlns="http://schemas.openxmlformats.org/spreadsheetml/2006/main" count="177" uniqueCount="151">
  <si>
    <t>CONTROLE INTERNO DE EXECUÇÃO DO PLAC — GCC</t>
  </si>
  <si>
    <t>Para que serve</t>
  </si>
  <si>
    <t>Instrumento interno da GCC para monitorar a execução do PLAC e apurar os indicadores do Anexo IV da Diretriz. Não integra a Diretriz e pode ser alterado pela GCC a qualquer tempo.</t>
  </si>
  <si>
    <t>Rotina de alimentação</t>
  </si>
  <si>
    <t>Aba Execução</t>
  </si>
  <si>
    <t>Uma linha por processo de contratação, aberta quando o processo chega à GCC. As datas são registradas ao longo da tramitação.</t>
  </si>
  <si>
    <t>Aba Alterações</t>
  </si>
  <si>
    <t>Uma linha por alteração do PLAC aprovada em REDIR. Registre no mesmo dia da deliberação: este dado não pode ser reconstruído depois.</t>
  </si>
  <si>
    <t>Aba Painel</t>
  </si>
  <si>
    <t>Informe o período e os dois parâmetros em amarelo. Os indicadores são calculados automaticamente.</t>
  </si>
  <si>
    <t>Periodicidade</t>
  </si>
  <si>
    <t>Apuração quadrimestral, com posições em 30/04, 31/08 e 31/12, para o Relatório Gerencial previsto no art. 46 da Diretriz.</t>
  </si>
  <si>
    <t>Como os indicadores são calculados</t>
  </si>
  <si>
    <t>TEP (I)</t>
  </si>
  <si>
    <t>Itens com data pretendida de assinatura no período que efetivamente foram assinados no período, dividido pelo total de itens com data pretendida no período.</t>
  </si>
  <si>
    <t>IAC (II)</t>
  </si>
  <si>
    <t>APURAÇÃO DOS INDICADORES DO PLAC — ANEXO IV</t>
  </si>
  <si>
    <t>CONTROLE DE EXECUÇÃO DO PLAC — GCC</t>
  </si>
  <si>
    <t>Processos que entraram na GCC até a data-limite do Calendário, dividido pelos processos que entraram no período.</t>
  </si>
  <si>
    <t>ICNP (III)</t>
  </si>
  <si>
    <t>Inclusões aprovadas no período (art. 34, I), divididas pelos itens do PLAC vigente ao final do período.</t>
  </si>
  <si>
    <t>IAP (IV)</t>
  </si>
  <si>
    <t>Todas as alterações aprovadas no período, divididas pelos itens do PLAC aprovado em novembro.</t>
  </si>
  <si>
    <t>TMP (V)</t>
  </si>
  <si>
    <t>Média de dias úteis entre a entrada na GCC e a assinatura, das contratações concluídas no período. Também apurado por forma de contratação.</t>
  </si>
  <si>
    <t>Complementares</t>
  </si>
  <si>
    <t>Índice de devolução, tempo médio de saneamento pela área e tempo médio de análise jurídica. Explicam as causas dos desvios dos demais.</t>
  </si>
  <si>
    <t>Cuidados</t>
  </si>
  <si>
    <t>Preencha o período e os parâmetros. Os indicadores são calculados automaticamente a partir das abas Execução e Alterações.</t>
  </si>
  <si>
    <t>Feriados</t>
  </si>
  <si>
    <t>A aba Listas traz o calendário de feriados usado no cálculo de dias úteis. Confira e atualize a cada exercício.</t>
  </si>
  <si>
    <t>Uma linha por processo de contratação. Alimenta a apuração dos indicadores do Anexo IV da Diretriz do PLAC.</t>
  </si>
  <si>
    <t>Prazos do Anexo III</t>
  </si>
  <si>
    <t>A coluna de prazos da aba Listas reproduz o Anexo III da Diretriz. Se o Anexo for atualizado, atualize também esta lista.</t>
  </si>
  <si>
    <t>Linhas de exemplo</t>
  </si>
  <si>
    <t>As linhas em amarelo das abas Execução e Alterações são demonstrativas e devem ser excluídas antes do uso.</t>
  </si>
  <si>
    <t>Início do período de apuração</t>
  </si>
  <si>
    <t>Leitura dos resultados</t>
  </si>
  <si>
    <t>As faixas de referência são preliminares. O primeiro exercício constitui a linha de base, e as metas serão fixadas pela DAFRI a partir do segundo ciclo.</t>
  </si>
  <si>
    <t>REGISTRO DE ALTERAÇÕES DO PLAC</t>
  </si>
  <si>
    <t>Nº do item do PLAC</t>
  </si>
  <si>
    <t>Uma linha por alteração aprovada. Base de cálculo dos indicadores III e IV do Anexo IV.</t>
  </si>
  <si>
    <t>Nº</t>
  </si>
  <si>
    <t>Processo</t>
  </si>
  <si>
    <t>Diretoria</t>
  </si>
  <si>
    <t>Data da deliberação</t>
  </si>
  <si>
    <t>Objeto (resumo)</t>
  </si>
  <si>
    <t>Item do PLAC afetado</t>
  </si>
  <si>
    <t>Forma de contratação</t>
  </si>
  <si>
    <t>Hipótese do art. 34</t>
  </si>
  <si>
    <t>Fim do período de apuração</t>
  </si>
  <si>
    <t>Grau de prioridade</t>
  </si>
  <si>
    <t>Prevista no PLAC</t>
  </si>
  <si>
    <t>Objeto</t>
  </si>
  <si>
    <t>Itens do PLAC aprovado (nov/2026)</t>
  </si>
  <si>
    <t>Valor estimado (R$)</t>
  </si>
  <si>
    <t>Justificativa resumida</t>
  </si>
  <si>
    <t>Data pretendida de assinatura</t>
  </si>
  <si>
    <t>Impacto financeiro (R$)</t>
  </si>
  <si>
    <t>Data-limite do Calendário</t>
  </si>
  <si>
    <t>Instrumento de aprovação (ata REDIR)</t>
  </si>
  <si>
    <t>Data de entrada na GCC</t>
  </si>
  <si>
    <t>Data de devolução à área</t>
  </si>
  <si>
    <t>Data de retorno da área</t>
  </si>
  <si>
    <t>Itens do PLAC vigente ao final do período</t>
  </si>
  <si>
    <t>Data de envio ao jurídico</t>
  </si>
  <si>
    <t>Data de retorno do jurídico</t>
  </si>
  <si>
    <t>Data de assinatura</t>
  </si>
  <si>
    <t>Situação</t>
  </si>
  <si>
    <t>Ind.</t>
  </si>
  <si>
    <t>Entrou no prazo?</t>
  </si>
  <si>
    <t>Indicador</t>
  </si>
  <si>
    <t>Resultado</t>
  </si>
  <si>
    <t>Dias úteis GCC → assinatura</t>
  </si>
  <si>
    <t>Faixa de referência</t>
  </si>
  <si>
    <t>Prazo Anexo III</t>
  </si>
  <si>
    <t>Desvio (dias úteis)</t>
  </si>
  <si>
    <t>I</t>
  </si>
  <si>
    <t>Dias úteis de saneamento</t>
  </si>
  <si>
    <t>Dias úteis do jurídico</t>
  </si>
  <si>
    <t>Taxa de execução do PLAC — TEP (itens)</t>
  </si>
  <si>
    <t>0001/2027</t>
  </si>
  <si>
    <t>Novo</t>
  </si>
  <si>
    <t>I - Inclusão de contratação não prevista</t>
  </si>
  <si>
    <t>3000 - Diretoria Técnico-Operacional</t>
  </si>
  <si>
    <t>4000 - Diretoria Comercial</t>
  </si>
  <si>
    <t>Serviço de call center para atendimento comercial</t>
  </si>
  <si>
    <t>Demanda decorrente de novo contrato firmado com cliente em fevereiro de 2027.</t>
  </si>
  <si>
    <t>Manutenção de grupos geradores</t>
  </si>
  <si>
    <t>Ata REDIR nº 05/2027</t>
  </si>
  <si>
    <t>Pregão eletrônico</t>
  </si>
  <si>
    <t>Alto</t>
  </si>
  <si>
    <t>Sim</t>
  </si>
  <si>
    <t>Concluída</t>
  </si>
  <si>
    <t>≥ 85% adequado · 70% a 84% atenção · &lt; 70% crítico</t>
  </si>
  <si>
    <t>I-b</t>
  </si>
  <si>
    <t>Taxa de execução do PLAC — TEP (valor)</t>
  </si>
  <si>
    <t>LISTAS AUXILIARES — não alterar sem comunicar a GCC</t>
  </si>
  <si>
    <t>Prazo Anexo III (dias úteis)</t>
  </si>
  <si>
    <t>Sim / Não</t>
  </si>
  <si>
    <t>Feriados (conferir anualmente)</t>
  </si>
  <si>
    <t>1000 - Presidência</t>
  </si>
  <si>
    <t>Em instrução na GCC</t>
  </si>
  <si>
    <t>Dispensa tradicional</t>
  </si>
  <si>
    <t>2000 - Diretoria Administrativo-Financeira</t>
  </si>
  <si>
    <t>Devolvido à área</t>
  </si>
  <si>
    <t>Médio</t>
  </si>
  <si>
    <t>II - Exclusão de contratação prevista</t>
  </si>
  <si>
    <t>Não</t>
  </si>
  <si>
    <t>Dispensa tradicional de baixo valor</t>
  </si>
  <si>
    <t>Em análise jurídica</t>
  </si>
  <si>
    <t>Baixo</t>
  </si>
  <si>
    <t>III - Redimensionamento de quantitativos ou valores</t>
  </si>
  <si>
    <t>Complementar ao indicador I, ponderado pelo valor estimado</t>
  </si>
  <si>
    <t>Dispensa de baixo valor - eletrônica</t>
  </si>
  <si>
    <t>II</t>
  </si>
  <si>
    <t>Em seleção do fornecedor</t>
  </si>
  <si>
    <t>Índice de aderência ao Calendário — IAC</t>
  </si>
  <si>
    <t>IV - Alteração de data ou prazo</t>
  </si>
  <si>
    <t>Inexigibilidade</t>
  </si>
  <si>
    <t>5000 - Diretoria de Governança</t>
  </si>
  <si>
    <t>Inexigibilidade - contratação de cursos</t>
  </si>
  <si>
    <t>Cancelada</t>
  </si>
  <si>
    <t>Dispensa - contratos de locação</t>
  </si>
  <si>
    <t>Dispensa - energia elétrica</t>
  </si>
  <si>
    <t>Inexigibilidade - compartilhamento de infraestrutura</t>
  </si>
  <si>
    <t>Afastamento das regras de licitação (art. 117 do RELIC)</t>
  </si>
  <si>
    <t>≥ 90% adequado · 75% a 89% atenção · &lt; 75% crítico</t>
  </si>
  <si>
    <t>III</t>
  </si>
  <si>
    <t>Índice de contratações não planejadas — ICNP</t>
  </si>
  <si>
    <t>≤ 10% adequado · 11% a 20% atenção · &gt; 20% crítico</t>
  </si>
  <si>
    <t>IV</t>
  </si>
  <si>
    <t>Índice de alterações do Plano — IAP</t>
  </si>
  <si>
    <t>≤ 25% adequado · 26% a 40% atenção · &gt; 40% crítico</t>
  </si>
  <si>
    <t>V</t>
  </si>
  <si>
    <t>Tempo médio de processamento — TMP (dias úteis)</t>
  </si>
  <si>
    <t>Comparar com o Anexo III; desvio acima de 20% enseja revisão</t>
  </si>
  <si>
    <t>C-a</t>
  </si>
  <si>
    <t>Índice de devolução por instrução incompleta</t>
  </si>
  <si>
    <t>Indicador complementar — explica desvios do IAC e do TMP</t>
  </si>
  <si>
    <t>C-b</t>
  </si>
  <si>
    <t>Tempo médio de saneamento pela área (dias úteis)</t>
  </si>
  <si>
    <t>Indicador complementar — mede a área requisitante</t>
  </si>
  <si>
    <t>C-c</t>
  </si>
  <si>
    <t>Tempo médio de análise jurídica (dias úteis)</t>
  </si>
  <si>
    <t>Indicador complementar — mede a interface jurídica</t>
  </si>
  <si>
    <t>Tempo médio de processamento por forma de contratação</t>
  </si>
  <si>
    <t>Concluídas</t>
  </si>
  <si>
    <t>TMP apurado</t>
  </si>
  <si>
    <t>Desvio</t>
  </si>
  <si>
    <t>Leitura obrigatória: o resultado numérico não é apresentado isoladamente. O Relatório Gerencial deve trazer a análise das causas dos desvios e as medidas de tratamento propostas (Anexo IV, item 5).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</si>
</sst>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R$ &quot;#,##0.00"/>
    <numFmt numFmtId="165" formatCode="0.0%"/>
    <numFmt numFmtId="166" formatCode="0.0"/>
  </numFmts>
  <fonts count="15">
    <font>
      <sz val="11.0"/>
      <color theme="1"/>
      <name val="Calibri"/>
      <scheme val="minor"/>
    </font>
    <font>
      <b/>
      <sz val="15.0"/>
      <color rgb="FF1F3864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2.0"/>
      <color rgb="FFFFFFFF"/>
      <name val="Arial"/>
    </font>
    <font>
      <sz val="11.0"/>
      <color theme="1"/>
      <name val="Calibri"/>
    </font>
    <font>
      <b/>
      <sz val="16.0"/>
      <color rgb="FF1F3864"/>
      <name val="Arial"/>
    </font>
    <font>
      <i/>
      <sz val="10.0"/>
      <color rgb="FF7F7F7F"/>
      <name val="Arial"/>
    </font>
    <font>
      <b/>
      <sz val="11.0"/>
      <color theme="1"/>
      <name val="Arial"/>
    </font>
    <font>
      <b/>
      <sz val="10.0"/>
      <color rgb="FFFFFFFF"/>
      <name val="Arial"/>
    </font>
    <font>
      <sz val="11.0"/>
      <color rgb="FF0000FF"/>
      <name val="Arial"/>
    </font>
    <font>
      <i/>
      <sz val="10.0"/>
      <color theme="1"/>
      <name val="Arial"/>
    </font>
    <font>
      <b/>
      <sz val="12.0"/>
      <color rgb="FF1F3864"/>
      <name val="Arial"/>
    </font>
    <font>
      <sz val="9.0"/>
      <color rgb="FF7F7F7F"/>
      <name val="Arial"/>
    </font>
    <font>
      <i/>
      <sz val="10.0"/>
      <color rgb="FFC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</fills>
  <borders count="3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1" fillId="2" fontId="4" numFmtId="0" xfId="0" applyBorder="1" applyFill="1" applyFont="1"/>
    <xf borderId="1" fillId="2" fontId="5" numFmtId="0" xfId="0" applyBorder="1" applyFill="1" applyFont="1"/>
    <xf borderId="0" fillId="0" fontId="6" numFmtId="0" xfId="0" applyFont="1"/>
    <xf borderId="0" fillId="0" fontId="7" numFmtId="0" xfId="0" applyFont="1"/>
    <xf borderId="0" fillId="0" fontId="8" numFmtId="0" xfId="0" applyFont="1"/>
    <xf borderId="2" fillId="2" fontId="9" numFmtId="0" xfId="0" applyAlignment="1" applyBorder="1" applyFill="1" applyFont="1">
      <alignment horizontal="center" shrinkToFit="0" vertical="center" wrapText="1"/>
    </xf>
    <xf borderId="2" fillId="3" fontId="10" numFmtId="14" xfId="0" applyAlignment="1" applyBorder="1" applyFill="1" applyFont="1" applyNumberFormat="1">
      <alignment horizontal="center"/>
    </xf>
    <xf borderId="2" fillId="3" fontId="10" numFmtId="0" xfId="0" applyAlignment="1" applyBorder="1" applyFill="1" applyFont="1">
      <alignment horizontal="center"/>
    </xf>
    <xf borderId="2" fillId="3" fontId="11" numFmtId="0" xfId="0" applyAlignment="1" applyBorder="1" applyFill="1" applyFont="1">
      <alignment shrinkToFit="0" vertical="top" wrapText="1"/>
    </xf>
    <xf borderId="2" fillId="0" fontId="2" numFmtId="0" xfId="0" applyAlignment="1" applyBorder="1" applyFont="1">
      <alignment horizontal="center"/>
    </xf>
    <xf borderId="2" fillId="3" fontId="11" numFmtId="14" xfId="0" applyAlignment="1" applyBorder="1" applyFill="1" applyFont="1" applyNumberFormat="1">
      <alignment shrinkToFit="0" vertical="top" wrapText="1"/>
    </xf>
    <xf borderId="2" fillId="0" fontId="3" numFmtId="0" xfId="0" applyBorder="1" applyFont="1"/>
    <xf borderId="2" fillId="3" fontId="11" numFmtId="0" xfId="0" applyAlignment="1" applyBorder="1" applyFill="1" applyFont="1">
      <alignment vertical="top"/>
    </xf>
    <xf borderId="2" fillId="3" fontId="11" numFmtId="164" xfId="0" applyAlignment="1" applyBorder="1" applyFill="1" applyFont="1" applyNumberFormat="1">
      <alignment shrinkToFit="0" vertical="top" wrapText="1"/>
    </xf>
    <xf borderId="2" fillId="0" fontId="3" numFmtId="0" xfId="0" applyAlignment="1" applyBorder="1" applyFont="1">
      <alignment shrinkToFit="0" vertical="top" wrapText="1"/>
    </xf>
    <xf borderId="2" fillId="0" fontId="3" numFmtId="14" xfId="0" applyAlignment="1" applyBorder="1" applyFont="1" applyNumberFormat="1">
      <alignment shrinkToFit="0" vertical="top" wrapText="1"/>
    </xf>
    <xf borderId="2" fillId="0" fontId="3" numFmtId="164" xfId="0" applyAlignment="1" applyBorder="1" applyFont="1" applyNumberFormat="1">
      <alignment shrinkToFit="0" vertical="top" wrapText="1"/>
    </xf>
    <xf borderId="2" fillId="3" fontId="11" numFmtId="164" xfId="0" applyAlignment="1" applyBorder="1" applyFill="1" applyFont="1" applyNumberFormat="1">
      <alignment vertical="top"/>
    </xf>
    <xf borderId="2" fillId="3" fontId="11" numFmtId="14" xfId="0" applyAlignment="1" applyBorder="1" applyFill="1" applyFont="1" applyNumberFormat="1">
      <alignment vertical="top"/>
    </xf>
    <xf borderId="2" fillId="4" fontId="12" numFmtId="165" xfId="0" applyAlignment="1" applyBorder="1" applyFill="1" applyFont="1" applyNumberFormat="1">
      <alignment horizontal="center"/>
    </xf>
    <xf borderId="2" fillId="0" fontId="5" numFmtId="0" xfId="0" applyBorder="1" applyFont="1"/>
    <xf borderId="2" fillId="0" fontId="13" numFmtId="0" xfId="0" applyAlignment="1" applyBorder="1" applyFont="1">
      <alignment shrinkToFit="0" vertical="center" wrapText="1"/>
    </xf>
    <xf borderId="2" fillId="4" fontId="11" numFmtId="0" xfId="0" applyAlignment="1" applyBorder="1" applyFill="1" applyFont="1">
      <alignment horizontal="center" vertical="top"/>
    </xf>
    <xf borderId="2" fillId="4" fontId="2" numFmtId="0" xfId="0" applyAlignment="1" applyBorder="1" applyFill="1" applyFont="1">
      <alignment horizontal="center"/>
    </xf>
    <xf borderId="0" fillId="0" fontId="12" numFmtId="0" xfId="0" applyFont="1"/>
    <xf borderId="1" fillId="2" fontId="9" numFmtId="0" xfId="0" applyBorder="1" applyFill="1" applyFont="1"/>
    <xf borderId="0" fillId="0" fontId="3" numFmtId="0" xfId="0" applyFont="1"/>
    <xf borderId="0" fillId="0" fontId="3" numFmtId="14" xfId="0" applyFont="1" applyNumberFormat="1"/>
    <xf borderId="2" fillId="0" fontId="3" numFmtId="0" xfId="0" applyAlignment="1" applyBorder="1" applyFont="1">
      <alignment vertical="top"/>
    </xf>
    <xf borderId="2" fillId="0" fontId="3" numFmtId="164" xfId="0" applyAlignment="1" applyBorder="1" applyFont="1" applyNumberFormat="1">
      <alignment vertical="top"/>
    </xf>
    <xf borderId="2" fillId="0" fontId="3" numFmtId="14" xfId="0" applyAlignment="1" applyBorder="1" applyFont="1" applyNumberFormat="1">
      <alignment vertical="top"/>
    </xf>
    <xf borderId="2" fillId="4" fontId="3" numFmtId="0" xfId="0" applyAlignment="1" applyBorder="1" applyFill="1" applyFont="1">
      <alignment horizontal="center" vertical="top"/>
    </xf>
    <xf borderId="2" fillId="4" fontId="12" numFmtId="166" xfId="0" applyAlignment="1" applyBorder="1" applyFill="1" applyFont="1" applyNumberFormat="1">
      <alignment horizontal="center"/>
    </xf>
    <xf borderId="2" fillId="2" fontId="9" numFmtId="0" xfId="0" applyAlignment="1" applyBorder="1" applyFill="1" applyFont="1">
      <alignment horizontal="center" shrinkToFit="0" wrapText="1"/>
    </xf>
    <xf borderId="2" fillId="4" fontId="3" numFmtId="166" xfId="0" applyAlignment="1" applyBorder="1" applyFill="1" applyFont="1" applyNumberFormat="1">
      <alignment horizontal="center"/>
    </xf>
    <xf borderId="0" fillId="0" fontId="14" numFmtId="0" xfId="0" applyFont="1"/>
  </cellXfs>
  <cellStyles count="1">
    <cellStyle xfId="0" name="Normal" builtinId="0"/>
  </cellStyles>
  <dxfs count="3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6.0"/>
    <col customWidth="1" min="3" max="3" width="92.0"/>
    <col customWidth="1" min="4" max="26" width="8.71"/>
  </cols>
  <sheetData>
    <row r="2">
      <c r="B2" s="1" t="s">
        <v>0</v>
      </c>
    </row>
    <row r="4" ht="30.0" customHeight="1">
      <c r="B4" s="2" t="s">
        <v>1</v>
      </c>
      <c r="C4" s="3" t="s">
        <v>2</v>
      </c>
    </row>
    <row r="6">
      <c r="B6" s="4" t="s">
        <v>3</v>
      </c>
      <c r="C6" s="5"/>
    </row>
    <row r="7" ht="30.0" customHeight="1">
      <c r="B7" s="2" t="s">
        <v>4</v>
      </c>
      <c r="C7" s="3" t="s">
        <v>5</v>
      </c>
    </row>
    <row r="8" ht="30.0" customHeight="1">
      <c r="B8" s="2" t="s">
        <v>6</v>
      </c>
      <c r="C8" s="3" t="s">
        <v>7</v>
      </c>
    </row>
    <row r="9" ht="30.0" customHeight="1">
      <c r="B9" s="2" t="s">
        <v>8</v>
      </c>
      <c r="C9" s="3" t="s">
        <v>9</v>
      </c>
    </row>
    <row r="10" ht="30.0" customHeight="1">
      <c r="B10" s="2" t="s">
        <v>10</v>
      </c>
      <c r="C10" s="3" t="s">
        <v>11</v>
      </c>
    </row>
    <row r="12">
      <c r="B12" s="4" t="s">
        <v>12</v>
      </c>
      <c r="C12" s="5"/>
    </row>
    <row r="13" ht="30.0" customHeight="1">
      <c r="B13" s="2" t="s">
        <v>13</v>
      </c>
      <c r="C13" s="3" t="s">
        <v>14</v>
      </c>
    </row>
    <row r="14" ht="30.0" customHeight="1">
      <c r="B14" s="2" t="s">
        <v>15</v>
      </c>
      <c r="C14" s="3" t="s">
        <v>18</v>
      </c>
    </row>
    <row r="15" ht="30.0" customHeight="1">
      <c r="B15" s="2" t="s">
        <v>19</v>
      </c>
      <c r="C15" s="3" t="s">
        <v>20</v>
      </c>
    </row>
    <row r="16" ht="30.0" customHeight="1">
      <c r="B16" s="2" t="s">
        <v>21</v>
      </c>
      <c r="C16" s="3" t="s">
        <v>22</v>
      </c>
    </row>
    <row r="17" ht="30.0" customHeight="1">
      <c r="B17" s="2" t="s">
        <v>23</v>
      </c>
      <c r="C17" s="3" t="s">
        <v>24</v>
      </c>
    </row>
    <row r="18" ht="30.0" customHeight="1">
      <c r="B18" s="2" t="s">
        <v>25</v>
      </c>
      <c r="C18" s="3" t="s">
        <v>26</v>
      </c>
    </row>
    <row r="20">
      <c r="B20" s="4" t="s">
        <v>27</v>
      </c>
      <c r="C20" s="5"/>
    </row>
    <row r="21" ht="30.0" customHeight="1">
      <c r="B21" s="2" t="s">
        <v>29</v>
      </c>
      <c r="C21" s="3" t="s">
        <v>30</v>
      </c>
    </row>
    <row r="22" ht="30.0" customHeight="1">
      <c r="B22" s="2" t="s">
        <v>32</v>
      </c>
      <c r="C22" s="3" t="s">
        <v>33</v>
      </c>
    </row>
    <row r="23" ht="30.0" customHeight="1">
      <c r="B23" s="2" t="s">
        <v>34</v>
      </c>
      <c r="C23" s="3" t="s">
        <v>35</v>
      </c>
    </row>
    <row r="24" ht="30.0" customHeight="1">
      <c r="B24" s="2" t="s">
        <v>37</v>
      </c>
      <c r="C24" s="3" t="s">
        <v>38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52.0"/>
    <col customWidth="1" min="3" max="3" width="18.0"/>
    <col customWidth="1" min="4" max="4" width="14.0"/>
    <col customWidth="1" min="5" max="5" width="46.0"/>
    <col customWidth="1" min="6" max="6" width="16.0"/>
    <col customWidth="1" min="7" max="26" width="8.71"/>
  </cols>
  <sheetData>
    <row r="2">
      <c r="B2" s="6" t="s">
        <v>16</v>
      </c>
    </row>
    <row r="3">
      <c r="B3" s="7" t="s">
        <v>28</v>
      </c>
    </row>
    <row r="5">
      <c r="B5" s="8" t="s">
        <v>36</v>
      </c>
      <c r="C5" s="10">
        <v>46388.0</v>
      </c>
    </row>
    <row r="6">
      <c r="B6" s="8" t="s">
        <v>50</v>
      </c>
      <c r="C6" s="10">
        <v>46752.0</v>
      </c>
    </row>
    <row r="7">
      <c r="B7" s="8" t="s">
        <v>54</v>
      </c>
      <c r="C7" s="11">
        <v>120.0</v>
      </c>
    </row>
    <row r="8">
      <c r="B8" s="8" t="s">
        <v>64</v>
      </c>
      <c r="C8" s="11">
        <v>125.0</v>
      </c>
    </row>
    <row r="11" ht="25.5" customHeight="1">
      <c r="A11" s="9" t="s">
        <v>69</v>
      </c>
      <c r="B11" s="9" t="s">
        <v>71</v>
      </c>
      <c r="C11" s="9" t="s">
        <v>72</v>
      </c>
      <c r="E11" s="9" t="s">
        <v>74</v>
      </c>
      <c r="F11" s="9" t="s">
        <v>68</v>
      </c>
    </row>
    <row r="12" ht="24.0" customHeight="1">
      <c r="A12" s="13" t="s">
        <v>77</v>
      </c>
      <c r="B12" s="15" t="s">
        <v>80</v>
      </c>
      <c r="C12" s="23">
        <f>IFERROR(COUNTIFS('Execução'!$I$7:$I$206,"&gt;="&amp;$C$5,'Execução'!$I$7:$I$206,"&lt;="&amp;$C$6,'Execução'!$P$7:$P$206,"&gt;="&amp;$C$5,'Execução'!$P$7:$P$206,"&lt;="&amp;$C$6)/COUNTIFS('Execução'!$I$7:$I$206,"&gt;="&amp;$C$5,'Execução'!$I$7:$I$206,"&lt;="&amp;$C$6),"—")</f>
        <v>1</v>
      </c>
      <c r="D12" s="24"/>
      <c r="E12" s="25" t="s">
        <v>94</v>
      </c>
      <c r="F12" s="27" t="str">
        <f>IF(NOT(ISNUMBER(C12)),"—",IF(C12&gt;=0.85,"Adequado",IF(C12&gt;=0.7,"Atenção","Crítico")))</f>
        <v>Adequado</v>
      </c>
    </row>
    <row r="13" ht="24.0" customHeight="1">
      <c r="A13" s="13" t="s">
        <v>95</v>
      </c>
      <c r="B13" s="15" t="s">
        <v>96</v>
      </c>
      <c r="C13" s="23">
        <f>IFERROR(SUMIFS('Execução'!$H$7:$H$206,'Execução'!$I$7:$I$206,"&gt;="&amp;$C$5,'Execução'!$I$7:$I$206,"&lt;="&amp;$C$6,'Execução'!$P$7:$P$206,"&gt;="&amp;$C$5,'Execução'!$P$7:$P$206,"&lt;="&amp;$C$6)/SUMIFS('Execução'!$H$7:$H$206,'Execução'!$I$7:$I$206,"&gt;="&amp;$C$5,'Execução'!$I$7:$I$206,"&lt;="&amp;$C$6),"—")</f>
        <v>1</v>
      </c>
      <c r="D13" s="24"/>
      <c r="E13" s="25" t="s">
        <v>113</v>
      </c>
      <c r="F13" s="24"/>
    </row>
    <row r="14" ht="24.0" customHeight="1">
      <c r="A14" s="13" t="s">
        <v>115</v>
      </c>
      <c r="B14" s="15" t="s">
        <v>117</v>
      </c>
      <c r="C14" s="23">
        <f>IFERROR(COUNTIFS('Execução'!$K$7:$K$206,"&gt;="&amp;$C$5,'Execução'!$K$7:$K$206,"&lt;="&amp;$C$6,'Execução'!$R$7:$R$206,"Sim")/COUNTIFS('Execução'!$K$7:$K$206,"&gt;="&amp;$C$5,'Execução'!$K$7:$K$206,"&lt;="&amp;$C$6),"—")</f>
        <v>0</v>
      </c>
      <c r="D14" s="24"/>
      <c r="E14" s="25" t="s">
        <v>127</v>
      </c>
      <c r="F14" s="27" t="str">
        <f>IF(NOT(ISNUMBER(C14)),"—",IF(C14&gt;=0.9,"Adequado",IF(C14&gt;=0.75,"Atenção","Crítico")))</f>
        <v>Crítico</v>
      </c>
    </row>
    <row r="15" ht="24.0" customHeight="1">
      <c r="A15" s="13" t="s">
        <v>128</v>
      </c>
      <c r="B15" s="15" t="s">
        <v>129</v>
      </c>
      <c r="C15" s="23">
        <f>IFERROR(COUNTIFS('Alterações'!$B$7:$B$106,"&gt;="&amp;$C$5,'Alterações'!$B$7:$B$106,"&lt;="&amp;$C$6,'Alterações'!$D$7:$D$106,"I - Inclusão*")/$C$8,"—")</f>
        <v>0.008</v>
      </c>
      <c r="D15" s="24"/>
      <c r="E15" s="25" t="s">
        <v>130</v>
      </c>
      <c r="F15" s="27" t="str">
        <f>IF(NOT(ISNUMBER(C15)),"—",IF(C15&lt;=0.1,"Adequado",IF(C15&lt;=0.2,"Atenção","Crítico")))</f>
        <v>Adequado</v>
      </c>
    </row>
    <row r="16" ht="24.0" customHeight="1">
      <c r="A16" s="13" t="s">
        <v>131</v>
      </c>
      <c r="B16" s="15" t="s">
        <v>132</v>
      </c>
      <c r="C16" s="23">
        <f>IFERROR(COUNTIFS('Alterações'!$B$7:$B$106,"&gt;="&amp;$C$5,'Alterações'!$B$7:$B$106,"&lt;="&amp;$C$6)/$C$7,"—")</f>
        <v>0.008333333333</v>
      </c>
      <c r="D16" s="24"/>
      <c r="E16" s="25" t="s">
        <v>133</v>
      </c>
      <c r="F16" s="27" t="str">
        <f>IF(NOT(ISNUMBER(C16)),"—",IF(C16&lt;=0.25,"Adequado",IF(C16&lt;=0.4,"Atenção","Crítico")))</f>
        <v>Adequado</v>
      </c>
    </row>
    <row r="17" ht="24.0" customHeight="1">
      <c r="A17" s="13" t="s">
        <v>134</v>
      </c>
      <c r="B17" s="15" t="s">
        <v>135</v>
      </c>
      <c r="C17" s="36">
        <f>IFERROR(AVERAGEIFS('Execução'!$S$7:$S$206,'Execução'!$P$7:$P$206,"&gt;="&amp;$C$5,'Execução'!$P$7:$P$206,"&lt;="&amp;$C$6),"—")</f>
        <v>150</v>
      </c>
      <c r="D17" s="24"/>
      <c r="E17" s="25" t="s">
        <v>136</v>
      </c>
      <c r="F17" s="24"/>
    </row>
    <row r="18" ht="24.0" customHeight="1">
      <c r="A18" s="13" t="s">
        <v>137</v>
      </c>
      <c r="B18" s="15" t="s">
        <v>138</v>
      </c>
      <c r="C18" s="23">
        <f>IFERROR(COUNTIFS('Execução'!$L$7:$L$206,"&gt;="&amp;$C$5,'Execução'!$L$7:$L$206,"&lt;="&amp;$C$6)/COUNTIFS('Execução'!$K$7:$K$206,"&gt;="&amp;$C$5,'Execução'!$K$7:$K$206,"&lt;="&amp;$C$6),"—")</f>
        <v>1</v>
      </c>
      <c r="D18" s="24"/>
      <c r="E18" s="25" t="s">
        <v>139</v>
      </c>
      <c r="F18" s="24"/>
    </row>
    <row r="19" ht="24.0" customHeight="1">
      <c r="A19" s="13" t="s">
        <v>140</v>
      </c>
      <c r="B19" s="15" t="s">
        <v>141</v>
      </c>
      <c r="C19" s="36">
        <f>IFERROR(AVERAGEIFS('Execução'!$V$7:$V$206,'Execução'!$M$7:$M$206,"&gt;="&amp;$C$5,'Execução'!$M$7:$M$206,"&lt;="&amp;$C$6),"—")</f>
        <v>5</v>
      </c>
      <c r="D19" s="24"/>
      <c r="E19" s="25" t="s">
        <v>142</v>
      </c>
      <c r="F19" s="24"/>
    </row>
    <row r="20" ht="24.0" customHeight="1">
      <c r="A20" s="13" t="s">
        <v>143</v>
      </c>
      <c r="B20" s="15" t="s">
        <v>144</v>
      </c>
      <c r="C20" s="36">
        <f>IFERROR(AVERAGEIFS('Execução'!$W$7:$W$206,'Execução'!$O$7:$O$206,"&gt;="&amp;$C$5,'Execução'!$O$7:$O$206,"&lt;="&amp;$C$6),"—")</f>
        <v>15</v>
      </c>
      <c r="D20" s="24"/>
      <c r="E20" s="25" t="s">
        <v>145</v>
      </c>
      <c r="F20" s="24"/>
    </row>
    <row r="21" ht="15.75" customHeight="1"/>
    <row r="22" ht="15.75" customHeight="1">
      <c r="B22" s="28" t="s">
        <v>146</v>
      </c>
    </row>
    <row r="23" ht="15.75" customHeight="1">
      <c r="B23" s="37" t="s">
        <v>48</v>
      </c>
      <c r="C23" s="37" t="s">
        <v>147</v>
      </c>
      <c r="D23" s="37" t="s">
        <v>148</v>
      </c>
      <c r="E23" s="37" t="s">
        <v>75</v>
      </c>
      <c r="F23" s="37" t="s">
        <v>149</v>
      </c>
    </row>
    <row r="24" ht="15.75" customHeight="1">
      <c r="B24" s="15" t="s">
        <v>90</v>
      </c>
      <c r="C24" s="38">
        <f>COUNTIFS('Execução'!$E$7:$E$206,$B24,'Execução'!$P$7:$P$206,"&gt;="&amp;$C$5,'Execução'!$P$7:$P$206,"&lt;="&amp;$C$6)</f>
        <v>1</v>
      </c>
      <c r="D24" s="38">
        <f>IFERROR(AVERAGEIFS('Execução'!$S$7:$S$206,'Execução'!$E$7:$E$206,$B24,'Execução'!$P$7:$P$206,"&gt;="&amp;$C$5,'Execução'!$P$7:$P$206,"&lt;="&amp;$C$6),"—")</f>
        <v>150</v>
      </c>
      <c r="E24" s="38">
        <v>140.0</v>
      </c>
      <c r="F24" s="38">
        <f t="shared" ref="F24:F33" si="1">IF(NOT(ISNUMBER($D24)),"—",$D24-$E24)</f>
        <v>10</v>
      </c>
    </row>
    <row r="25" ht="15.75" customHeight="1">
      <c r="B25" s="15" t="s">
        <v>103</v>
      </c>
      <c r="C25" s="38">
        <f>COUNTIFS('Execução'!$E$7:$E$206,$B25,'Execução'!$P$7:$P$206,"&gt;="&amp;$C$5,'Execução'!$P$7:$P$206,"&lt;="&amp;$C$6)</f>
        <v>0</v>
      </c>
      <c r="D25" s="38" t="str">
        <f>IFERROR(AVERAGEIFS('Execução'!$S$7:$S$206,'Execução'!$E$7:$E$206,$B25,'Execução'!$P$7:$P$206,"&gt;="&amp;$C$5,'Execução'!$P$7:$P$206,"&lt;="&amp;$C$6),"—")</f>
        <v>—</v>
      </c>
      <c r="E25" s="38">
        <v>92.0</v>
      </c>
      <c r="F25" s="38" t="str">
        <f t="shared" si="1"/>
        <v>—</v>
      </c>
    </row>
    <row r="26" ht="15.75" customHeight="1">
      <c r="B26" s="15" t="s">
        <v>109</v>
      </c>
      <c r="C26" s="38">
        <f>COUNTIFS('Execução'!$E$7:$E$206,$B26,'Execução'!$P$7:$P$206,"&gt;="&amp;$C$5,'Execução'!$P$7:$P$206,"&lt;="&amp;$C$6)</f>
        <v>0</v>
      </c>
      <c r="D26" s="38" t="str">
        <f>IFERROR(AVERAGEIFS('Execução'!$S$7:$S$206,'Execução'!$E$7:$E$206,$B26,'Execução'!$P$7:$P$206,"&gt;="&amp;$C$5,'Execução'!$P$7:$P$206,"&lt;="&amp;$C$6),"—")</f>
        <v>—</v>
      </c>
      <c r="E26" s="38">
        <v>90.0</v>
      </c>
      <c r="F26" s="38" t="str">
        <f t="shared" si="1"/>
        <v>—</v>
      </c>
    </row>
    <row r="27" ht="15.75" customHeight="1">
      <c r="B27" s="15" t="s">
        <v>114</v>
      </c>
      <c r="C27" s="38">
        <f>COUNTIFS('Execução'!$E$7:$E$206,$B27,'Execução'!$P$7:$P$206,"&gt;="&amp;$C$5,'Execução'!$P$7:$P$206,"&lt;="&amp;$C$6)</f>
        <v>0</v>
      </c>
      <c r="D27" s="38" t="str">
        <f>IFERROR(AVERAGEIFS('Execução'!$S$7:$S$206,'Execução'!$E$7:$E$206,$B27,'Execução'!$P$7:$P$206,"&gt;="&amp;$C$5,'Execução'!$P$7:$P$206,"&lt;="&amp;$C$6),"—")</f>
        <v>—</v>
      </c>
      <c r="E27" s="38">
        <v>81.0</v>
      </c>
      <c r="F27" s="38" t="str">
        <f t="shared" si="1"/>
        <v>—</v>
      </c>
    </row>
    <row r="28" ht="15.75" customHeight="1">
      <c r="B28" s="15" t="s">
        <v>119</v>
      </c>
      <c r="C28" s="38">
        <f>COUNTIFS('Execução'!$E$7:$E$206,$B28,'Execução'!$P$7:$P$206,"&gt;="&amp;$C$5,'Execução'!$P$7:$P$206,"&lt;="&amp;$C$6)</f>
        <v>0</v>
      </c>
      <c r="D28" s="38" t="str">
        <f>IFERROR(AVERAGEIFS('Execução'!$S$7:$S$206,'Execução'!$E$7:$E$206,$B28,'Execução'!$P$7:$P$206,"&gt;="&amp;$C$5,'Execução'!$P$7:$P$206,"&lt;="&amp;$C$6),"—")</f>
        <v>—</v>
      </c>
      <c r="E28" s="38">
        <v>88.0</v>
      </c>
      <c r="F28" s="38" t="str">
        <f t="shared" si="1"/>
        <v>—</v>
      </c>
    </row>
    <row r="29" ht="15.75" customHeight="1">
      <c r="B29" s="15" t="s">
        <v>121</v>
      </c>
      <c r="C29" s="38">
        <f>COUNTIFS('Execução'!$E$7:$E$206,$B29,'Execução'!$P$7:$P$206,"&gt;="&amp;$C$5,'Execução'!$P$7:$P$206,"&lt;="&amp;$C$6)</f>
        <v>0</v>
      </c>
      <c r="D29" s="38" t="str">
        <f>IFERROR(AVERAGEIFS('Execução'!$S$7:$S$206,'Execução'!$E$7:$E$206,$B29,'Execução'!$P$7:$P$206,"&gt;="&amp;$C$5,'Execução'!$P$7:$P$206,"&lt;="&amp;$C$6),"—")</f>
        <v>—</v>
      </c>
      <c r="E29" s="38">
        <v>20.0</v>
      </c>
      <c r="F29" s="38" t="str">
        <f t="shared" si="1"/>
        <v>—</v>
      </c>
    </row>
    <row r="30" ht="15.75" customHeight="1">
      <c r="B30" s="15" t="s">
        <v>123</v>
      </c>
      <c r="C30" s="38">
        <f>COUNTIFS('Execução'!$E$7:$E$206,$B30,'Execução'!$P$7:$P$206,"&gt;="&amp;$C$5,'Execução'!$P$7:$P$206,"&lt;="&amp;$C$6)</f>
        <v>0</v>
      </c>
      <c r="D30" s="38" t="str">
        <f>IFERROR(AVERAGEIFS('Execução'!$S$7:$S$206,'Execução'!$E$7:$E$206,$B30,'Execução'!$P$7:$P$206,"&gt;="&amp;$C$5,'Execução'!$P$7:$P$206,"&lt;="&amp;$C$6),"—")</f>
        <v>—</v>
      </c>
      <c r="E30" s="38">
        <v>40.0</v>
      </c>
      <c r="F30" s="38" t="str">
        <f t="shared" si="1"/>
        <v>—</v>
      </c>
    </row>
    <row r="31" ht="15.75" customHeight="1">
      <c r="B31" s="15" t="s">
        <v>124</v>
      </c>
      <c r="C31" s="38">
        <f>COUNTIFS('Execução'!$E$7:$E$206,$B31,'Execução'!$P$7:$P$206,"&gt;="&amp;$C$5,'Execução'!$P$7:$P$206,"&lt;="&amp;$C$6)</f>
        <v>0</v>
      </c>
      <c r="D31" s="38" t="str">
        <f>IFERROR(AVERAGEIFS('Execução'!$S$7:$S$206,'Execução'!$E$7:$E$206,$B31,'Execução'!$P$7:$P$206,"&gt;="&amp;$C$5,'Execução'!$P$7:$P$206,"&lt;="&amp;$C$6),"—")</f>
        <v>—</v>
      </c>
      <c r="E31" s="38">
        <v>37.0</v>
      </c>
      <c r="F31" s="38" t="str">
        <f t="shared" si="1"/>
        <v>—</v>
      </c>
    </row>
    <row r="32" ht="15.75" customHeight="1">
      <c r="B32" s="15" t="s">
        <v>125</v>
      </c>
      <c r="C32" s="38">
        <f>COUNTIFS('Execução'!$E$7:$E$206,$B32,'Execução'!$P$7:$P$206,"&gt;="&amp;$C$5,'Execução'!$P$7:$P$206,"&lt;="&amp;$C$6)</f>
        <v>0</v>
      </c>
      <c r="D32" s="38" t="str">
        <f>IFERROR(AVERAGEIFS('Execução'!$S$7:$S$206,'Execução'!$E$7:$E$206,$B32,'Execução'!$P$7:$P$206,"&gt;="&amp;$C$5,'Execução'!$P$7:$P$206,"&lt;="&amp;$C$6),"—")</f>
        <v>—</v>
      </c>
      <c r="E32" s="38">
        <v>59.0</v>
      </c>
      <c r="F32" s="38" t="str">
        <f t="shared" si="1"/>
        <v>—</v>
      </c>
    </row>
    <row r="33" ht="15.75" customHeight="1">
      <c r="B33" s="15" t="s">
        <v>126</v>
      </c>
      <c r="C33" s="38">
        <f>COUNTIFS('Execução'!$E$7:$E$206,$B33,'Execução'!$P$7:$P$206,"&gt;="&amp;$C$5,'Execução'!$P$7:$P$206,"&lt;="&amp;$C$6)</f>
        <v>0</v>
      </c>
      <c r="D33" s="38" t="str">
        <f>IFERROR(AVERAGEIFS('Execução'!$S$7:$S$206,'Execução'!$E$7:$E$206,$B33,'Execução'!$P$7:$P$206,"&gt;="&amp;$C$5,'Execução'!$P$7:$P$206,"&lt;="&amp;$C$6),"—")</f>
        <v>—</v>
      </c>
      <c r="E33" s="38">
        <v>87.0</v>
      </c>
      <c r="F33" s="38" t="str">
        <f t="shared" si="1"/>
        <v>—</v>
      </c>
    </row>
    <row r="34" ht="15.75" customHeight="1"/>
    <row r="35" ht="15.75" customHeight="1">
      <c r="B35" s="39" t="s">
        <v>150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12:F20">
    <cfRule type="expression" dxfId="0" priority="1">
      <formula>$F12="Adequado"</formula>
    </cfRule>
  </conditionalFormatting>
  <conditionalFormatting sqref="F12:F20">
    <cfRule type="expression" dxfId="1" priority="2">
      <formula>$F12="Atenção"</formula>
    </cfRule>
  </conditionalFormatting>
  <conditionalFormatting sqref="F12:F20">
    <cfRule type="expression" dxfId="2" priority="3">
      <formula>$F12="Crítico"</formula>
    </cfRule>
  </conditionalFormatting>
  <conditionalFormatting sqref="F24:F33">
    <cfRule type="expression" dxfId="2" priority="4">
      <formula>AND(ISNUMBER($F24),$F24&gt;0)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32.0"/>
    <col customWidth="1" min="4" max="4" width="40.0"/>
    <col customWidth="1" min="5" max="5" width="32.0"/>
    <col customWidth="1" min="6" max="6" width="14.0"/>
    <col customWidth="1" min="7" max="7" width="12.0"/>
    <col customWidth="1" min="8" max="16" width="16.0"/>
    <col customWidth="1" min="17" max="17" width="22.0"/>
    <col customWidth="1" min="18" max="18" width="12.0"/>
    <col customWidth="1" min="19" max="19" width="14.0"/>
    <col customWidth="1" min="20" max="21" width="12.0"/>
    <col customWidth="1" min="22" max="23" width="14.0"/>
    <col customWidth="1" min="24" max="26" width="8.71"/>
  </cols>
  <sheetData>
    <row r="1">
      <c r="A1" s="6" t="s">
        <v>17</v>
      </c>
    </row>
    <row r="2">
      <c r="A2" s="7" t="s">
        <v>31</v>
      </c>
    </row>
    <row r="6" ht="43.5" customHeight="1">
      <c r="A6" s="9" t="s">
        <v>40</v>
      </c>
      <c r="B6" s="9" t="s">
        <v>43</v>
      </c>
      <c r="C6" s="9" t="s">
        <v>44</v>
      </c>
      <c r="D6" s="9" t="s">
        <v>46</v>
      </c>
      <c r="E6" s="9" t="s">
        <v>48</v>
      </c>
      <c r="F6" s="9" t="s">
        <v>51</v>
      </c>
      <c r="G6" s="9" t="s">
        <v>52</v>
      </c>
      <c r="H6" s="9" t="s">
        <v>55</v>
      </c>
      <c r="I6" s="9" t="s">
        <v>57</v>
      </c>
      <c r="J6" s="9" t="s">
        <v>59</v>
      </c>
      <c r="K6" s="9" t="s">
        <v>61</v>
      </c>
      <c r="L6" s="9" t="s">
        <v>62</v>
      </c>
      <c r="M6" s="9" t="s">
        <v>63</v>
      </c>
      <c r="N6" s="9" t="s">
        <v>65</v>
      </c>
      <c r="O6" s="9" t="s">
        <v>66</v>
      </c>
      <c r="P6" s="9" t="s">
        <v>67</v>
      </c>
      <c r="Q6" s="9" t="s">
        <v>68</v>
      </c>
      <c r="R6" s="9" t="s">
        <v>70</v>
      </c>
      <c r="S6" s="9" t="s">
        <v>73</v>
      </c>
      <c r="T6" s="9" t="s">
        <v>75</v>
      </c>
      <c r="U6" s="9" t="s">
        <v>76</v>
      </c>
      <c r="V6" s="9" t="s">
        <v>78</v>
      </c>
      <c r="W6" s="9" t="s">
        <v>79</v>
      </c>
    </row>
    <row r="7">
      <c r="A7" s="12">
        <v>12.0</v>
      </c>
      <c r="B7" s="12" t="s">
        <v>81</v>
      </c>
      <c r="C7" s="16" t="s">
        <v>84</v>
      </c>
      <c r="D7" s="12" t="s">
        <v>88</v>
      </c>
      <c r="E7" s="16" t="s">
        <v>90</v>
      </c>
      <c r="F7" s="16" t="s">
        <v>91</v>
      </c>
      <c r="G7" s="16" t="s">
        <v>92</v>
      </c>
      <c r="H7" s="21">
        <v>1200000.0</v>
      </c>
      <c r="I7" s="22">
        <v>46601.0</v>
      </c>
      <c r="J7" s="22">
        <v>46398.0</v>
      </c>
      <c r="K7" s="22">
        <v>46402.0</v>
      </c>
      <c r="L7" s="22">
        <v>46419.0</v>
      </c>
      <c r="M7" s="22">
        <v>46428.0</v>
      </c>
      <c r="N7" s="22">
        <v>46447.0</v>
      </c>
      <c r="O7" s="22">
        <v>46468.0</v>
      </c>
      <c r="P7" s="22">
        <v>46619.0</v>
      </c>
      <c r="Q7" s="16" t="s">
        <v>93</v>
      </c>
      <c r="R7" s="26" t="str">
        <f t="shared" ref="R7:R206" si="1">IF(OR(J7="",K7=""),"",IF(K7&lt;=J7,"Sim","Não"))</f>
        <v>Não</v>
      </c>
      <c r="S7" s="26">
        <f>IF(OR(K7="",P7=""),"",NETWORKDAYS(K7,P7,Listas!$O$4:$O$22)-1)</f>
        <v>150</v>
      </c>
      <c r="T7" s="26">
        <f t="array" ref="T7">IFERROR(INDEX(Listas!$C$4:$C$13,MATCH(E7,Listas!$B$4:$B$13,0)),"")</f>
        <v>140</v>
      </c>
      <c r="U7" s="26">
        <f t="shared" ref="U7:U206" si="2">IF(OR(S7="",T7=""),"",S7-T7)</f>
        <v>10</v>
      </c>
      <c r="V7" s="26">
        <f>IF(OR(L7="",M7=""),"",NETWORKDAYS(L7,M7,Listas!$O$4:$O$22)-1)</f>
        <v>5</v>
      </c>
      <c r="W7" s="26">
        <f>IF(OR(N7="",O7=""),"",NETWORKDAYS(N7,O7,Listas!$O$4:$O$22)-1)</f>
        <v>15</v>
      </c>
    </row>
    <row r="8">
      <c r="A8" s="18"/>
      <c r="B8" s="18"/>
      <c r="C8" s="32"/>
      <c r="D8" s="18"/>
      <c r="E8" s="32"/>
      <c r="F8" s="32"/>
      <c r="G8" s="32"/>
      <c r="H8" s="33"/>
      <c r="I8" s="34"/>
      <c r="J8" s="34"/>
      <c r="K8" s="34"/>
      <c r="L8" s="34"/>
      <c r="M8" s="34"/>
      <c r="N8" s="34"/>
      <c r="O8" s="34"/>
      <c r="P8" s="34"/>
      <c r="Q8" s="32"/>
      <c r="R8" s="35" t="str">
        <f t="shared" si="1"/>
        <v/>
      </c>
      <c r="S8" s="35" t="str">
        <f>IF(OR(K8="",P8=""),"",NETWORKDAYS(K8,P8,Listas!$O$4:$O$22)-1)</f>
        <v/>
      </c>
      <c r="T8" s="35" t="str">
        <f t="array" ref="T8">IFERROR(INDEX(Listas!$C$4:$C$13,MATCH(E8,Listas!$B$4:$B$13,0)),"")</f>
        <v/>
      </c>
      <c r="U8" s="35" t="str">
        <f t="shared" si="2"/>
        <v/>
      </c>
      <c r="V8" s="35" t="str">
        <f>IF(OR(L8="",M8=""),"",NETWORKDAYS(L8,M8,Listas!$O$4:$O$22)-1)</f>
        <v/>
      </c>
      <c r="W8" s="35" t="str">
        <f>IF(OR(N8="",O8=""),"",NETWORKDAYS(N8,O8,Listas!$O$4:$O$22)-1)</f>
        <v/>
      </c>
    </row>
    <row r="9">
      <c r="A9" s="18"/>
      <c r="B9" s="18"/>
      <c r="C9" s="32"/>
      <c r="D9" s="18"/>
      <c r="E9" s="32"/>
      <c r="F9" s="32"/>
      <c r="G9" s="32"/>
      <c r="H9" s="33"/>
      <c r="I9" s="34"/>
      <c r="J9" s="34"/>
      <c r="K9" s="34"/>
      <c r="L9" s="34"/>
      <c r="M9" s="34"/>
      <c r="N9" s="34"/>
      <c r="O9" s="34"/>
      <c r="P9" s="34"/>
      <c r="Q9" s="32"/>
      <c r="R9" s="35" t="str">
        <f t="shared" si="1"/>
        <v/>
      </c>
      <c r="S9" s="35" t="str">
        <f>IF(OR(K9="",P9=""),"",NETWORKDAYS(K9,P9,Listas!$O$4:$O$22)-1)</f>
        <v/>
      </c>
      <c r="T9" s="35" t="str">
        <f t="array" ref="T9">IFERROR(INDEX(Listas!$C$4:$C$13,MATCH(E9,Listas!$B$4:$B$13,0)),"")</f>
        <v/>
      </c>
      <c r="U9" s="35" t="str">
        <f t="shared" si="2"/>
        <v/>
      </c>
      <c r="V9" s="35" t="str">
        <f>IF(OR(L9="",M9=""),"",NETWORKDAYS(L9,M9,Listas!$O$4:$O$22)-1)</f>
        <v/>
      </c>
      <c r="W9" s="35" t="str">
        <f>IF(OR(N9="",O9=""),"",NETWORKDAYS(N9,O9,Listas!$O$4:$O$22)-1)</f>
        <v/>
      </c>
    </row>
    <row r="10">
      <c r="A10" s="18"/>
      <c r="B10" s="18"/>
      <c r="C10" s="32"/>
      <c r="D10" s="18"/>
      <c r="E10" s="32"/>
      <c r="F10" s="32"/>
      <c r="G10" s="32"/>
      <c r="H10" s="33"/>
      <c r="I10" s="34"/>
      <c r="J10" s="34"/>
      <c r="K10" s="34"/>
      <c r="L10" s="34"/>
      <c r="M10" s="34"/>
      <c r="N10" s="34"/>
      <c r="O10" s="34"/>
      <c r="P10" s="34"/>
      <c r="Q10" s="32"/>
      <c r="R10" s="35" t="str">
        <f t="shared" si="1"/>
        <v/>
      </c>
      <c r="S10" s="35" t="str">
        <f>IF(OR(K10="",P10=""),"",NETWORKDAYS(K10,P10,Listas!$O$4:$O$22)-1)</f>
        <v/>
      </c>
      <c r="T10" s="35" t="str">
        <f t="array" ref="T10">IFERROR(INDEX(Listas!$C$4:$C$13,MATCH(E10,Listas!$B$4:$B$13,0)),"")</f>
        <v/>
      </c>
      <c r="U10" s="35" t="str">
        <f t="shared" si="2"/>
        <v/>
      </c>
      <c r="V10" s="35" t="str">
        <f>IF(OR(L10="",M10=""),"",NETWORKDAYS(L10,M10,Listas!$O$4:$O$22)-1)</f>
        <v/>
      </c>
      <c r="W10" s="35" t="str">
        <f>IF(OR(N10="",O10=""),"",NETWORKDAYS(N10,O10,Listas!$O$4:$O$22)-1)</f>
        <v/>
      </c>
    </row>
    <row r="11">
      <c r="A11" s="18"/>
      <c r="B11" s="18"/>
      <c r="C11" s="32"/>
      <c r="D11" s="18"/>
      <c r="E11" s="32"/>
      <c r="F11" s="32"/>
      <c r="G11" s="32"/>
      <c r="H11" s="33"/>
      <c r="I11" s="34"/>
      <c r="J11" s="34"/>
      <c r="K11" s="34"/>
      <c r="L11" s="34"/>
      <c r="M11" s="34"/>
      <c r="N11" s="34"/>
      <c r="O11" s="34"/>
      <c r="P11" s="34"/>
      <c r="Q11" s="32"/>
      <c r="R11" s="35" t="str">
        <f t="shared" si="1"/>
        <v/>
      </c>
      <c r="S11" s="35" t="str">
        <f>IF(OR(K11="",P11=""),"",NETWORKDAYS(K11,P11,Listas!$O$4:$O$22)-1)</f>
        <v/>
      </c>
      <c r="T11" s="35" t="str">
        <f t="array" ref="T11">IFERROR(INDEX(Listas!$C$4:$C$13,MATCH(E11,Listas!$B$4:$B$13,0)),"")</f>
        <v/>
      </c>
      <c r="U11" s="35" t="str">
        <f t="shared" si="2"/>
        <v/>
      </c>
      <c r="V11" s="35" t="str">
        <f>IF(OR(L11="",M11=""),"",NETWORKDAYS(L11,M11,Listas!$O$4:$O$22)-1)</f>
        <v/>
      </c>
      <c r="W11" s="35" t="str">
        <f>IF(OR(N11="",O11=""),"",NETWORKDAYS(N11,O11,Listas!$O$4:$O$22)-1)</f>
        <v/>
      </c>
    </row>
    <row r="12">
      <c r="A12" s="18"/>
      <c r="B12" s="18"/>
      <c r="C12" s="32"/>
      <c r="D12" s="18"/>
      <c r="E12" s="32"/>
      <c r="F12" s="32"/>
      <c r="G12" s="32"/>
      <c r="H12" s="33"/>
      <c r="I12" s="34"/>
      <c r="J12" s="34"/>
      <c r="K12" s="34"/>
      <c r="L12" s="34"/>
      <c r="M12" s="34"/>
      <c r="N12" s="34"/>
      <c r="O12" s="34"/>
      <c r="P12" s="34"/>
      <c r="Q12" s="32"/>
      <c r="R12" s="35" t="str">
        <f t="shared" si="1"/>
        <v/>
      </c>
      <c r="S12" s="35" t="str">
        <f>IF(OR(K12="",P12=""),"",NETWORKDAYS(K12,P12,Listas!$O$4:$O$22)-1)</f>
        <v/>
      </c>
      <c r="T12" s="35" t="str">
        <f t="array" ref="T12">IFERROR(INDEX(Listas!$C$4:$C$13,MATCH(E12,Listas!$B$4:$B$13,0)),"")</f>
        <v/>
      </c>
      <c r="U12" s="35" t="str">
        <f t="shared" si="2"/>
        <v/>
      </c>
      <c r="V12" s="35" t="str">
        <f>IF(OR(L12="",M12=""),"",NETWORKDAYS(L12,M12,Listas!$O$4:$O$22)-1)</f>
        <v/>
      </c>
      <c r="W12" s="35" t="str">
        <f>IF(OR(N12="",O12=""),"",NETWORKDAYS(N12,O12,Listas!$O$4:$O$22)-1)</f>
        <v/>
      </c>
    </row>
    <row r="13">
      <c r="A13" s="18"/>
      <c r="B13" s="18"/>
      <c r="C13" s="32"/>
      <c r="D13" s="18"/>
      <c r="E13" s="32"/>
      <c r="F13" s="32"/>
      <c r="G13" s="32"/>
      <c r="H13" s="33"/>
      <c r="I13" s="34"/>
      <c r="J13" s="34"/>
      <c r="K13" s="34"/>
      <c r="L13" s="34"/>
      <c r="M13" s="34"/>
      <c r="N13" s="34"/>
      <c r="O13" s="34"/>
      <c r="P13" s="34"/>
      <c r="Q13" s="32"/>
      <c r="R13" s="35" t="str">
        <f t="shared" si="1"/>
        <v/>
      </c>
      <c r="S13" s="35" t="str">
        <f>IF(OR(K13="",P13=""),"",NETWORKDAYS(K13,P13,Listas!$O$4:$O$22)-1)</f>
        <v/>
      </c>
      <c r="T13" s="35" t="str">
        <f t="array" ref="T13">IFERROR(INDEX(Listas!$C$4:$C$13,MATCH(E13,Listas!$B$4:$B$13,0)),"")</f>
        <v/>
      </c>
      <c r="U13" s="35" t="str">
        <f t="shared" si="2"/>
        <v/>
      </c>
      <c r="V13" s="35" t="str">
        <f>IF(OR(L13="",M13=""),"",NETWORKDAYS(L13,M13,Listas!$O$4:$O$22)-1)</f>
        <v/>
      </c>
      <c r="W13" s="35" t="str">
        <f>IF(OR(N13="",O13=""),"",NETWORKDAYS(N13,O13,Listas!$O$4:$O$22)-1)</f>
        <v/>
      </c>
    </row>
    <row r="14">
      <c r="A14" s="18"/>
      <c r="B14" s="18"/>
      <c r="C14" s="32"/>
      <c r="D14" s="18"/>
      <c r="E14" s="32"/>
      <c r="F14" s="32"/>
      <c r="G14" s="32"/>
      <c r="H14" s="33"/>
      <c r="I14" s="34"/>
      <c r="J14" s="34"/>
      <c r="K14" s="34"/>
      <c r="L14" s="34"/>
      <c r="M14" s="34"/>
      <c r="N14" s="34"/>
      <c r="O14" s="34"/>
      <c r="P14" s="34"/>
      <c r="Q14" s="32"/>
      <c r="R14" s="35" t="str">
        <f t="shared" si="1"/>
        <v/>
      </c>
      <c r="S14" s="35" t="str">
        <f>IF(OR(K14="",P14=""),"",NETWORKDAYS(K14,P14,Listas!$O$4:$O$22)-1)</f>
        <v/>
      </c>
      <c r="T14" s="35" t="str">
        <f t="array" ref="T14">IFERROR(INDEX(Listas!$C$4:$C$13,MATCH(E14,Listas!$B$4:$B$13,0)),"")</f>
        <v/>
      </c>
      <c r="U14" s="35" t="str">
        <f t="shared" si="2"/>
        <v/>
      </c>
      <c r="V14" s="35" t="str">
        <f>IF(OR(L14="",M14=""),"",NETWORKDAYS(L14,M14,Listas!$O$4:$O$22)-1)</f>
        <v/>
      </c>
      <c r="W14" s="35" t="str">
        <f>IF(OR(N14="",O14=""),"",NETWORKDAYS(N14,O14,Listas!$O$4:$O$22)-1)</f>
        <v/>
      </c>
    </row>
    <row r="15">
      <c r="A15" s="18"/>
      <c r="B15" s="18"/>
      <c r="C15" s="32"/>
      <c r="D15" s="18"/>
      <c r="E15" s="32"/>
      <c r="F15" s="32"/>
      <c r="G15" s="32"/>
      <c r="H15" s="33"/>
      <c r="I15" s="34"/>
      <c r="J15" s="34"/>
      <c r="K15" s="34"/>
      <c r="L15" s="34"/>
      <c r="M15" s="34"/>
      <c r="N15" s="34"/>
      <c r="O15" s="34"/>
      <c r="P15" s="34"/>
      <c r="Q15" s="32"/>
      <c r="R15" s="35" t="str">
        <f t="shared" si="1"/>
        <v/>
      </c>
      <c r="S15" s="35" t="str">
        <f>IF(OR(K15="",P15=""),"",NETWORKDAYS(K15,P15,Listas!$O$4:$O$22)-1)</f>
        <v/>
      </c>
      <c r="T15" s="35" t="str">
        <f t="array" ref="T15">IFERROR(INDEX(Listas!$C$4:$C$13,MATCH(E15,Listas!$B$4:$B$13,0)),"")</f>
        <v/>
      </c>
      <c r="U15" s="35" t="str">
        <f t="shared" si="2"/>
        <v/>
      </c>
      <c r="V15" s="35" t="str">
        <f>IF(OR(L15="",M15=""),"",NETWORKDAYS(L15,M15,Listas!$O$4:$O$22)-1)</f>
        <v/>
      </c>
      <c r="W15" s="35" t="str">
        <f>IF(OR(N15="",O15=""),"",NETWORKDAYS(N15,O15,Listas!$O$4:$O$22)-1)</f>
        <v/>
      </c>
    </row>
    <row r="16">
      <c r="A16" s="18"/>
      <c r="B16" s="18"/>
      <c r="C16" s="32"/>
      <c r="D16" s="18"/>
      <c r="E16" s="32"/>
      <c r="F16" s="32"/>
      <c r="G16" s="32"/>
      <c r="H16" s="33"/>
      <c r="I16" s="34"/>
      <c r="J16" s="34"/>
      <c r="K16" s="34"/>
      <c r="L16" s="34"/>
      <c r="M16" s="34"/>
      <c r="N16" s="34"/>
      <c r="O16" s="34"/>
      <c r="P16" s="34"/>
      <c r="Q16" s="32"/>
      <c r="R16" s="35" t="str">
        <f t="shared" si="1"/>
        <v/>
      </c>
      <c r="S16" s="35" t="str">
        <f>IF(OR(K16="",P16=""),"",NETWORKDAYS(K16,P16,Listas!$O$4:$O$22)-1)</f>
        <v/>
      </c>
      <c r="T16" s="35" t="str">
        <f t="array" ref="T16">IFERROR(INDEX(Listas!$C$4:$C$13,MATCH(E16,Listas!$B$4:$B$13,0)),"")</f>
        <v/>
      </c>
      <c r="U16" s="35" t="str">
        <f t="shared" si="2"/>
        <v/>
      </c>
      <c r="V16" s="35" t="str">
        <f>IF(OR(L16="",M16=""),"",NETWORKDAYS(L16,M16,Listas!$O$4:$O$22)-1)</f>
        <v/>
      </c>
      <c r="W16" s="35" t="str">
        <f>IF(OR(N16="",O16=""),"",NETWORKDAYS(N16,O16,Listas!$O$4:$O$22)-1)</f>
        <v/>
      </c>
    </row>
    <row r="17">
      <c r="A17" s="18"/>
      <c r="B17" s="18"/>
      <c r="C17" s="32"/>
      <c r="D17" s="18"/>
      <c r="E17" s="32"/>
      <c r="F17" s="32"/>
      <c r="G17" s="32"/>
      <c r="H17" s="33"/>
      <c r="I17" s="34"/>
      <c r="J17" s="34"/>
      <c r="K17" s="34"/>
      <c r="L17" s="34"/>
      <c r="M17" s="34"/>
      <c r="N17" s="34"/>
      <c r="O17" s="34"/>
      <c r="P17" s="34"/>
      <c r="Q17" s="32"/>
      <c r="R17" s="35" t="str">
        <f t="shared" si="1"/>
        <v/>
      </c>
      <c r="S17" s="35" t="str">
        <f>IF(OR(K17="",P17=""),"",NETWORKDAYS(K17,P17,Listas!$O$4:$O$22)-1)</f>
        <v/>
      </c>
      <c r="T17" s="35" t="str">
        <f t="array" ref="T17">IFERROR(INDEX(Listas!$C$4:$C$13,MATCH(E17,Listas!$B$4:$B$13,0)),"")</f>
        <v/>
      </c>
      <c r="U17" s="35" t="str">
        <f t="shared" si="2"/>
        <v/>
      </c>
      <c r="V17" s="35" t="str">
        <f>IF(OR(L17="",M17=""),"",NETWORKDAYS(L17,M17,Listas!$O$4:$O$22)-1)</f>
        <v/>
      </c>
      <c r="W17" s="35" t="str">
        <f>IF(OR(N17="",O17=""),"",NETWORKDAYS(N17,O17,Listas!$O$4:$O$22)-1)</f>
        <v/>
      </c>
    </row>
    <row r="18">
      <c r="A18" s="18"/>
      <c r="B18" s="18"/>
      <c r="C18" s="32"/>
      <c r="D18" s="18"/>
      <c r="E18" s="32"/>
      <c r="F18" s="32"/>
      <c r="G18" s="32"/>
      <c r="H18" s="33"/>
      <c r="I18" s="34"/>
      <c r="J18" s="34"/>
      <c r="K18" s="34"/>
      <c r="L18" s="34"/>
      <c r="M18" s="34"/>
      <c r="N18" s="34"/>
      <c r="O18" s="34"/>
      <c r="P18" s="34"/>
      <c r="Q18" s="32"/>
      <c r="R18" s="35" t="str">
        <f t="shared" si="1"/>
        <v/>
      </c>
      <c r="S18" s="35" t="str">
        <f>IF(OR(K18="",P18=""),"",NETWORKDAYS(K18,P18,Listas!$O$4:$O$22)-1)</f>
        <v/>
      </c>
      <c r="T18" s="35" t="str">
        <f t="array" ref="T18">IFERROR(INDEX(Listas!$C$4:$C$13,MATCH(E18,Listas!$B$4:$B$13,0)),"")</f>
        <v/>
      </c>
      <c r="U18" s="35" t="str">
        <f t="shared" si="2"/>
        <v/>
      </c>
      <c r="V18" s="35" t="str">
        <f>IF(OR(L18="",M18=""),"",NETWORKDAYS(L18,M18,Listas!$O$4:$O$22)-1)</f>
        <v/>
      </c>
      <c r="W18" s="35" t="str">
        <f>IF(OR(N18="",O18=""),"",NETWORKDAYS(N18,O18,Listas!$O$4:$O$22)-1)</f>
        <v/>
      </c>
    </row>
    <row r="19">
      <c r="A19" s="18"/>
      <c r="B19" s="18"/>
      <c r="C19" s="32"/>
      <c r="D19" s="18"/>
      <c r="E19" s="32"/>
      <c r="F19" s="32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2"/>
      <c r="R19" s="35" t="str">
        <f t="shared" si="1"/>
        <v/>
      </c>
      <c r="S19" s="35" t="str">
        <f>IF(OR(K19="",P19=""),"",NETWORKDAYS(K19,P19,Listas!$O$4:$O$22)-1)</f>
        <v/>
      </c>
      <c r="T19" s="35" t="str">
        <f t="array" ref="T19">IFERROR(INDEX(Listas!$C$4:$C$13,MATCH(E19,Listas!$B$4:$B$13,0)),"")</f>
        <v/>
      </c>
      <c r="U19" s="35" t="str">
        <f t="shared" si="2"/>
        <v/>
      </c>
      <c r="V19" s="35" t="str">
        <f>IF(OR(L19="",M19=""),"",NETWORKDAYS(L19,M19,Listas!$O$4:$O$22)-1)</f>
        <v/>
      </c>
      <c r="W19" s="35" t="str">
        <f>IF(OR(N19="",O19=""),"",NETWORKDAYS(N19,O19,Listas!$O$4:$O$22)-1)</f>
        <v/>
      </c>
    </row>
    <row r="20">
      <c r="A20" s="18"/>
      <c r="B20" s="18"/>
      <c r="C20" s="32"/>
      <c r="D20" s="18"/>
      <c r="E20" s="32"/>
      <c r="F20" s="32"/>
      <c r="G20" s="32"/>
      <c r="H20" s="33"/>
      <c r="I20" s="34"/>
      <c r="J20" s="34"/>
      <c r="K20" s="34"/>
      <c r="L20" s="34"/>
      <c r="M20" s="34"/>
      <c r="N20" s="34"/>
      <c r="O20" s="34"/>
      <c r="P20" s="34"/>
      <c r="Q20" s="32"/>
      <c r="R20" s="35" t="str">
        <f t="shared" si="1"/>
        <v/>
      </c>
      <c r="S20" s="35" t="str">
        <f>IF(OR(K20="",P20=""),"",NETWORKDAYS(K20,P20,Listas!$O$4:$O$22)-1)</f>
        <v/>
      </c>
      <c r="T20" s="35" t="str">
        <f t="array" ref="T20">IFERROR(INDEX(Listas!$C$4:$C$13,MATCH(E20,Listas!$B$4:$B$13,0)),"")</f>
        <v/>
      </c>
      <c r="U20" s="35" t="str">
        <f t="shared" si="2"/>
        <v/>
      </c>
      <c r="V20" s="35" t="str">
        <f>IF(OR(L20="",M20=""),"",NETWORKDAYS(L20,M20,Listas!$O$4:$O$22)-1)</f>
        <v/>
      </c>
      <c r="W20" s="35" t="str">
        <f>IF(OR(N20="",O20=""),"",NETWORKDAYS(N20,O20,Listas!$O$4:$O$22)-1)</f>
        <v/>
      </c>
    </row>
    <row r="21" ht="15.75" customHeight="1">
      <c r="A21" s="18"/>
      <c r="B21" s="18"/>
      <c r="C21" s="32"/>
      <c r="D21" s="18"/>
      <c r="E21" s="32"/>
      <c r="F21" s="32"/>
      <c r="G21" s="32"/>
      <c r="H21" s="33"/>
      <c r="I21" s="34"/>
      <c r="J21" s="34"/>
      <c r="K21" s="34"/>
      <c r="L21" s="34"/>
      <c r="M21" s="34"/>
      <c r="N21" s="34"/>
      <c r="O21" s="34"/>
      <c r="P21" s="34"/>
      <c r="Q21" s="32"/>
      <c r="R21" s="35" t="str">
        <f t="shared" si="1"/>
        <v/>
      </c>
      <c r="S21" s="35" t="str">
        <f>IF(OR(K21="",P21=""),"",NETWORKDAYS(K21,P21,Listas!$O$4:$O$22)-1)</f>
        <v/>
      </c>
      <c r="T21" s="35" t="str">
        <f t="array" ref="T21">IFERROR(INDEX(Listas!$C$4:$C$13,MATCH(E21,Listas!$B$4:$B$13,0)),"")</f>
        <v/>
      </c>
      <c r="U21" s="35" t="str">
        <f t="shared" si="2"/>
        <v/>
      </c>
      <c r="V21" s="35" t="str">
        <f>IF(OR(L21="",M21=""),"",NETWORKDAYS(L21,M21,Listas!$O$4:$O$22)-1)</f>
        <v/>
      </c>
      <c r="W21" s="35" t="str">
        <f>IF(OR(N21="",O21=""),"",NETWORKDAYS(N21,O21,Listas!$O$4:$O$22)-1)</f>
        <v/>
      </c>
    </row>
    <row r="22" ht="15.75" customHeight="1">
      <c r="A22" s="18"/>
      <c r="B22" s="18"/>
      <c r="C22" s="32"/>
      <c r="D22" s="18"/>
      <c r="E22" s="32"/>
      <c r="F22" s="32"/>
      <c r="G22" s="32"/>
      <c r="H22" s="33"/>
      <c r="I22" s="34"/>
      <c r="J22" s="34"/>
      <c r="K22" s="34"/>
      <c r="L22" s="34"/>
      <c r="M22" s="34"/>
      <c r="N22" s="34"/>
      <c r="O22" s="34"/>
      <c r="P22" s="34"/>
      <c r="Q22" s="32"/>
      <c r="R22" s="35" t="str">
        <f t="shared" si="1"/>
        <v/>
      </c>
      <c r="S22" s="35" t="str">
        <f>IF(OR(K22="",P22=""),"",NETWORKDAYS(K22,P22,Listas!$O$4:$O$22)-1)</f>
        <v/>
      </c>
      <c r="T22" s="35" t="str">
        <f t="array" ref="T22">IFERROR(INDEX(Listas!$C$4:$C$13,MATCH(E22,Listas!$B$4:$B$13,0)),"")</f>
        <v/>
      </c>
      <c r="U22" s="35" t="str">
        <f t="shared" si="2"/>
        <v/>
      </c>
      <c r="V22" s="35" t="str">
        <f>IF(OR(L22="",M22=""),"",NETWORKDAYS(L22,M22,Listas!$O$4:$O$22)-1)</f>
        <v/>
      </c>
      <c r="W22" s="35" t="str">
        <f>IF(OR(N22="",O22=""),"",NETWORKDAYS(N22,O22,Listas!$O$4:$O$22)-1)</f>
        <v/>
      </c>
    </row>
    <row r="23" ht="15.75" customHeight="1">
      <c r="A23" s="18"/>
      <c r="B23" s="18"/>
      <c r="C23" s="32"/>
      <c r="D23" s="18"/>
      <c r="E23" s="32"/>
      <c r="F23" s="32"/>
      <c r="G23" s="32"/>
      <c r="H23" s="33"/>
      <c r="I23" s="34"/>
      <c r="J23" s="34"/>
      <c r="K23" s="34"/>
      <c r="L23" s="34"/>
      <c r="M23" s="34"/>
      <c r="N23" s="34"/>
      <c r="O23" s="34"/>
      <c r="P23" s="34"/>
      <c r="Q23" s="32"/>
      <c r="R23" s="35" t="str">
        <f t="shared" si="1"/>
        <v/>
      </c>
      <c r="S23" s="35" t="str">
        <f>IF(OR(K23="",P23=""),"",NETWORKDAYS(K23,P23,Listas!$O$4:$O$22)-1)</f>
        <v/>
      </c>
      <c r="T23" s="35" t="str">
        <f t="array" ref="T23">IFERROR(INDEX(Listas!$C$4:$C$13,MATCH(E23,Listas!$B$4:$B$13,0)),"")</f>
        <v/>
      </c>
      <c r="U23" s="35" t="str">
        <f t="shared" si="2"/>
        <v/>
      </c>
      <c r="V23" s="35" t="str">
        <f>IF(OR(L23="",M23=""),"",NETWORKDAYS(L23,M23,Listas!$O$4:$O$22)-1)</f>
        <v/>
      </c>
      <c r="W23" s="35" t="str">
        <f>IF(OR(N23="",O23=""),"",NETWORKDAYS(N23,O23,Listas!$O$4:$O$22)-1)</f>
        <v/>
      </c>
    </row>
    <row r="24" ht="15.75" customHeight="1">
      <c r="A24" s="18"/>
      <c r="B24" s="18"/>
      <c r="C24" s="32"/>
      <c r="D24" s="18"/>
      <c r="E24" s="32"/>
      <c r="F24" s="32"/>
      <c r="G24" s="32"/>
      <c r="H24" s="33"/>
      <c r="I24" s="34"/>
      <c r="J24" s="34"/>
      <c r="K24" s="34"/>
      <c r="L24" s="34"/>
      <c r="M24" s="34"/>
      <c r="N24" s="34"/>
      <c r="O24" s="34"/>
      <c r="P24" s="34"/>
      <c r="Q24" s="32"/>
      <c r="R24" s="35" t="str">
        <f t="shared" si="1"/>
        <v/>
      </c>
      <c r="S24" s="35" t="str">
        <f>IF(OR(K24="",P24=""),"",NETWORKDAYS(K24,P24,Listas!$O$4:$O$22)-1)</f>
        <v/>
      </c>
      <c r="T24" s="35" t="str">
        <f t="array" ref="T24">IFERROR(INDEX(Listas!$C$4:$C$13,MATCH(E24,Listas!$B$4:$B$13,0)),"")</f>
        <v/>
      </c>
      <c r="U24" s="35" t="str">
        <f t="shared" si="2"/>
        <v/>
      </c>
      <c r="V24" s="35" t="str">
        <f>IF(OR(L24="",M24=""),"",NETWORKDAYS(L24,M24,Listas!$O$4:$O$22)-1)</f>
        <v/>
      </c>
      <c r="W24" s="35" t="str">
        <f>IF(OR(N24="",O24=""),"",NETWORKDAYS(N24,O24,Listas!$O$4:$O$22)-1)</f>
        <v/>
      </c>
    </row>
    <row r="25" ht="15.75" customHeight="1">
      <c r="A25" s="18"/>
      <c r="B25" s="18"/>
      <c r="C25" s="32"/>
      <c r="D25" s="18"/>
      <c r="E25" s="32"/>
      <c r="F25" s="32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2"/>
      <c r="R25" s="35" t="str">
        <f t="shared" si="1"/>
        <v/>
      </c>
      <c r="S25" s="35" t="str">
        <f>IF(OR(K25="",P25=""),"",NETWORKDAYS(K25,P25,Listas!$O$4:$O$22)-1)</f>
        <v/>
      </c>
      <c r="T25" s="35" t="str">
        <f t="array" ref="T25">IFERROR(INDEX(Listas!$C$4:$C$13,MATCH(E25,Listas!$B$4:$B$13,0)),"")</f>
        <v/>
      </c>
      <c r="U25" s="35" t="str">
        <f t="shared" si="2"/>
        <v/>
      </c>
      <c r="V25" s="35" t="str">
        <f>IF(OR(L25="",M25=""),"",NETWORKDAYS(L25,M25,Listas!$O$4:$O$22)-1)</f>
        <v/>
      </c>
      <c r="W25" s="35" t="str">
        <f>IF(OR(N25="",O25=""),"",NETWORKDAYS(N25,O25,Listas!$O$4:$O$22)-1)</f>
        <v/>
      </c>
    </row>
    <row r="26" ht="15.75" customHeight="1">
      <c r="A26" s="18"/>
      <c r="B26" s="18"/>
      <c r="C26" s="32"/>
      <c r="D26" s="18"/>
      <c r="E26" s="32"/>
      <c r="F26" s="32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2"/>
      <c r="R26" s="35" t="str">
        <f t="shared" si="1"/>
        <v/>
      </c>
      <c r="S26" s="35" t="str">
        <f>IF(OR(K26="",P26=""),"",NETWORKDAYS(K26,P26,Listas!$O$4:$O$22)-1)</f>
        <v/>
      </c>
      <c r="T26" s="35" t="str">
        <f t="array" ref="T26">IFERROR(INDEX(Listas!$C$4:$C$13,MATCH(E26,Listas!$B$4:$B$13,0)),"")</f>
        <v/>
      </c>
      <c r="U26" s="35" t="str">
        <f t="shared" si="2"/>
        <v/>
      </c>
      <c r="V26" s="35" t="str">
        <f>IF(OR(L26="",M26=""),"",NETWORKDAYS(L26,M26,Listas!$O$4:$O$22)-1)</f>
        <v/>
      </c>
      <c r="W26" s="35" t="str">
        <f>IF(OR(N26="",O26=""),"",NETWORKDAYS(N26,O26,Listas!$O$4:$O$22)-1)</f>
        <v/>
      </c>
    </row>
    <row r="27" ht="15.75" customHeight="1">
      <c r="A27" s="18"/>
      <c r="B27" s="18"/>
      <c r="C27" s="32"/>
      <c r="D27" s="18"/>
      <c r="E27" s="32"/>
      <c r="F27" s="32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2"/>
      <c r="R27" s="35" t="str">
        <f t="shared" si="1"/>
        <v/>
      </c>
      <c r="S27" s="35" t="str">
        <f>IF(OR(K27="",P27=""),"",NETWORKDAYS(K27,P27,Listas!$O$4:$O$22)-1)</f>
        <v/>
      </c>
      <c r="T27" s="35" t="str">
        <f t="array" ref="T27">IFERROR(INDEX(Listas!$C$4:$C$13,MATCH(E27,Listas!$B$4:$B$13,0)),"")</f>
        <v/>
      </c>
      <c r="U27" s="35" t="str">
        <f t="shared" si="2"/>
        <v/>
      </c>
      <c r="V27" s="35" t="str">
        <f>IF(OR(L27="",M27=""),"",NETWORKDAYS(L27,M27,Listas!$O$4:$O$22)-1)</f>
        <v/>
      </c>
      <c r="W27" s="35" t="str">
        <f>IF(OR(N27="",O27=""),"",NETWORKDAYS(N27,O27,Listas!$O$4:$O$22)-1)</f>
        <v/>
      </c>
    </row>
    <row r="28" ht="15.75" customHeight="1">
      <c r="A28" s="18"/>
      <c r="B28" s="18"/>
      <c r="C28" s="32"/>
      <c r="D28" s="18"/>
      <c r="E28" s="32"/>
      <c r="F28" s="32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2"/>
      <c r="R28" s="35" t="str">
        <f t="shared" si="1"/>
        <v/>
      </c>
      <c r="S28" s="35" t="str">
        <f>IF(OR(K28="",P28=""),"",NETWORKDAYS(K28,P28,Listas!$O$4:$O$22)-1)</f>
        <v/>
      </c>
      <c r="T28" s="35" t="str">
        <f t="array" ref="T28">IFERROR(INDEX(Listas!$C$4:$C$13,MATCH(E28,Listas!$B$4:$B$13,0)),"")</f>
        <v/>
      </c>
      <c r="U28" s="35" t="str">
        <f t="shared" si="2"/>
        <v/>
      </c>
      <c r="V28" s="35" t="str">
        <f>IF(OR(L28="",M28=""),"",NETWORKDAYS(L28,M28,Listas!$O$4:$O$22)-1)</f>
        <v/>
      </c>
      <c r="W28" s="35" t="str">
        <f>IF(OR(N28="",O28=""),"",NETWORKDAYS(N28,O28,Listas!$O$4:$O$22)-1)</f>
        <v/>
      </c>
    </row>
    <row r="29" ht="15.75" customHeight="1">
      <c r="A29" s="18"/>
      <c r="B29" s="18"/>
      <c r="C29" s="32"/>
      <c r="D29" s="18"/>
      <c r="E29" s="32"/>
      <c r="F29" s="32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2"/>
      <c r="R29" s="35" t="str">
        <f t="shared" si="1"/>
        <v/>
      </c>
      <c r="S29" s="35" t="str">
        <f>IF(OR(K29="",P29=""),"",NETWORKDAYS(K29,P29,Listas!$O$4:$O$22)-1)</f>
        <v/>
      </c>
      <c r="T29" s="35" t="str">
        <f t="array" ref="T29">IFERROR(INDEX(Listas!$C$4:$C$13,MATCH(E29,Listas!$B$4:$B$13,0)),"")</f>
        <v/>
      </c>
      <c r="U29" s="35" t="str">
        <f t="shared" si="2"/>
        <v/>
      </c>
      <c r="V29" s="35" t="str">
        <f>IF(OR(L29="",M29=""),"",NETWORKDAYS(L29,M29,Listas!$O$4:$O$22)-1)</f>
        <v/>
      </c>
      <c r="W29" s="35" t="str">
        <f>IF(OR(N29="",O29=""),"",NETWORKDAYS(N29,O29,Listas!$O$4:$O$22)-1)</f>
        <v/>
      </c>
    </row>
    <row r="30" ht="15.75" customHeight="1">
      <c r="A30" s="18"/>
      <c r="B30" s="18"/>
      <c r="C30" s="32"/>
      <c r="D30" s="18"/>
      <c r="E30" s="32"/>
      <c r="F30" s="32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2"/>
      <c r="R30" s="35" t="str">
        <f t="shared" si="1"/>
        <v/>
      </c>
      <c r="S30" s="35" t="str">
        <f>IF(OR(K30="",P30=""),"",NETWORKDAYS(K30,P30,Listas!$O$4:$O$22)-1)</f>
        <v/>
      </c>
      <c r="T30" s="35" t="str">
        <f t="array" ref="T30">IFERROR(INDEX(Listas!$C$4:$C$13,MATCH(E30,Listas!$B$4:$B$13,0)),"")</f>
        <v/>
      </c>
      <c r="U30" s="35" t="str">
        <f t="shared" si="2"/>
        <v/>
      </c>
      <c r="V30" s="35" t="str">
        <f>IF(OR(L30="",M30=""),"",NETWORKDAYS(L30,M30,Listas!$O$4:$O$22)-1)</f>
        <v/>
      </c>
      <c r="W30" s="35" t="str">
        <f>IF(OR(N30="",O30=""),"",NETWORKDAYS(N30,O30,Listas!$O$4:$O$22)-1)</f>
        <v/>
      </c>
    </row>
    <row r="31" ht="15.75" customHeight="1">
      <c r="A31" s="18"/>
      <c r="B31" s="18"/>
      <c r="C31" s="32"/>
      <c r="D31" s="18"/>
      <c r="E31" s="32"/>
      <c r="F31" s="32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2"/>
      <c r="R31" s="35" t="str">
        <f t="shared" si="1"/>
        <v/>
      </c>
      <c r="S31" s="35" t="str">
        <f>IF(OR(K31="",P31=""),"",NETWORKDAYS(K31,P31,Listas!$O$4:$O$22)-1)</f>
        <v/>
      </c>
      <c r="T31" s="35" t="str">
        <f t="array" ref="T31">IFERROR(INDEX(Listas!$C$4:$C$13,MATCH(E31,Listas!$B$4:$B$13,0)),"")</f>
        <v/>
      </c>
      <c r="U31" s="35" t="str">
        <f t="shared" si="2"/>
        <v/>
      </c>
      <c r="V31" s="35" t="str">
        <f>IF(OR(L31="",M31=""),"",NETWORKDAYS(L31,M31,Listas!$O$4:$O$22)-1)</f>
        <v/>
      </c>
      <c r="W31" s="35" t="str">
        <f>IF(OR(N31="",O31=""),"",NETWORKDAYS(N31,O31,Listas!$O$4:$O$22)-1)</f>
        <v/>
      </c>
    </row>
    <row r="32" ht="15.75" customHeight="1">
      <c r="A32" s="18"/>
      <c r="B32" s="18"/>
      <c r="C32" s="32"/>
      <c r="D32" s="18"/>
      <c r="E32" s="32"/>
      <c r="F32" s="32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2"/>
      <c r="R32" s="35" t="str">
        <f t="shared" si="1"/>
        <v/>
      </c>
      <c r="S32" s="35" t="str">
        <f>IF(OR(K32="",P32=""),"",NETWORKDAYS(K32,P32,Listas!$O$4:$O$22)-1)</f>
        <v/>
      </c>
      <c r="T32" s="35" t="str">
        <f t="array" ref="T32">IFERROR(INDEX(Listas!$C$4:$C$13,MATCH(E32,Listas!$B$4:$B$13,0)),"")</f>
        <v/>
      </c>
      <c r="U32" s="35" t="str">
        <f t="shared" si="2"/>
        <v/>
      </c>
      <c r="V32" s="35" t="str">
        <f>IF(OR(L32="",M32=""),"",NETWORKDAYS(L32,M32,Listas!$O$4:$O$22)-1)</f>
        <v/>
      </c>
      <c r="W32" s="35" t="str">
        <f>IF(OR(N32="",O32=""),"",NETWORKDAYS(N32,O32,Listas!$O$4:$O$22)-1)</f>
        <v/>
      </c>
    </row>
    <row r="33" ht="15.75" customHeight="1">
      <c r="A33" s="18"/>
      <c r="B33" s="18"/>
      <c r="C33" s="32"/>
      <c r="D33" s="18"/>
      <c r="E33" s="32"/>
      <c r="F33" s="32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2"/>
      <c r="R33" s="35" t="str">
        <f t="shared" si="1"/>
        <v/>
      </c>
      <c r="S33" s="35" t="str">
        <f>IF(OR(K33="",P33=""),"",NETWORKDAYS(K33,P33,Listas!$O$4:$O$22)-1)</f>
        <v/>
      </c>
      <c r="T33" s="35" t="str">
        <f t="array" ref="T33">IFERROR(INDEX(Listas!$C$4:$C$13,MATCH(E33,Listas!$B$4:$B$13,0)),"")</f>
        <v/>
      </c>
      <c r="U33" s="35" t="str">
        <f t="shared" si="2"/>
        <v/>
      </c>
      <c r="V33" s="35" t="str">
        <f>IF(OR(L33="",M33=""),"",NETWORKDAYS(L33,M33,Listas!$O$4:$O$22)-1)</f>
        <v/>
      </c>
      <c r="W33" s="35" t="str">
        <f>IF(OR(N33="",O33=""),"",NETWORKDAYS(N33,O33,Listas!$O$4:$O$22)-1)</f>
        <v/>
      </c>
    </row>
    <row r="34" ht="15.75" customHeight="1">
      <c r="A34" s="18"/>
      <c r="B34" s="18"/>
      <c r="C34" s="32"/>
      <c r="D34" s="18"/>
      <c r="E34" s="32"/>
      <c r="F34" s="32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2"/>
      <c r="R34" s="35" t="str">
        <f t="shared" si="1"/>
        <v/>
      </c>
      <c r="S34" s="35" t="str">
        <f>IF(OR(K34="",P34=""),"",NETWORKDAYS(K34,P34,Listas!$O$4:$O$22)-1)</f>
        <v/>
      </c>
      <c r="T34" s="35" t="str">
        <f t="array" ref="T34">IFERROR(INDEX(Listas!$C$4:$C$13,MATCH(E34,Listas!$B$4:$B$13,0)),"")</f>
        <v/>
      </c>
      <c r="U34" s="35" t="str">
        <f t="shared" si="2"/>
        <v/>
      </c>
      <c r="V34" s="35" t="str">
        <f>IF(OR(L34="",M34=""),"",NETWORKDAYS(L34,M34,Listas!$O$4:$O$22)-1)</f>
        <v/>
      </c>
      <c r="W34" s="35" t="str">
        <f>IF(OR(N34="",O34=""),"",NETWORKDAYS(N34,O34,Listas!$O$4:$O$22)-1)</f>
        <v/>
      </c>
    </row>
    <row r="35" ht="15.75" customHeight="1">
      <c r="A35" s="18"/>
      <c r="B35" s="18"/>
      <c r="C35" s="32"/>
      <c r="D35" s="18"/>
      <c r="E35" s="32"/>
      <c r="F35" s="32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2"/>
      <c r="R35" s="35" t="str">
        <f t="shared" si="1"/>
        <v/>
      </c>
      <c r="S35" s="35" t="str">
        <f>IF(OR(K35="",P35=""),"",NETWORKDAYS(K35,P35,Listas!$O$4:$O$22)-1)</f>
        <v/>
      </c>
      <c r="T35" s="35" t="str">
        <f t="array" ref="T35">IFERROR(INDEX(Listas!$C$4:$C$13,MATCH(E35,Listas!$B$4:$B$13,0)),"")</f>
        <v/>
      </c>
      <c r="U35" s="35" t="str">
        <f t="shared" si="2"/>
        <v/>
      </c>
      <c r="V35" s="35" t="str">
        <f>IF(OR(L35="",M35=""),"",NETWORKDAYS(L35,M35,Listas!$O$4:$O$22)-1)</f>
        <v/>
      </c>
      <c r="W35" s="35" t="str">
        <f>IF(OR(N35="",O35=""),"",NETWORKDAYS(N35,O35,Listas!$O$4:$O$22)-1)</f>
        <v/>
      </c>
    </row>
    <row r="36" ht="15.75" customHeight="1">
      <c r="A36" s="18"/>
      <c r="B36" s="18"/>
      <c r="C36" s="32"/>
      <c r="D36" s="18"/>
      <c r="E36" s="32"/>
      <c r="F36" s="32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2"/>
      <c r="R36" s="35" t="str">
        <f t="shared" si="1"/>
        <v/>
      </c>
      <c r="S36" s="35" t="str">
        <f>IF(OR(K36="",P36=""),"",NETWORKDAYS(K36,P36,Listas!$O$4:$O$22)-1)</f>
        <v/>
      </c>
      <c r="T36" s="35" t="str">
        <f t="array" ref="T36">IFERROR(INDEX(Listas!$C$4:$C$13,MATCH(E36,Listas!$B$4:$B$13,0)),"")</f>
        <v/>
      </c>
      <c r="U36" s="35" t="str">
        <f t="shared" si="2"/>
        <v/>
      </c>
      <c r="V36" s="35" t="str">
        <f>IF(OR(L36="",M36=""),"",NETWORKDAYS(L36,M36,Listas!$O$4:$O$22)-1)</f>
        <v/>
      </c>
      <c r="W36" s="35" t="str">
        <f>IF(OR(N36="",O36=""),"",NETWORKDAYS(N36,O36,Listas!$O$4:$O$22)-1)</f>
        <v/>
      </c>
    </row>
    <row r="37" ht="15.75" customHeight="1">
      <c r="A37" s="18"/>
      <c r="B37" s="18"/>
      <c r="C37" s="32"/>
      <c r="D37" s="18"/>
      <c r="E37" s="32"/>
      <c r="F37" s="32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2"/>
      <c r="R37" s="35" t="str">
        <f t="shared" si="1"/>
        <v/>
      </c>
      <c r="S37" s="35" t="str">
        <f>IF(OR(K37="",P37=""),"",NETWORKDAYS(K37,P37,Listas!$O$4:$O$22)-1)</f>
        <v/>
      </c>
      <c r="T37" s="35" t="str">
        <f t="array" ref="T37">IFERROR(INDEX(Listas!$C$4:$C$13,MATCH(E37,Listas!$B$4:$B$13,0)),"")</f>
        <v/>
      </c>
      <c r="U37" s="35" t="str">
        <f t="shared" si="2"/>
        <v/>
      </c>
      <c r="V37" s="35" t="str">
        <f>IF(OR(L37="",M37=""),"",NETWORKDAYS(L37,M37,Listas!$O$4:$O$22)-1)</f>
        <v/>
      </c>
      <c r="W37" s="35" t="str">
        <f>IF(OR(N37="",O37=""),"",NETWORKDAYS(N37,O37,Listas!$O$4:$O$22)-1)</f>
        <v/>
      </c>
    </row>
    <row r="38" ht="15.75" customHeight="1">
      <c r="A38" s="18"/>
      <c r="B38" s="18"/>
      <c r="C38" s="32"/>
      <c r="D38" s="18"/>
      <c r="E38" s="32"/>
      <c r="F38" s="32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2"/>
      <c r="R38" s="35" t="str">
        <f t="shared" si="1"/>
        <v/>
      </c>
      <c r="S38" s="35" t="str">
        <f>IF(OR(K38="",P38=""),"",NETWORKDAYS(K38,P38,Listas!$O$4:$O$22)-1)</f>
        <v/>
      </c>
      <c r="T38" s="35" t="str">
        <f t="array" ref="T38">IFERROR(INDEX(Listas!$C$4:$C$13,MATCH(E38,Listas!$B$4:$B$13,0)),"")</f>
        <v/>
      </c>
      <c r="U38" s="35" t="str">
        <f t="shared" si="2"/>
        <v/>
      </c>
      <c r="V38" s="35" t="str">
        <f>IF(OR(L38="",M38=""),"",NETWORKDAYS(L38,M38,Listas!$O$4:$O$22)-1)</f>
        <v/>
      </c>
      <c r="W38" s="35" t="str">
        <f>IF(OR(N38="",O38=""),"",NETWORKDAYS(N38,O38,Listas!$O$4:$O$22)-1)</f>
        <v/>
      </c>
    </row>
    <row r="39" ht="15.75" customHeight="1">
      <c r="A39" s="18"/>
      <c r="B39" s="18"/>
      <c r="C39" s="32"/>
      <c r="D39" s="18"/>
      <c r="E39" s="32"/>
      <c r="F39" s="32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2"/>
      <c r="R39" s="35" t="str">
        <f t="shared" si="1"/>
        <v/>
      </c>
      <c r="S39" s="35" t="str">
        <f>IF(OR(K39="",P39=""),"",NETWORKDAYS(K39,P39,Listas!$O$4:$O$22)-1)</f>
        <v/>
      </c>
      <c r="T39" s="35" t="str">
        <f t="array" ref="T39">IFERROR(INDEX(Listas!$C$4:$C$13,MATCH(E39,Listas!$B$4:$B$13,0)),"")</f>
        <v/>
      </c>
      <c r="U39" s="35" t="str">
        <f t="shared" si="2"/>
        <v/>
      </c>
      <c r="V39" s="35" t="str">
        <f>IF(OR(L39="",M39=""),"",NETWORKDAYS(L39,M39,Listas!$O$4:$O$22)-1)</f>
        <v/>
      </c>
      <c r="W39" s="35" t="str">
        <f>IF(OR(N39="",O39=""),"",NETWORKDAYS(N39,O39,Listas!$O$4:$O$22)-1)</f>
        <v/>
      </c>
    </row>
    <row r="40" ht="15.75" customHeight="1">
      <c r="A40" s="18"/>
      <c r="B40" s="18"/>
      <c r="C40" s="32"/>
      <c r="D40" s="18"/>
      <c r="E40" s="32"/>
      <c r="F40" s="32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2"/>
      <c r="R40" s="35" t="str">
        <f t="shared" si="1"/>
        <v/>
      </c>
      <c r="S40" s="35" t="str">
        <f>IF(OR(K40="",P40=""),"",NETWORKDAYS(K40,P40,Listas!$O$4:$O$22)-1)</f>
        <v/>
      </c>
      <c r="T40" s="35" t="str">
        <f t="array" ref="T40">IFERROR(INDEX(Listas!$C$4:$C$13,MATCH(E40,Listas!$B$4:$B$13,0)),"")</f>
        <v/>
      </c>
      <c r="U40" s="35" t="str">
        <f t="shared" si="2"/>
        <v/>
      </c>
      <c r="V40" s="35" t="str">
        <f>IF(OR(L40="",M40=""),"",NETWORKDAYS(L40,M40,Listas!$O$4:$O$22)-1)</f>
        <v/>
      </c>
      <c r="W40" s="35" t="str">
        <f>IF(OR(N40="",O40=""),"",NETWORKDAYS(N40,O40,Listas!$O$4:$O$22)-1)</f>
        <v/>
      </c>
    </row>
    <row r="41" ht="15.75" customHeight="1">
      <c r="A41" s="18"/>
      <c r="B41" s="18"/>
      <c r="C41" s="32"/>
      <c r="D41" s="18"/>
      <c r="E41" s="32"/>
      <c r="F41" s="32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2"/>
      <c r="R41" s="35" t="str">
        <f t="shared" si="1"/>
        <v/>
      </c>
      <c r="S41" s="35" t="str">
        <f>IF(OR(K41="",P41=""),"",NETWORKDAYS(K41,P41,Listas!$O$4:$O$22)-1)</f>
        <v/>
      </c>
      <c r="T41" s="35" t="str">
        <f t="array" ref="T41">IFERROR(INDEX(Listas!$C$4:$C$13,MATCH(E41,Listas!$B$4:$B$13,0)),"")</f>
        <v/>
      </c>
      <c r="U41" s="35" t="str">
        <f t="shared" si="2"/>
        <v/>
      </c>
      <c r="V41" s="35" t="str">
        <f>IF(OR(L41="",M41=""),"",NETWORKDAYS(L41,M41,Listas!$O$4:$O$22)-1)</f>
        <v/>
      </c>
      <c r="W41" s="35" t="str">
        <f>IF(OR(N41="",O41=""),"",NETWORKDAYS(N41,O41,Listas!$O$4:$O$22)-1)</f>
        <v/>
      </c>
    </row>
    <row r="42" ht="15.75" customHeight="1">
      <c r="A42" s="18"/>
      <c r="B42" s="18"/>
      <c r="C42" s="32"/>
      <c r="D42" s="18"/>
      <c r="E42" s="32"/>
      <c r="F42" s="32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2"/>
      <c r="R42" s="35" t="str">
        <f t="shared" si="1"/>
        <v/>
      </c>
      <c r="S42" s="35" t="str">
        <f>IF(OR(K42="",P42=""),"",NETWORKDAYS(K42,P42,Listas!$O$4:$O$22)-1)</f>
        <v/>
      </c>
      <c r="T42" s="35" t="str">
        <f t="array" ref="T42">IFERROR(INDEX(Listas!$C$4:$C$13,MATCH(E42,Listas!$B$4:$B$13,0)),"")</f>
        <v/>
      </c>
      <c r="U42" s="35" t="str">
        <f t="shared" si="2"/>
        <v/>
      </c>
      <c r="V42" s="35" t="str">
        <f>IF(OR(L42="",M42=""),"",NETWORKDAYS(L42,M42,Listas!$O$4:$O$22)-1)</f>
        <v/>
      </c>
      <c r="W42" s="35" t="str">
        <f>IF(OR(N42="",O42=""),"",NETWORKDAYS(N42,O42,Listas!$O$4:$O$22)-1)</f>
        <v/>
      </c>
    </row>
    <row r="43" ht="15.75" customHeight="1">
      <c r="A43" s="18"/>
      <c r="B43" s="18"/>
      <c r="C43" s="32"/>
      <c r="D43" s="18"/>
      <c r="E43" s="32"/>
      <c r="F43" s="32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2"/>
      <c r="R43" s="35" t="str">
        <f t="shared" si="1"/>
        <v/>
      </c>
      <c r="S43" s="35" t="str">
        <f>IF(OR(K43="",P43=""),"",NETWORKDAYS(K43,P43,Listas!$O$4:$O$22)-1)</f>
        <v/>
      </c>
      <c r="T43" s="35" t="str">
        <f t="array" ref="T43">IFERROR(INDEX(Listas!$C$4:$C$13,MATCH(E43,Listas!$B$4:$B$13,0)),"")</f>
        <v/>
      </c>
      <c r="U43" s="35" t="str">
        <f t="shared" si="2"/>
        <v/>
      </c>
      <c r="V43" s="35" t="str">
        <f>IF(OR(L43="",M43=""),"",NETWORKDAYS(L43,M43,Listas!$O$4:$O$22)-1)</f>
        <v/>
      </c>
      <c r="W43" s="35" t="str">
        <f>IF(OR(N43="",O43=""),"",NETWORKDAYS(N43,O43,Listas!$O$4:$O$22)-1)</f>
        <v/>
      </c>
    </row>
    <row r="44" ht="15.75" customHeight="1">
      <c r="A44" s="18"/>
      <c r="B44" s="18"/>
      <c r="C44" s="32"/>
      <c r="D44" s="18"/>
      <c r="E44" s="32"/>
      <c r="F44" s="32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2"/>
      <c r="R44" s="35" t="str">
        <f t="shared" si="1"/>
        <v/>
      </c>
      <c r="S44" s="35" t="str">
        <f>IF(OR(K44="",P44=""),"",NETWORKDAYS(K44,P44,Listas!$O$4:$O$22)-1)</f>
        <v/>
      </c>
      <c r="T44" s="35" t="str">
        <f t="array" ref="T44">IFERROR(INDEX(Listas!$C$4:$C$13,MATCH(E44,Listas!$B$4:$B$13,0)),"")</f>
        <v/>
      </c>
      <c r="U44" s="35" t="str">
        <f t="shared" si="2"/>
        <v/>
      </c>
      <c r="V44" s="35" t="str">
        <f>IF(OR(L44="",M44=""),"",NETWORKDAYS(L44,M44,Listas!$O$4:$O$22)-1)</f>
        <v/>
      </c>
      <c r="W44" s="35" t="str">
        <f>IF(OR(N44="",O44=""),"",NETWORKDAYS(N44,O44,Listas!$O$4:$O$22)-1)</f>
        <v/>
      </c>
    </row>
    <row r="45" ht="15.75" customHeight="1">
      <c r="A45" s="18"/>
      <c r="B45" s="18"/>
      <c r="C45" s="32"/>
      <c r="D45" s="18"/>
      <c r="E45" s="32"/>
      <c r="F45" s="32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2"/>
      <c r="R45" s="35" t="str">
        <f t="shared" si="1"/>
        <v/>
      </c>
      <c r="S45" s="35" t="str">
        <f>IF(OR(K45="",P45=""),"",NETWORKDAYS(K45,P45,Listas!$O$4:$O$22)-1)</f>
        <v/>
      </c>
      <c r="T45" s="35" t="str">
        <f t="array" ref="T45">IFERROR(INDEX(Listas!$C$4:$C$13,MATCH(E45,Listas!$B$4:$B$13,0)),"")</f>
        <v/>
      </c>
      <c r="U45" s="35" t="str">
        <f t="shared" si="2"/>
        <v/>
      </c>
      <c r="V45" s="35" t="str">
        <f>IF(OR(L45="",M45=""),"",NETWORKDAYS(L45,M45,Listas!$O$4:$O$22)-1)</f>
        <v/>
      </c>
      <c r="W45" s="35" t="str">
        <f>IF(OR(N45="",O45=""),"",NETWORKDAYS(N45,O45,Listas!$O$4:$O$22)-1)</f>
        <v/>
      </c>
    </row>
    <row r="46" ht="15.75" customHeight="1">
      <c r="A46" s="18"/>
      <c r="B46" s="18"/>
      <c r="C46" s="32"/>
      <c r="D46" s="18"/>
      <c r="E46" s="32"/>
      <c r="F46" s="32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2"/>
      <c r="R46" s="35" t="str">
        <f t="shared" si="1"/>
        <v/>
      </c>
      <c r="S46" s="35" t="str">
        <f>IF(OR(K46="",P46=""),"",NETWORKDAYS(K46,P46,Listas!$O$4:$O$22)-1)</f>
        <v/>
      </c>
      <c r="T46" s="35" t="str">
        <f t="array" ref="T46">IFERROR(INDEX(Listas!$C$4:$C$13,MATCH(E46,Listas!$B$4:$B$13,0)),"")</f>
        <v/>
      </c>
      <c r="U46" s="35" t="str">
        <f t="shared" si="2"/>
        <v/>
      </c>
      <c r="V46" s="35" t="str">
        <f>IF(OR(L46="",M46=""),"",NETWORKDAYS(L46,M46,Listas!$O$4:$O$22)-1)</f>
        <v/>
      </c>
      <c r="W46" s="35" t="str">
        <f>IF(OR(N46="",O46=""),"",NETWORKDAYS(N46,O46,Listas!$O$4:$O$22)-1)</f>
        <v/>
      </c>
    </row>
    <row r="47" ht="15.75" customHeight="1">
      <c r="A47" s="18"/>
      <c r="B47" s="18"/>
      <c r="C47" s="32"/>
      <c r="D47" s="18"/>
      <c r="E47" s="32"/>
      <c r="F47" s="32"/>
      <c r="G47" s="32"/>
      <c r="H47" s="33"/>
      <c r="I47" s="34"/>
      <c r="J47" s="34"/>
      <c r="K47" s="34"/>
      <c r="L47" s="34"/>
      <c r="M47" s="34"/>
      <c r="N47" s="34"/>
      <c r="O47" s="34"/>
      <c r="P47" s="34"/>
      <c r="Q47" s="32"/>
      <c r="R47" s="35" t="str">
        <f t="shared" si="1"/>
        <v/>
      </c>
      <c r="S47" s="35" t="str">
        <f>IF(OR(K47="",P47=""),"",NETWORKDAYS(K47,P47,Listas!$O$4:$O$22)-1)</f>
        <v/>
      </c>
      <c r="T47" s="35" t="str">
        <f t="array" ref="T47">IFERROR(INDEX(Listas!$C$4:$C$13,MATCH(E47,Listas!$B$4:$B$13,0)),"")</f>
        <v/>
      </c>
      <c r="U47" s="35" t="str">
        <f t="shared" si="2"/>
        <v/>
      </c>
      <c r="V47" s="35" t="str">
        <f>IF(OR(L47="",M47=""),"",NETWORKDAYS(L47,M47,Listas!$O$4:$O$22)-1)</f>
        <v/>
      </c>
      <c r="W47" s="35" t="str">
        <f>IF(OR(N47="",O47=""),"",NETWORKDAYS(N47,O47,Listas!$O$4:$O$22)-1)</f>
        <v/>
      </c>
    </row>
    <row r="48" ht="15.75" customHeight="1">
      <c r="A48" s="18"/>
      <c r="B48" s="18"/>
      <c r="C48" s="32"/>
      <c r="D48" s="18"/>
      <c r="E48" s="32"/>
      <c r="F48" s="32"/>
      <c r="G48" s="32"/>
      <c r="H48" s="33"/>
      <c r="I48" s="34"/>
      <c r="J48" s="34"/>
      <c r="K48" s="34"/>
      <c r="L48" s="34"/>
      <c r="M48" s="34"/>
      <c r="N48" s="34"/>
      <c r="O48" s="34"/>
      <c r="P48" s="34"/>
      <c r="Q48" s="32"/>
      <c r="R48" s="35" t="str">
        <f t="shared" si="1"/>
        <v/>
      </c>
      <c r="S48" s="35" t="str">
        <f>IF(OR(K48="",P48=""),"",NETWORKDAYS(K48,P48,Listas!$O$4:$O$22)-1)</f>
        <v/>
      </c>
      <c r="T48" s="35" t="str">
        <f t="array" ref="T48">IFERROR(INDEX(Listas!$C$4:$C$13,MATCH(E48,Listas!$B$4:$B$13,0)),"")</f>
        <v/>
      </c>
      <c r="U48" s="35" t="str">
        <f t="shared" si="2"/>
        <v/>
      </c>
      <c r="V48" s="35" t="str">
        <f>IF(OR(L48="",M48=""),"",NETWORKDAYS(L48,M48,Listas!$O$4:$O$22)-1)</f>
        <v/>
      </c>
      <c r="W48" s="35" t="str">
        <f>IF(OR(N48="",O48=""),"",NETWORKDAYS(N48,O48,Listas!$O$4:$O$22)-1)</f>
        <v/>
      </c>
    </row>
    <row r="49" ht="15.75" customHeight="1">
      <c r="A49" s="18"/>
      <c r="B49" s="18"/>
      <c r="C49" s="32"/>
      <c r="D49" s="18"/>
      <c r="E49" s="32"/>
      <c r="F49" s="32"/>
      <c r="G49" s="32"/>
      <c r="H49" s="33"/>
      <c r="I49" s="34"/>
      <c r="J49" s="34"/>
      <c r="K49" s="34"/>
      <c r="L49" s="34"/>
      <c r="M49" s="34"/>
      <c r="N49" s="34"/>
      <c r="O49" s="34"/>
      <c r="P49" s="34"/>
      <c r="Q49" s="32"/>
      <c r="R49" s="35" t="str">
        <f t="shared" si="1"/>
        <v/>
      </c>
      <c r="S49" s="35" t="str">
        <f>IF(OR(K49="",P49=""),"",NETWORKDAYS(K49,P49,Listas!$O$4:$O$22)-1)</f>
        <v/>
      </c>
      <c r="T49" s="35" t="str">
        <f t="array" ref="T49">IFERROR(INDEX(Listas!$C$4:$C$13,MATCH(E49,Listas!$B$4:$B$13,0)),"")</f>
        <v/>
      </c>
      <c r="U49" s="35" t="str">
        <f t="shared" si="2"/>
        <v/>
      </c>
      <c r="V49" s="35" t="str">
        <f>IF(OR(L49="",M49=""),"",NETWORKDAYS(L49,M49,Listas!$O$4:$O$22)-1)</f>
        <v/>
      </c>
      <c r="W49" s="35" t="str">
        <f>IF(OR(N49="",O49=""),"",NETWORKDAYS(N49,O49,Listas!$O$4:$O$22)-1)</f>
        <v/>
      </c>
    </row>
    <row r="50" ht="15.75" customHeight="1">
      <c r="A50" s="18"/>
      <c r="B50" s="18"/>
      <c r="C50" s="32"/>
      <c r="D50" s="18"/>
      <c r="E50" s="32"/>
      <c r="F50" s="32"/>
      <c r="G50" s="32"/>
      <c r="H50" s="33"/>
      <c r="I50" s="34"/>
      <c r="J50" s="34"/>
      <c r="K50" s="34"/>
      <c r="L50" s="34"/>
      <c r="M50" s="34"/>
      <c r="N50" s="34"/>
      <c r="O50" s="34"/>
      <c r="P50" s="34"/>
      <c r="Q50" s="32"/>
      <c r="R50" s="35" t="str">
        <f t="shared" si="1"/>
        <v/>
      </c>
      <c r="S50" s="35" t="str">
        <f>IF(OR(K50="",P50=""),"",NETWORKDAYS(K50,P50,Listas!$O$4:$O$22)-1)</f>
        <v/>
      </c>
      <c r="T50" s="35" t="str">
        <f t="array" ref="T50">IFERROR(INDEX(Listas!$C$4:$C$13,MATCH(E50,Listas!$B$4:$B$13,0)),"")</f>
        <v/>
      </c>
      <c r="U50" s="35" t="str">
        <f t="shared" si="2"/>
        <v/>
      </c>
      <c r="V50" s="35" t="str">
        <f>IF(OR(L50="",M50=""),"",NETWORKDAYS(L50,M50,Listas!$O$4:$O$22)-1)</f>
        <v/>
      </c>
      <c r="W50" s="35" t="str">
        <f>IF(OR(N50="",O50=""),"",NETWORKDAYS(N50,O50,Listas!$O$4:$O$22)-1)</f>
        <v/>
      </c>
    </row>
    <row r="51" ht="15.75" customHeight="1">
      <c r="A51" s="18"/>
      <c r="B51" s="18"/>
      <c r="C51" s="32"/>
      <c r="D51" s="18"/>
      <c r="E51" s="32"/>
      <c r="F51" s="32"/>
      <c r="G51" s="32"/>
      <c r="H51" s="33"/>
      <c r="I51" s="34"/>
      <c r="J51" s="34"/>
      <c r="K51" s="34"/>
      <c r="L51" s="34"/>
      <c r="M51" s="34"/>
      <c r="N51" s="34"/>
      <c r="O51" s="34"/>
      <c r="P51" s="34"/>
      <c r="Q51" s="32"/>
      <c r="R51" s="35" t="str">
        <f t="shared" si="1"/>
        <v/>
      </c>
      <c r="S51" s="35" t="str">
        <f>IF(OR(K51="",P51=""),"",NETWORKDAYS(K51,P51,Listas!$O$4:$O$22)-1)</f>
        <v/>
      </c>
      <c r="T51" s="35" t="str">
        <f t="array" ref="T51">IFERROR(INDEX(Listas!$C$4:$C$13,MATCH(E51,Listas!$B$4:$B$13,0)),"")</f>
        <v/>
      </c>
      <c r="U51" s="35" t="str">
        <f t="shared" si="2"/>
        <v/>
      </c>
      <c r="V51" s="35" t="str">
        <f>IF(OR(L51="",M51=""),"",NETWORKDAYS(L51,M51,Listas!$O$4:$O$22)-1)</f>
        <v/>
      </c>
      <c r="W51" s="35" t="str">
        <f>IF(OR(N51="",O51=""),"",NETWORKDAYS(N51,O51,Listas!$O$4:$O$22)-1)</f>
        <v/>
      </c>
    </row>
    <row r="52" ht="15.75" customHeight="1">
      <c r="A52" s="18"/>
      <c r="B52" s="18"/>
      <c r="C52" s="32"/>
      <c r="D52" s="18"/>
      <c r="E52" s="32"/>
      <c r="F52" s="32"/>
      <c r="G52" s="32"/>
      <c r="H52" s="33"/>
      <c r="I52" s="34"/>
      <c r="J52" s="34"/>
      <c r="K52" s="34"/>
      <c r="L52" s="34"/>
      <c r="M52" s="34"/>
      <c r="N52" s="34"/>
      <c r="O52" s="34"/>
      <c r="P52" s="34"/>
      <c r="Q52" s="32"/>
      <c r="R52" s="35" t="str">
        <f t="shared" si="1"/>
        <v/>
      </c>
      <c r="S52" s="35" t="str">
        <f>IF(OR(K52="",P52=""),"",NETWORKDAYS(K52,P52,Listas!$O$4:$O$22)-1)</f>
        <v/>
      </c>
      <c r="T52" s="35" t="str">
        <f t="array" ref="T52">IFERROR(INDEX(Listas!$C$4:$C$13,MATCH(E52,Listas!$B$4:$B$13,0)),"")</f>
        <v/>
      </c>
      <c r="U52" s="35" t="str">
        <f t="shared" si="2"/>
        <v/>
      </c>
      <c r="V52" s="35" t="str">
        <f>IF(OR(L52="",M52=""),"",NETWORKDAYS(L52,M52,Listas!$O$4:$O$22)-1)</f>
        <v/>
      </c>
      <c r="W52" s="35" t="str">
        <f>IF(OR(N52="",O52=""),"",NETWORKDAYS(N52,O52,Listas!$O$4:$O$22)-1)</f>
        <v/>
      </c>
    </row>
    <row r="53" ht="15.75" customHeight="1">
      <c r="A53" s="18"/>
      <c r="B53" s="18"/>
      <c r="C53" s="32"/>
      <c r="D53" s="18"/>
      <c r="E53" s="32"/>
      <c r="F53" s="32"/>
      <c r="G53" s="32"/>
      <c r="H53" s="33"/>
      <c r="I53" s="34"/>
      <c r="J53" s="34"/>
      <c r="K53" s="34"/>
      <c r="L53" s="34"/>
      <c r="M53" s="34"/>
      <c r="N53" s="34"/>
      <c r="O53" s="34"/>
      <c r="P53" s="34"/>
      <c r="Q53" s="32"/>
      <c r="R53" s="35" t="str">
        <f t="shared" si="1"/>
        <v/>
      </c>
      <c r="S53" s="35" t="str">
        <f>IF(OR(K53="",P53=""),"",NETWORKDAYS(K53,P53,Listas!$O$4:$O$22)-1)</f>
        <v/>
      </c>
      <c r="T53" s="35" t="str">
        <f t="array" ref="T53">IFERROR(INDEX(Listas!$C$4:$C$13,MATCH(E53,Listas!$B$4:$B$13,0)),"")</f>
        <v/>
      </c>
      <c r="U53" s="35" t="str">
        <f t="shared" si="2"/>
        <v/>
      </c>
      <c r="V53" s="35" t="str">
        <f>IF(OR(L53="",M53=""),"",NETWORKDAYS(L53,M53,Listas!$O$4:$O$22)-1)</f>
        <v/>
      </c>
      <c r="W53" s="35" t="str">
        <f>IF(OR(N53="",O53=""),"",NETWORKDAYS(N53,O53,Listas!$O$4:$O$22)-1)</f>
        <v/>
      </c>
    </row>
    <row r="54" ht="15.75" customHeight="1">
      <c r="A54" s="18"/>
      <c r="B54" s="18"/>
      <c r="C54" s="32"/>
      <c r="D54" s="18"/>
      <c r="E54" s="32"/>
      <c r="F54" s="32"/>
      <c r="G54" s="32"/>
      <c r="H54" s="33"/>
      <c r="I54" s="34"/>
      <c r="J54" s="34"/>
      <c r="K54" s="34"/>
      <c r="L54" s="34"/>
      <c r="M54" s="34"/>
      <c r="N54" s="34"/>
      <c r="O54" s="34"/>
      <c r="P54" s="34"/>
      <c r="Q54" s="32"/>
      <c r="R54" s="35" t="str">
        <f t="shared" si="1"/>
        <v/>
      </c>
      <c r="S54" s="35" t="str">
        <f>IF(OR(K54="",P54=""),"",NETWORKDAYS(K54,P54,Listas!$O$4:$O$22)-1)</f>
        <v/>
      </c>
      <c r="T54" s="35" t="str">
        <f t="array" ref="T54">IFERROR(INDEX(Listas!$C$4:$C$13,MATCH(E54,Listas!$B$4:$B$13,0)),"")</f>
        <v/>
      </c>
      <c r="U54" s="35" t="str">
        <f t="shared" si="2"/>
        <v/>
      </c>
      <c r="V54" s="35" t="str">
        <f>IF(OR(L54="",M54=""),"",NETWORKDAYS(L54,M54,Listas!$O$4:$O$22)-1)</f>
        <v/>
      </c>
      <c r="W54" s="35" t="str">
        <f>IF(OR(N54="",O54=""),"",NETWORKDAYS(N54,O54,Listas!$O$4:$O$22)-1)</f>
        <v/>
      </c>
    </row>
    <row r="55" ht="15.75" customHeight="1">
      <c r="A55" s="18"/>
      <c r="B55" s="18"/>
      <c r="C55" s="32"/>
      <c r="D55" s="18"/>
      <c r="E55" s="32"/>
      <c r="F55" s="32"/>
      <c r="G55" s="32"/>
      <c r="H55" s="33"/>
      <c r="I55" s="34"/>
      <c r="J55" s="34"/>
      <c r="K55" s="34"/>
      <c r="L55" s="34"/>
      <c r="M55" s="34"/>
      <c r="N55" s="34"/>
      <c r="O55" s="34"/>
      <c r="P55" s="34"/>
      <c r="Q55" s="32"/>
      <c r="R55" s="35" t="str">
        <f t="shared" si="1"/>
        <v/>
      </c>
      <c r="S55" s="35" t="str">
        <f>IF(OR(K55="",P55=""),"",NETWORKDAYS(K55,P55,Listas!$O$4:$O$22)-1)</f>
        <v/>
      </c>
      <c r="T55" s="35" t="str">
        <f t="array" ref="T55">IFERROR(INDEX(Listas!$C$4:$C$13,MATCH(E55,Listas!$B$4:$B$13,0)),"")</f>
        <v/>
      </c>
      <c r="U55" s="35" t="str">
        <f t="shared" si="2"/>
        <v/>
      </c>
      <c r="V55" s="35" t="str">
        <f>IF(OR(L55="",M55=""),"",NETWORKDAYS(L55,M55,Listas!$O$4:$O$22)-1)</f>
        <v/>
      </c>
      <c r="W55" s="35" t="str">
        <f>IF(OR(N55="",O55=""),"",NETWORKDAYS(N55,O55,Listas!$O$4:$O$22)-1)</f>
        <v/>
      </c>
    </row>
    <row r="56" ht="15.75" customHeight="1">
      <c r="A56" s="18"/>
      <c r="B56" s="18"/>
      <c r="C56" s="32"/>
      <c r="D56" s="18"/>
      <c r="E56" s="32"/>
      <c r="F56" s="32"/>
      <c r="G56" s="32"/>
      <c r="H56" s="33"/>
      <c r="I56" s="34"/>
      <c r="J56" s="34"/>
      <c r="K56" s="34"/>
      <c r="L56" s="34"/>
      <c r="M56" s="34"/>
      <c r="N56" s="34"/>
      <c r="O56" s="34"/>
      <c r="P56" s="34"/>
      <c r="Q56" s="32"/>
      <c r="R56" s="35" t="str">
        <f t="shared" si="1"/>
        <v/>
      </c>
      <c r="S56" s="35" t="str">
        <f>IF(OR(K56="",P56=""),"",NETWORKDAYS(K56,P56,Listas!$O$4:$O$22)-1)</f>
        <v/>
      </c>
      <c r="T56" s="35" t="str">
        <f t="array" ref="T56">IFERROR(INDEX(Listas!$C$4:$C$13,MATCH(E56,Listas!$B$4:$B$13,0)),"")</f>
        <v/>
      </c>
      <c r="U56" s="35" t="str">
        <f t="shared" si="2"/>
        <v/>
      </c>
      <c r="V56" s="35" t="str">
        <f>IF(OR(L56="",M56=""),"",NETWORKDAYS(L56,M56,Listas!$O$4:$O$22)-1)</f>
        <v/>
      </c>
      <c r="W56" s="35" t="str">
        <f>IF(OR(N56="",O56=""),"",NETWORKDAYS(N56,O56,Listas!$O$4:$O$22)-1)</f>
        <v/>
      </c>
    </row>
    <row r="57" ht="15.75" customHeight="1">
      <c r="A57" s="18"/>
      <c r="B57" s="18"/>
      <c r="C57" s="32"/>
      <c r="D57" s="18"/>
      <c r="E57" s="32"/>
      <c r="F57" s="32"/>
      <c r="G57" s="32"/>
      <c r="H57" s="33"/>
      <c r="I57" s="34"/>
      <c r="J57" s="34"/>
      <c r="K57" s="34"/>
      <c r="L57" s="34"/>
      <c r="M57" s="34"/>
      <c r="N57" s="34"/>
      <c r="O57" s="34"/>
      <c r="P57" s="34"/>
      <c r="Q57" s="32"/>
      <c r="R57" s="35" t="str">
        <f t="shared" si="1"/>
        <v/>
      </c>
      <c r="S57" s="35" t="str">
        <f>IF(OR(K57="",P57=""),"",NETWORKDAYS(K57,P57,Listas!$O$4:$O$22)-1)</f>
        <v/>
      </c>
      <c r="T57" s="35" t="str">
        <f t="array" ref="T57">IFERROR(INDEX(Listas!$C$4:$C$13,MATCH(E57,Listas!$B$4:$B$13,0)),"")</f>
        <v/>
      </c>
      <c r="U57" s="35" t="str">
        <f t="shared" si="2"/>
        <v/>
      </c>
      <c r="V57" s="35" t="str">
        <f>IF(OR(L57="",M57=""),"",NETWORKDAYS(L57,M57,Listas!$O$4:$O$22)-1)</f>
        <v/>
      </c>
      <c r="W57" s="35" t="str">
        <f>IF(OR(N57="",O57=""),"",NETWORKDAYS(N57,O57,Listas!$O$4:$O$22)-1)</f>
        <v/>
      </c>
    </row>
    <row r="58" ht="15.75" customHeight="1">
      <c r="A58" s="18"/>
      <c r="B58" s="18"/>
      <c r="C58" s="32"/>
      <c r="D58" s="18"/>
      <c r="E58" s="32"/>
      <c r="F58" s="32"/>
      <c r="G58" s="32"/>
      <c r="H58" s="33"/>
      <c r="I58" s="34"/>
      <c r="J58" s="34"/>
      <c r="K58" s="34"/>
      <c r="L58" s="34"/>
      <c r="M58" s="34"/>
      <c r="N58" s="34"/>
      <c r="O58" s="34"/>
      <c r="P58" s="34"/>
      <c r="Q58" s="32"/>
      <c r="R58" s="35" t="str">
        <f t="shared" si="1"/>
        <v/>
      </c>
      <c r="S58" s="35" t="str">
        <f>IF(OR(K58="",P58=""),"",NETWORKDAYS(K58,P58,Listas!$O$4:$O$22)-1)</f>
        <v/>
      </c>
      <c r="T58" s="35" t="str">
        <f t="array" ref="T58">IFERROR(INDEX(Listas!$C$4:$C$13,MATCH(E58,Listas!$B$4:$B$13,0)),"")</f>
        <v/>
      </c>
      <c r="U58" s="35" t="str">
        <f t="shared" si="2"/>
        <v/>
      </c>
      <c r="V58" s="35" t="str">
        <f>IF(OR(L58="",M58=""),"",NETWORKDAYS(L58,M58,Listas!$O$4:$O$22)-1)</f>
        <v/>
      </c>
      <c r="W58" s="35" t="str">
        <f>IF(OR(N58="",O58=""),"",NETWORKDAYS(N58,O58,Listas!$O$4:$O$22)-1)</f>
        <v/>
      </c>
    </row>
    <row r="59" ht="15.75" customHeight="1">
      <c r="A59" s="18"/>
      <c r="B59" s="18"/>
      <c r="C59" s="32"/>
      <c r="D59" s="18"/>
      <c r="E59" s="32"/>
      <c r="F59" s="32"/>
      <c r="G59" s="32"/>
      <c r="H59" s="33"/>
      <c r="I59" s="34"/>
      <c r="J59" s="34"/>
      <c r="K59" s="34"/>
      <c r="L59" s="34"/>
      <c r="M59" s="34"/>
      <c r="N59" s="34"/>
      <c r="O59" s="34"/>
      <c r="P59" s="34"/>
      <c r="Q59" s="32"/>
      <c r="R59" s="35" t="str">
        <f t="shared" si="1"/>
        <v/>
      </c>
      <c r="S59" s="35" t="str">
        <f>IF(OR(K59="",P59=""),"",NETWORKDAYS(K59,P59,Listas!$O$4:$O$22)-1)</f>
        <v/>
      </c>
      <c r="T59" s="35" t="str">
        <f t="array" ref="T59">IFERROR(INDEX(Listas!$C$4:$C$13,MATCH(E59,Listas!$B$4:$B$13,0)),"")</f>
        <v/>
      </c>
      <c r="U59" s="35" t="str">
        <f t="shared" si="2"/>
        <v/>
      </c>
      <c r="V59" s="35" t="str">
        <f>IF(OR(L59="",M59=""),"",NETWORKDAYS(L59,M59,Listas!$O$4:$O$22)-1)</f>
        <v/>
      </c>
      <c r="W59" s="35" t="str">
        <f>IF(OR(N59="",O59=""),"",NETWORKDAYS(N59,O59,Listas!$O$4:$O$22)-1)</f>
        <v/>
      </c>
    </row>
    <row r="60" ht="15.75" customHeight="1">
      <c r="A60" s="18"/>
      <c r="B60" s="18"/>
      <c r="C60" s="32"/>
      <c r="D60" s="18"/>
      <c r="E60" s="32"/>
      <c r="F60" s="32"/>
      <c r="G60" s="32"/>
      <c r="H60" s="33"/>
      <c r="I60" s="34"/>
      <c r="J60" s="34"/>
      <c r="K60" s="34"/>
      <c r="L60" s="34"/>
      <c r="M60" s="34"/>
      <c r="N60" s="34"/>
      <c r="O60" s="34"/>
      <c r="P60" s="34"/>
      <c r="Q60" s="32"/>
      <c r="R60" s="35" t="str">
        <f t="shared" si="1"/>
        <v/>
      </c>
      <c r="S60" s="35" t="str">
        <f>IF(OR(K60="",P60=""),"",NETWORKDAYS(K60,P60,Listas!$O$4:$O$22)-1)</f>
        <v/>
      </c>
      <c r="T60" s="35" t="str">
        <f t="array" ref="T60">IFERROR(INDEX(Listas!$C$4:$C$13,MATCH(E60,Listas!$B$4:$B$13,0)),"")</f>
        <v/>
      </c>
      <c r="U60" s="35" t="str">
        <f t="shared" si="2"/>
        <v/>
      </c>
      <c r="V60" s="35" t="str">
        <f>IF(OR(L60="",M60=""),"",NETWORKDAYS(L60,M60,Listas!$O$4:$O$22)-1)</f>
        <v/>
      </c>
      <c r="W60" s="35" t="str">
        <f>IF(OR(N60="",O60=""),"",NETWORKDAYS(N60,O60,Listas!$O$4:$O$22)-1)</f>
        <v/>
      </c>
    </row>
    <row r="61" ht="15.75" customHeight="1">
      <c r="A61" s="18"/>
      <c r="B61" s="18"/>
      <c r="C61" s="32"/>
      <c r="D61" s="18"/>
      <c r="E61" s="32"/>
      <c r="F61" s="32"/>
      <c r="G61" s="32"/>
      <c r="H61" s="33"/>
      <c r="I61" s="34"/>
      <c r="J61" s="34"/>
      <c r="K61" s="34"/>
      <c r="L61" s="34"/>
      <c r="M61" s="34"/>
      <c r="N61" s="34"/>
      <c r="O61" s="34"/>
      <c r="P61" s="34"/>
      <c r="Q61" s="32"/>
      <c r="R61" s="35" t="str">
        <f t="shared" si="1"/>
        <v/>
      </c>
      <c r="S61" s="35" t="str">
        <f>IF(OR(K61="",P61=""),"",NETWORKDAYS(K61,P61,Listas!$O$4:$O$22)-1)</f>
        <v/>
      </c>
      <c r="T61" s="35" t="str">
        <f t="array" ref="T61">IFERROR(INDEX(Listas!$C$4:$C$13,MATCH(E61,Listas!$B$4:$B$13,0)),"")</f>
        <v/>
      </c>
      <c r="U61" s="35" t="str">
        <f t="shared" si="2"/>
        <v/>
      </c>
      <c r="V61" s="35" t="str">
        <f>IF(OR(L61="",M61=""),"",NETWORKDAYS(L61,M61,Listas!$O$4:$O$22)-1)</f>
        <v/>
      </c>
      <c r="W61" s="35" t="str">
        <f>IF(OR(N61="",O61=""),"",NETWORKDAYS(N61,O61,Listas!$O$4:$O$22)-1)</f>
        <v/>
      </c>
    </row>
    <row r="62" ht="15.75" customHeight="1">
      <c r="A62" s="18"/>
      <c r="B62" s="18"/>
      <c r="C62" s="32"/>
      <c r="D62" s="18"/>
      <c r="E62" s="32"/>
      <c r="F62" s="32"/>
      <c r="G62" s="32"/>
      <c r="H62" s="33"/>
      <c r="I62" s="34"/>
      <c r="J62" s="34"/>
      <c r="K62" s="34"/>
      <c r="L62" s="34"/>
      <c r="M62" s="34"/>
      <c r="N62" s="34"/>
      <c r="O62" s="34"/>
      <c r="P62" s="34"/>
      <c r="Q62" s="32"/>
      <c r="R62" s="35" t="str">
        <f t="shared" si="1"/>
        <v/>
      </c>
      <c r="S62" s="35" t="str">
        <f>IF(OR(K62="",P62=""),"",NETWORKDAYS(K62,P62,Listas!$O$4:$O$22)-1)</f>
        <v/>
      </c>
      <c r="T62" s="35" t="str">
        <f t="array" ref="T62">IFERROR(INDEX(Listas!$C$4:$C$13,MATCH(E62,Listas!$B$4:$B$13,0)),"")</f>
        <v/>
      </c>
      <c r="U62" s="35" t="str">
        <f t="shared" si="2"/>
        <v/>
      </c>
      <c r="V62" s="35" t="str">
        <f>IF(OR(L62="",M62=""),"",NETWORKDAYS(L62,M62,Listas!$O$4:$O$22)-1)</f>
        <v/>
      </c>
      <c r="W62" s="35" t="str">
        <f>IF(OR(N62="",O62=""),"",NETWORKDAYS(N62,O62,Listas!$O$4:$O$22)-1)</f>
        <v/>
      </c>
    </row>
    <row r="63" ht="15.75" customHeight="1">
      <c r="A63" s="18"/>
      <c r="B63" s="18"/>
      <c r="C63" s="32"/>
      <c r="D63" s="18"/>
      <c r="E63" s="32"/>
      <c r="F63" s="32"/>
      <c r="G63" s="32"/>
      <c r="H63" s="33"/>
      <c r="I63" s="34"/>
      <c r="J63" s="34"/>
      <c r="K63" s="34"/>
      <c r="L63" s="34"/>
      <c r="M63" s="34"/>
      <c r="N63" s="34"/>
      <c r="O63" s="34"/>
      <c r="P63" s="34"/>
      <c r="Q63" s="32"/>
      <c r="R63" s="35" t="str">
        <f t="shared" si="1"/>
        <v/>
      </c>
      <c r="S63" s="35" t="str">
        <f>IF(OR(K63="",P63=""),"",NETWORKDAYS(K63,P63,Listas!$O$4:$O$22)-1)</f>
        <v/>
      </c>
      <c r="T63" s="35" t="str">
        <f t="array" ref="T63">IFERROR(INDEX(Listas!$C$4:$C$13,MATCH(E63,Listas!$B$4:$B$13,0)),"")</f>
        <v/>
      </c>
      <c r="U63" s="35" t="str">
        <f t="shared" si="2"/>
        <v/>
      </c>
      <c r="V63" s="35" t="str">
        <f>IF(OR(L63="",M63=""),"",NETWORKDAYS(L63,M63,Listas!$O$4:$O$22)-1)</f>
        <v/>
      </c>
      <c r="W63" s="35" t="str">
        <f>IF(OR(N63="",O63=""),"",NETWORKDAYS(N63,O63,Listas!$O$4:$O$22)-1)</f>
        <v/>
      </c>
    </row>
    <row r="64" ht="15.75" customHeight="1">
      <c r="A64" s="18"/>
      <c r="B64" s="18"/>
      <c r="C64" s="32"/>
      <c r="D64" s="18"/>
      <c r="E64" s="32"/>
      <c r="F64" s="32"/>
      <c r="G64" s="32"/>
      <c r="H64" s="33"/>
      <c r="I64" s="34"/>
      <c r="J64" s="34"/>
      <c r="K64" s="34"/>
      <c r="L64" s="34"/>
      <c r="M64" s="34"/>
      <c r="N64" s="34"/>
      <c r="O64" s="34"/>
      <c r="P64" s="34"/>
      <c r="Q64" s="32"/>
      <c r="R64" s="35" t="str">
        <f t="shared" si="1"/>
        <v/>
      </c>
      <c r="S64" s="35" t="str">
        <f>IF(OR(K64="",P64=""),"",NETWORKDAYS(K64,P64,Listas!$O$4:$O$22)-1)</f>
        <v/>
      </c>
      <c r="T64" s="35" t="str">
        <f t="array" ref="T64">IFERROR(INDEX(Listas!$C$4:$C$13,MATCH(E64,Listas!$B$4:$B$13,0)),"")</f>
        <v/>
      </c>
      <c r="U64" s="35" t="str">
        <f t="shared" si="2"/>
        <v/>
      </c>
      <c r="V64" s="35" t="str">
        <f>IF(OR(L64="",M64=""),"",NETWORKDAYS(L64,M64,Listas!$O$4:$O$22)-1)</f>
        <v/>
      </c>
      <c r="W64" s="35" t="str">
        <f>IF(OR(N64="",O64=""),"",NETWORKDAYS(N64,O64,Listas!$O$4:$O$22)-1)</f>
        <v/>
      </c>
    </row>
    <row r="65" ht="15.75" customHeight="1">
      <c r="A65" s="18"/>
      <c r="B65" s="18"/>
      <c r="C65" s="32"/>
      <c r="D65" s="18"/>
      <c r="E65" s="32"/>
      <c r="F65" s="32"/>
      <c r="G65" s="32"/>
      <c r="H65" s="33"/>
      <c r="I65" s="34"/>
      <c r="J65" s="34"/>
      <c r="K65" s="34"/>
      <c r="L65" s="34"/>
      <c r="M65" s="34"/>
      <c r="N65" s="34"/>
      <c r="O65" s="34"/>
      <c r="P65" s="34"/>
      <c r="Q65" s="32"/>
      <c r="R65" s="35" t="str">
        <f t="shared" si="1"/>
        <v/>
      </c>
      <c r="S65" s="35" t="str">
        <f>IF(OR(K65="",P65=""),"",NETWORKDAYS(K65,P65,Listas!$O$4:$O$22)-1)</f>
        <v/>
      </c>
      <c r="T65" s="35" t="str">
        <f t="array" ref="T65">IFERROR(INDEX(Listas!$C$4:$C$13,MATCH(E65,Listas!$B$4:$B$13,0)),"")</f>
        <v/>
      </c>
      <c r="U65" s="35" t="str">
        <f t="shared" si="2"/>
        <v/>
      </c>
      <c r="V65" s="35" t="str">
        <f>IF(OR(L65="",M65=""),"",NETWORKDAYS(L65,M65,Listas!$O$4:$O$22)-1)</f>
        <v/>
      </c>
      <c r="W65" s="35" t="str">
        <f>IF(OR(N65="",O65=""),"",NETWORKDAYS(N65,O65,Listas!$O$4:$O$22)-1)</f>
        <v/>
      </c>
    </row>
    <row r="66" ht="15.75" customHeight="1">
      <c r="A66" s="18"/>
      <c r="B66" s="18"/>
      <c r="C66" s="32"/>
      <c r="D66" s="18"/>
      <c r="E66" s="32"/>
      <c r="F66" s="32"/>
      <c r="G66" s="32"/>
      <c r="H66" s="33"/>
      <c r="I66" s="34"/>
      <c r="J66" s="34"/>
      <c r="K66" s="34"/>
      <c r="L66" s="34"/>
      <c r="M66" s="34"/>
      <c r="N66" s="34"/>
      <c r="O66" s="34"/>
      <c r="P66" s="34"/>
      <c r="Q66" s="32"/>
      <c r="R66" s="35" t="str">
        <f t="shared" si="1"/>
        <v/>
      </c>
      <c r="S66" s="35" t="str">
        <f>IF(OR(K66="",P66=""),"",NETWORKDAYS(K66,P66,Listas!$O$4:$O$22)-1)</f>
        <v/>
      </c>
      <c r="T66" s="35" t="str">
        <f t="array" ref="T66">IFERROR(INDEX(Listas!$C$4:$C$13,MATCH(E66,Listas!$B$4:$B$13,0)),"")</f>
        <v/>
      </c>
      <c r="U66" s="35" t="str">
        <f t="shared" si="2"/>
        <v/>
      </c>
      <c r="V66" s="35" t="str">
        <f>IF(OR(L66="",M66=""),"",NETWORKDAYS(L66,M66,Listas!$O$4:$O$22)-1)</f>
        <v/>
      </c>
      <c r="W66" s="35" t="str">
        <f>IF(OR(N66="",O66=""),"",NETWORKDAYS(N66,O66,Listas!$O$4:$O$22)-1)</f>
        <v/>
      </c>
    </row>
    <row r="67" ht="15.75" customHeight="1">
      <c r="A67" s="18"/>
      <c r="B67" s="18"/>
      <c r="C67" s="32"/>
      <c r="D67" s="18"/>
      <c r="E67" s="32"/>
      <c r="F67" s="32"/>
      <c r="G67" s="32"/>
      <c r="H67" s="33"/>
      <c r="I67" s="34"/>
      <c r="J67" s="34"/>
      <c r="K67" s="34"/>
      <c r="L67" s="34"/>
      <c r="M67" s="34"/>
      <c r="N67" s="34"/>
      <c r="O67" s="34"/>
      <c r="P67" s="34"/>
      <c r="Q67" s="32"/>
      <c r="R67" s="35" t="str">
        <f t="shared" si="1"/>
        <v/>
      </c>
      <c r="S67" s="35" t="str">
        <f>IF(OR(K67="",P67=""),"",NETWORKDAYS(K67,P67,Listas!$O$4:$O$22)-1)</f>
        <v/>
      </c>
      <c r="T67" s="35" t="str">
        <f t="array" ref="T67">IFERROR(INDEX(Listas!$C$4:$C$13,MATCH(E67,Listas!$B$4:$B$13,0)),"")</f>
        <v/>
      </c>
      <c r="U67" s="35" t="str">
        <f t="shared" si="2"/>
        <v/>
      </c>
      <c r="V67" s="35" t="str">
        <f>IF(OR(L67="",M67=""),"",NETWORKDAYS(L67,M67,Listas!$O$4:$O$22)-1)</f>
        <v/>
      </c>
      <c r="W67" s="35" t="str">
        <f>IF(OR(N67="",O67=""),"",NETWORKDAYS(N67,O67,Listas!$O$4:$O$22)-1)</f>
        <v/>
      </c>
    </row>
    <row r="68" ht="15.75" customHeight="1">
      <c r="A68" s="18"/>
      <c r="B68" s="18"/>
      <c r="C68" s="32"/>
      <c r="D68" s="18"/>
      <c r="E68" s="32"/>
      <c r="F68" s="32"/>
      <c r="G68" s="32"/>
      <c r="H68" s="33"/>
      <c r="I68" s="34"/>
      <c r="J68" s="34"/>
      <c r="K68" s="34"/>
      <c r="L68" s="34"/>
      <c r="M68" s="34"/>
      <c r="N68" s="34"/>
      <c r="O68" s="34"/>
      <c r="P68" s="34"/>
      <c r="Q68" s="32"/>
      <c r="R68" s="35" t="str">
        <f t="shared" si="1"/>
        <v/>
      </c>
      <c r="S68" s="35" t="str">
        <f>IF(OR(K68="",P68=""),"",NETWORKDAYS(K68,P68,Listas!$O$4:$O$22)-1)</f>
        <v/>
      </c>
      <c r="T68" s="35" t="str">
        <f t="array" ref="T68">IFERROR(INDEX(Listas!$C$4:$C$13,MATCH(E68,Listas!$B$4:$B$13,0)),"")</f>
        <v/>
      </c>
      <c r="U68" s="35" t="str">
        <f t="shared" si="2"/>
        <v/>
      </c>
      <c r="V68" s="35" t="str">
        <f>IF(OR(L68="",M68=""),"",NETWORKDAYS(L68,M68,Listas!$O$4:$O$22)-1)</f>
        <v/>
      </c>
      <c r="W68" s="35" t="str">
        <f>IF(OR(N68="",O68=""),"",NETWORKDAYS(N68,O68,Listas!$O$4:$O$22)-1)</f>
        <v/>
      </c>
    </row>
    <row r="69" ht="15.75" customHeight="1">
      <c r="A69" s="18"/>
      <c r="B69" s="18"/>
      <c r="C69" s="32"/>
      <c r="D69" s="18"/>
      <c r="E69" s="32"/>
      <c r="F69" s="32"/>
      <c r="G69" s="32"/>
      <c r="H69" s="33"/>
      <c r="I69" s="34"/>
      <c r="J69" s="34"/>
      <c r="K69" s="34"/>
      <c r="L69" s="34"/>
      <c r="M69" s="34"/>
      <c r="N69" s="34"/>
      <c r="O69" s="34"/>
      <c r="P69" s="34"/>
      <c r="Q69" s="32"/>
      <c r="R69" s="35" t="str">
        <f t="shared" si="1"/>
        <v/>
      </c>
      <c r="S69" s="35" t="str">
        <f>IF(OR(K69="",P69=""),"",NETWORKDAYS(K69,P69,Listas!$O$4:$O$22)-1)</f>
        <v/>
      </c>
      <c r="T69" s="35" t="str">
        <f t="array" ref="T69">IFERROR(INDEX(Listas!$C$4:$C$13,MATCH(E69,Listas!$B$4:$B$13,0)),"")</f>
        <v/>
      </c>
      <c r="U69" s="35" t="str">
        <f t="shared" si="2"/>
        <v/>
      </c>
      <c r="V69" s="35" t="str">
        <f>IF(OR(L69="",M69=""),"",NETWORKDAYS(L69,M69,Listas!$O$4:$O$22)-1)</f>
        <v/>
      </c>
      <c r="W69" s="35" t="str">
        <f>IF(OR(N69="",O69=""),"",NETWORKDAYS(N69,O69,Listas!$O$4:$O$22)-1)</f>
        <v/>
      </c>
    </row>
    <row r="70" ht="15.75" customHeight="1">
      <c r="A70" s="18"/>
      <c r="B70" s="18"/>
      <c r="C70" s="32"/>
      <c r="D70" s="18"/>
      <c r="E70" s="32"/>
      <c r="F70" s="32"/>
      <c r="G70" s="32"/>
      <c r="H70" s="33"/>
      <c r="I70" s="34"/>
      <c r="J70" s="34"/>
      <c r="K70" s="34"/>
      <c r="L70" s="34"/>
      <c r="M70" s="34"/>
      <c r="N70" s="34"/>
      <c r="O70" s="34"/>
      <c r="P70" s="34"/>
      <c r="Q70" s="32"/>
      <c r="R70" s="35" t="str">
        <f t="shared" si="1"/>
        <v/>
      </c>
      <c r="S70" s="35" t="str">
        <f>IF(OR(K70="",P70=""),"",NETWORKDAYS(K70,P70,Listas!$O$4:$O$22)-1)</f>
        <v/>
      </c>
      <c r="T70" s="35" t="str">
        <f t="array" ref="T70">IFERROR(INDEX(Listas!$C$4:$C$13,MATCH(E70,Listas!$B$4:$B$13,0)),"")</f>
        <v/>
      </c>
      <c r="U70" s="35" t="str">
        <f t="shared" si="2"/>
        <v/>
      </c>
      <c r="V70" s="35" t="str">
        <f>IF(OR(L70="",M70=""),"",NETWORKDAYS(L70,M70,Listas!$O$4:$O$22)-1)</f>
        <v/>
      </c>
      <c r="W70" s="35" t="str">
        <f>IF(OR(N70="",O70=""),"",NETWORKDAYS(N70,O70,Listas!$O$4:$O$22)-1)</f>
        <v/>
      </c>
    </row>
    <row r="71" ht="15.75" customHeight="1">
      <c r="A71" s="18"/>
      <c r="B71" s="18"/>
      <c r="C71" s="32"/>
      <c r="D71" s="18"/>
      <c r="E71" s="32"/>
      <c r="F71" s="32"/>
      <c r="G71" s="32"/>
      <c r="H71" s="33"/>
      <c r="I71" s="34"/>
      <c r="J71" s="34"/>
      <c r="K71" s="34"/>
      <c r="L71" s="34"/>
      <c r="M71" s="34"/>
      <c r="N71" s="34"/>
      <c r="O71" s="34"/>
      <c r="P71" s="34"/>
      <c r="Q71" s="32"/>
      <c r="R71" s="35" t="str">
        <f t="shared" si="1"/>
        <v/>
      </c>
      <c r="S71" s="35" t="str">
        <f>IF(OR(K71="",P71=""),"",NETWORKDAYS(K71,P71,Listas!$O$4:$O$22)-1)</f>
        <v/>
      </c>
      <c r="T71" s="35" t="str">
        <f t="array" ref="T71">IFERROR(INDEX(Listas!$C$4:$C$13,MATCH(E71,Listas!$B$4:$B$13,0)),"")</f>
        <v/>
      </c>
      <c r="U71" s="35" t="str">
        <f t="shared" si="2"/>
        <v/>
      </c>
      <c r="V71" s="35" t="str">
        <f>IF(OR(L71="",M71=""),"",NETWORKDAYS(L71,M71,Listas!$O$4:$O$22)-1)</f>
        <v/>
      </c>
      <c r="W71" s="35" t="str">
        <f>IF(OR(N71="",O71=""),"",NETWORKDAYS(N71,O71,Listas!$O$4:$O$22)-1)</f>
        <v/>
      </c>
    </row>
    <row r="72" ht="15.75" customHeight="1">
      <c r="A72" s="18"/>
      <c r="B72" s="18"/>
      <c r="C72" s="32"/>
      <c r="D72" s="18"/>
      <c r="E72" s="32"/>
      <c r="F72" s="32"/>
      <c r="G72" s="32"/>
      <c r="H72" s="33"/>
      <c r="I72" s="34"/>
      <c r="J72" s="34"/>
      <c r="K72" s="34"/>
      <c r="L72" s="34"/>
      <c r="M72" s="34"/>
      <c r="N72" s="34"/>
      <c r="O72" s="34"/>
      <c r="P72" s="34"/>
      <c r="Q72" s="32"/>
      <c r="R72" s="35" t="str">
        <f t="shared" si="1"/>
        <v/>
      </c>
      <c r="S72" s="35" t="str">
        <f>IF(OR(K72="",P72=""),"",NETWORKDAYS(K72,P72,Listas!$O$4:$O$22)-1)</f>
        <v/>
      </c>
      <c r="T72" s="35" t="str">
        <f t="array" ref="T72">IFERROR(INDEX(Listas!$C$4:$C$13,MATCH(E72,Listas!$B$4:$B$13,0)),"")</f>
        <v/>
      </c>
      <c r="U72" s="35" t="str">
        <f t="shared" si="2"/>
        <v/>
      </c>
      <c r="V72" s="35" t="str">
        <f>IF(OR(L72="",M72=""),"",NETWORKDAYS(L72,M72,Listas!$O$4:$O$22)-1)</f>
        <v/>
      </c>
      <c r="W72" s="35" t="str">
        <f>IF(OR(N72="",O72=""),"",NETWORKDAYS(N72,O72,Listas!$O$4:$O$22)-1)</f>
        <v/>
      </c>
    </row>
    <row r="73" ht="15.75" customHeight="1">
      <c r="A73" s="18"/>
      <c r="B73" s="18"/>
      <c r="C73" s="32"/>
      <c r="D73" s="18"/>
      <c r="E73" s="32"/>
      <c r="F73" s="32"/>
      <c r="G73" s="32"/>
      <c r="H73" s="33"/>
      <c r="I73" s="34"/>
      <c r="J73" s="34"/>
      <c r="K73" s="34"/>
      <c r="L73" s="34"/>
      <c r="M73" s="34"/>
      <c r="N73" s="34"/>
      <c r="O73" s="34"/>
      <c r="P73" s="34"/>
      <c r="Q73" s="32"/>
      <c r="R73" s="35" t="str">
        <f t="shared" si="1"/>
        <v/>
      </c>
      <c r="S73" s="35" t="str">
        <f>IF(OR(K73="",P73=""),"",NETWORKDAYS(K73,P73,Listas!$O$4:$O$22)-1)</f>
        <v/>
      </c>
      <c r="T73" s="35" t="str">
        <f t="array" ref="T73">IFERROR(INDEX(Listas!$C$4:$C$13,MATCH(E73,Listas!$B$4:$B$13,0)),"")</f>
        <v/>
      </c>
      <c r="U73" s="35" t="str">
        <f t="shared" si="2"/>
        <v/>
      </c>
      <c r="V73" s="35" t="str">
        <f>IF(OR(L73="",M73=""),"",NETWORKDAYS(L73,M73,Listas!$O$4:$O$22)-1)</f>
        <v/>
      </c>
      <c r="W73" s="35" t="str">
        <f>IF(OR(N73="",O73=""),"",NETWORKDAYS(N73,O73,Listas!$O$4:$O$22)-1)</f>
        <v/>
      </c>
    </row>
    <row r="74" ht="15.75" customHeight="1">
      <c r="A74" s="18"/>
      <c r="B74" s="18"/>
      <c r="C74" s="32"/>
      <c r="D74" s="18"/>
      <c r="E74" s="32"/>
      <c r="F74" s="32"/>
      <c r="G74" s="32"/>
      <c r="H74" s="33"/>
      <c r="I74" s="34"/>
      <c r="J74" s="34"/>
      <c r="K74" s="34"/>
      <c r="L74" s="34"/>
      <c r="M74" s="34"/>
      <c r="N74" s="34"/>
      <c r="O74" s="34"/>
      <c r="P74" s="34"/>
      <c r="Q74" s="32"/>
      <c r="R74" s="35" t="str">
        <f t="shared" si="1"/>
        <v/>
      </c>
      <c r="S74" s="35" t="str">
        <f>IF(OR(K74="",P74=""),"",NETWORKDAYS(K74,P74,Listas!$O$4:$O$22)-1)</f>
        <v/>
      </c>
      <c r="T74" s="35" t="str">
        <f t="array" ref="T74">IFERROR(INDEX(Listas!$C$4:$C$13,MATCH(E74,Listas!$B$4:$B$13,0)),"")</f>
        <v/>
      </c>
      <c r="U74" s="35" t="str">
        <f t="shared" si="2"/>
        <v/>
      </c>
      <c r="V74" s="35" t="str">
        <f>IF(OR(L74="",M74=""),"",NETWORKDAYS(L74,M74,Listas!$O$4:$O$22)-1)</f>
        <v/>
      </c>
      <c r="W74" s="35" t="str">
        <f>IF(OR(N74="",O74=""),"",NETWORKDAYS(N74,O74,Listas!$O$4:$O$22)-1)</f>
        <v/>
      </c>
    </row>
    <row r="75" ht="15.75" customHeight="1">
      <c r="A75" s="18"/>
      <c r="B75" s="18"/>
      <c r="C75" s="32"/>
      <c r="D75" s="18"/>
      <c r="E75" s="32"/>
      <c r="F75" s="32"/>
      <c r="G75" s="32"/>
      <c r="H75" s="33"/>
      <c r="I75" s="34"/>
      <c r="J75" s="34"/>
      <c r="K75" s="34"/>
      <c r="L75" s="34"/>
      <c r="M75" s="34"/>
      <c r="N75" s="34"/>
      <c r="O75" s="34"/>
      <c r="P75" s="34"/>
      <c r="Q75" s="32"/>
      <c r="R75" s="35" t="str">
        <f t="shared" si="1"/>
        <v/>
      </c>
      <c r="S75" s="35" t="str">
        <f>IF(OR(K75="",P75=""),"",NETWORKDAYS(K75,P75,Listas!$O$4:$O$22)-1)</f>
        <v/>
      </c>
      <c r="T75" s="35" t="str">
        <f t="array" ref="T75">IFERROR(INDEX(Listas!$C$4:$C$13,MATCH(E75,Listas!$B$4:$B$13,0)),"")</f>
        <v/>
      </c>
      <c r="U75" s="35" t="str">
        <f t="shared" si="2"/>
        <v/>
      </c>
      <c r="V75" s="35" t="str">
        <f>IF(OR(L75="",M75=""),"",NETWORKDAYS(L75,M75,Listas!$O$4:$O$22)-1)</f>
        <v/>
      </c>
      <c r="W75" s="35" t="str">
        <f>IF(OR(N75="",O75=""),"",NETWORKDAYS(N75,O75,Listas!$O$4:$O$22)-1)</f>
        <v/>
      </c>
    </row>
    <row r="76" ht="15.75" customHeight="1">
      <c r="A76" s="18"/>
      <c r="B76" s="18"/>
      <c r="C76" s="32"/>
      <c r="D76" s="18"/>
      <c r="E76" s="32"/>
      <c r="F76" s="32"/>
      <c r="G76" s="32"/>
      <c r="H76" s="33"/>
      <c r="I76" s="34"/>
      <c r="J76" s="34"/>
      <c r="K76" s="34"/>
      <c r="L76" s="34"/>
      <c r="M76" s="34"/>
      <c r="N76" s="34"/>
      <c r="O76" s="34"/>
      <c r="P76" s="34"/>
      <c r="Q76" s="32"/>
      <c r="R76" s="35" t="str">
        <f t="shared" si="1"/>
        <v/>
      </c>
      <c r="S76" s="35" t="str">
        <f>IF(OR(K76="",P76=""),"",NETWORKDAYS(K76,P76,Listas!$O$4:$O$22)-1)</f>
        <v/>
      </c>
      <c r="T76" s="35" t="str">
        <f t="array" ref="T76">IFERROR(INDEX(Listas!$C$4:$C$13,MATCH(E76,Listas!$B$4:$B$13,0)),"")</f>
        <v/>
      </c>
      <c r="U76" s="35" t="str">
        <f t="shared" si="2"/>
        <v/>
      </c>
      <c r="V76" s="35" t="str">
        <f>IF(OR(L76="",M76=""),"",NETWORKDAYS(L76,M76,Listas!$O$4:$O$22)-1)</f>
        <v/>
      </c>
      <c r="W76" s="35" t="str">
        <f>IF(OR(N76="",O76=""),"",NETWORKDAYS(N76,O76,Listas!$O$4:$O$22)-1)</f>
        <v/>
      </c>
    </row>
    <row r="77" ht="15.75" customHeight="1">
      <c r="A77" s="18"/>
      <c r="B77" s="18"/>
      <c r="C77" s="32"/>
      <c r="D77" s="18"/>
      <c r="E77" s="32"/>
      <c r="F77" s="32"/>
      <c r="G77" s="32"/>
      <c r="H77" s="33"/>
      <c r="I77" s="34"/>
      <c r="J77" s="34"/>
      <c r="K77" s="34"/>
      <c r="L77" s="34"/>
      <c r="M77" s="34"/>
      <c r="N77" s="34"/>
      <c r="O77" s="34"/>
      <c r="P77" s="34"/>
      <c r="Q77" s="32"/>
      <c r="R77" s="35" t="str">
        <f t="shared" si="1"/>
        <v/>
      </c>
      <c r="S77" s="35" t="str">
        <f>IF(OR(K77="",P77=""),"",NETWORKDAYS(K77,P77,Listas!$O$4:$O$22)-1)</f>
        <v/>
      </c>
      <c r="T77" s="35" t="str">
        <f t="array" ref="T77">IFERROR(INDEX(Listas!$C$4:$C$13,MATCH(E77,Listas!$B$4:$B$13,0)),"")</f>
        <v/>
      </c>
      <c r="U77" s="35" t="str">
        <f t="shared" si="2"/>
        <v/>
      </c>
      <c r="V77" s="35" t="str">
        <f>IF(OR(L77="",M77=""),"",NETWORKDAYS(L77,M77,Listas!$O$4:$O$22)-1)</f>
        <v/>
      </c>
      <c r="W77" s="35" t="str">
        <f>IF(OR(N77="",O77=""),"",NETWORKDAYS(N77,O77,Listas!$O$4:$O$22)-1)</f>
        <v/>
      </c>
    </row>
    <row r="78" ht="15.75" customHeight="1">
      <c r="A78" s="18"/>
      <c r="B78" s="18"/>
      <c r="C78" s="32"/>
      <c r="D78" s="18"/>
      <c r="E78" s="32"/>
      <c r="F78" s="32"/>
      <c r="G78" s="32"/>
      <c r="H78" s="33"/>
      <c r="I78" s="34"/>
      <c r="J78" s="34"/>
      <c r="K78" s="34"/>
      <c r="L78" s="34"/>
      <c r="M78" s="34"/>
      <c r="N78" s="34"/>
      <c r="O78" s="34"/>
      <c r="P78" s="34"/>
      <c r="Q78" s="32"/>
      <c r="R78" s="35" t="str">
        <f t="shared" si="1"/>
        <v/>
      </c>
      <c r="S78" s="35" t="str">
        <f>IF(OR(K78="",P78=""),"",NETWORKDAYS(K78,P78,Listas!$O$4:$O$22)-1)</f>
        <v/>
      </c>
      <c r="T78" s="35" t="str">
        <f t="array" ref="T78">IFERROR(INDEX(Listas!$C$4:$C$13,MATCH(E78,Listas!$B$4:$B$13,0)),"")</f>
        <v/>
      </c>
      <c r="U78" s="35" t="str">
        <f t="shared" si="2"/>
        <v/>
      </c>
      <c r="V78" s="35" t="str">
        <f>IF(OR(L78="",M78=""),"",NETWORKDAYS(L78,M78,Listas!$O$4:$O$22)-1)</f>
        <v/>
      </c>
      <c r="W78" s="35" t="str">
        <f>IF(OR(N78="",O78=""),"",NETWORKDAYS(N78,O78,Listas!$O$4:$O$22)-1)</f>
        <v/>
      </c>
    </row>
    <row r="79" ht="15.75" customHeight="1">
      <c r="A79" s="18"/>
      <c r="B79" s="18"/>
      <c r="C79" s="32"/>
      <c r="D79" s="18"/>
      <c r="E79" s="32"/>
      <c r="F79" s="32"/>
      <c r="G79" s="32"/>
      <c r="H79" s="33"/>
      <c r="I79" s="34"/>
      <c r="J79" s="34"/>
      <c r="K79" s="34"/>
      <c r="L79" s="34"/>
      <c r="M79" s="34"/>
      <c r="N79" s="34"/>
      <c r="O79" s="34"/>
      <c r="P79" s="34"/>
      <c r="Q79" s="32"/>
      <c r="R79" s="35" t="str">
        <f t="shared" si="1"/>
        <v/>
      </c>
      <c r="S79" s="35" t="str">
        <f>IF(OR(K79="",P79=""),"",NETWORKDAYS(K79,P79,Listas!$O$4:$O$22)-1)</f>
        <v/>
      </c>
      <c r="T79" s="35" t="str">
        <f t="array" ref="T79">IFERROR(INDEX(Listas!$C$4:$C$13,MATCH(E79,Listas!$B$4:$B$13,0)),"")</f>
        <v/>
      </c>
      <c r="U79" s="35" t="str">
        <f t="shared" si="2"/>
        <v/>
      </c>
      <c r="V79" s="35" t="str">
        <f>IF(OR(L79="",M79=""),"",NETWORKDAYS(L79,M79,Listas!$O$4:$O$22)-1)</f>
        <v/>
      </c>
      <c r="W79" s="35" t="str">
        <f>IF(OR(N79="",O79=""),"",NETWORKDAYS(N79,O79,Listas!$O$4:$O$22)-1)</f>
        <v/>
      </c>
    </row>
    <row r="80" ht="15.75" customHeight="1">
      <c r="A80" s="18"/>
      <c r="B80" s="18"/>
      <c r="C80" s="32"/>
      <c r="D80" s="18"/>
      <c r="E80" s="32"/>
      <c r="F80" s="32"/>
      <c r="G80" s="32"/>
      <c r="H80" s="33"/>
      <c r="I80" s="34"/>
      <c r="J80" s="34"/>
      <c r="K80" s="34"/>
      <c r="L80" s="34"/>
      <c r="M80" s="34"/>
      <c r="N80" s="34"/>
      <c r="O80" s="34"/>
      <c r="P80" s="34"/>
      <c r="Q80" s="32"/>
      <c r="R80" s="35" t="str">
        <f t="shared" si="1"/>
        <v/>
      </c>
      <c r="S80" s="35" t="str">
        <f>IF(OR(K80="",P80=""),"",NETWORKDAYS(K80,P80,Listas!$O$4:$O$22)-1)</f>
        <v/>
      </c>
      <c r="T80" s="35" t="str">
        <f t="array" ref="T80">IFERROR(INDEX(Listas!$C$4:$C$13,MATCH(E80,Listas!$B$4:$B$13,0)),"")</f>
        <v/>
      </c>
      <c r="U80" s="35" t="str">
        <f t="shared" si="2"/>
        <v/>
      </c>
      <c r="V80" s="35" t="str">
        <f>IF(OR(L80="",M80=""),"",NETWORKDAYS(L80,M80,Listas!$O$4:$O$22)-1)</f>
        <v/>
      </c>
      <c r="W80" s="35" t="str">
        <f>IF(OR(N80="",O80=""),"",NETWORKDAYS(N80,O80,Listas!$O$4:$O$22)-1)</f>
        <v/>
      </c>
    </row>
    <row r="81" ht="15.75" customHeight="1">
      <c r="A81" s="18"/>
      <c r="B81" s="18"/>
      <c r="C81" s="32"/>
      <c r="D81" s="18"/>
      <c r="E81" s="32"/>
      <c r="F81" s="32"/>
      <c r="G81" s="32"/>
      <c r="H81" s="33"/>
      <c r="I81" s="34"/>
      <c r="J81" s="34"/>
      <c r="K81" s="34"/>
      <c r="L81" s="34"/>
      <c r="M81" s="34"/>
      <c r="N81" s="34"/>
      <c r="O81" s="34"/>
      <c r="P81" s="34"/>
      <c r="Q81" s="32"/>
      <c r="R81" s="35" t="str">
        <f t="shared" si="1"/>
        <v/>
      </c>
      <c r="S81" s="35" t="str">
        <f>IF(OR(K81="",P81=""),"",NETWORKDAYS(K81,P81,Listas!$O$4:$O$22)-1)</f>
        <v/>
      </c>
      <c r="T81" s="35" t="str">
        <f t="array" ref="T81">IFERROR(INDEX(Listas!$C$4:$C$13,MATCH(E81,Listas!$B$4:$B$13,0)),"")</f>
        <v/>
      </c>
      <c r="U81" s="35" t="str">
        <f t="shared" si="2"/>
        <v/>
      </c>
      <c r="V81" s="35" t="str">
        <f>IF(OR(L81="",M81=""),"",NETWORKDAYS(L81,M81,Listas!$O$4:$O$22)-1)</f>
        <v/>
      </c>
      <c r="W81" s="35" t="str">
        <f>IF(OR(N81="",O81=""),"",NETWORKDAYS(N81,O81,Listas!$O$4:$O$22)-1)</f>
        <v/>
      </c>
    </row>
    <row r="82" ht="15.75" customHeight="1">
      <c r="A82" s="18"/>
      <c r="B82" s="18"/>
      <c r="C82" s="32"/>
      <c r="D82" s="18"/>
      <c r="E82" s="32"/>
      <c r="F82" s="32"/>
      <c r="G82" s="32"/>
      <c r="H82" s="33"/>
      <c r="I82" s="34"/>
      <c r="J82" s="34"/>
      <c r="K82" s="34"/>
      <c r="L82" s="34"/>
      <c r="M82" s="34"/>
      <c r="N82" s="34"/>
      <c r="O82" s="34"/>
      <c r="P82" s="34"/>
      <c r="Q82" s="32"/>
      <c r="R82" s="35" t="str">
        <f t="shared" si="1"/>
        <v/>
      </c>
      <c r="S82" s="35" t="str">
        <f>IF(OR(K82="",P82=""),"",NETWORKDAYS(K82,P82,Listas!$O$4:$O$22)-1)</f>
        <v/>
      </c>
      <c r="T82" s="35" t="str">
        <f t="array" ref="T82">IFERROR(INDEX(Listas!$C$4:$C$13,MATCH(E82,Listas!$B$4:$B$13,0)),"")</f>
        <v/>
      </c>
      <c r="U82" s="35" t="str">
        <f t="shared" si="2"/>
        <v/>
      </c>
      <c r="V82" s="35" t="str">
        <f>IF(OR(L82="",M82=""),"",NETWORKDAYS(L82,M82,Listas!$O$4:$O$22)-1)</f>
        <v/>
      </c>
      <c r="W82" s="35" t="str">
        <f>IF(OR(N82="",O82=""),"",NETWORKDAYS(N82,O82,Listas!$O$4:$O$22)-1)</f>
        <v/>
      </c>
    </row>
    <row r="83" ht="15.75" customHeight="1">
      <c r="A83" s="18"/>
      <c r="B83" s="18"/>
      <c r="C83" s="32"/>
      <c r="D83" s="18"/>
      <c r="E83" s="32"/>
      <c r="F83" s="32"/>
      <c r="G83" s="32"/>
      <c r="H83" s="33"/>
      <c r="I83" s="34"/>
      <c r="J83" s="34"/>
      <c r="K83" s="34"/>
      <c r="L83" s="34"/>
      <c r="M83" s="34"/>
      <c r="N83" s="34"/>
      <c r="O83" s="34"/>
      <c r="P83" s="34"/>
      <c r="Q83" s="32"/>
      <c r="R83" s="35" t="str">
        <f t="shared" si="1"/>
        <v/>
      </c>
      <c r="S83" s="35" t="str">
        <f>IF(OR(K83="",P83=""),"",NETWORKDAYS(K83,P83,Listas!$O$4:$O$22)-1)</f>
        <v/>
      </c>
      <c r="T83" s="35" t="str">
        <f t="array" ref="T83">IFERROR(INDEX(Listas!$C$4:$C$13,MATCH(E83,Listas!$B$4:$B$13,0)),"")</f>
        <v/>
      </c>
      <c r="U83" s="35" t="str">
        <f t="shared" si="2"/>
        <v/>
      </c>
      <c r="V83" s="35" t="str">
        <f>IF(OR(L83="",M83=""),"",NETWORKDAYS(L83,M83,Listas!$O$4:$O$22)-1)</f>
        <v/>
      </c>
      <c r="W83" s="35" t="str">
        <f>IF(OR(N83="",O83=""),"",NETWORKDAYS(N83,O83,Listas!$O$4:$O$22)-1)</f>
        <v/>
      </c>
    </row>
    <row r="84" ht="15.75" customHeight="1">
      <c r="A84" s="18"/>
      <c r="B84" s="18"/>
      <c r="C84" s="32"/>
      <c r="D84" s="18"/>
      <c r="E84" s="32"/>
      <c r="F84" s="32"/>
      <c r="G84" s="32"/>
      <c r="H84" s="33"/>
      <c r="I84" s="34"/>
      <c r="J84" s="34"/>
      <c r="K84" s="34"/>
      <c r="L84" s="34"/>
      <c r="M84" s="34"/>
      <c r="N84" s="34"/>
      <c r="O84" s="34"/>
      <c r="P84" s="34"/>
      <c r="Q84" s="32"/>
      <c r="R84" s="35" t="str">
        <f t="shared" si="1"/>
        <v/>
      </c>
      <c r="S84" s="35" t="str">
        <f>IF(OR(K84="",P84=""),"",NETWORKDAYS(K84,P84,Listas!$O$4:$O$22)-1)</f>
        <v/>
      </c>
      <c r="T84" s="35" t="str">
        <f t="array" ref="T84">IFERROR(INDEX(Listas!$C$4:$C$13,MATCH(E84,Listas!$B$4:$B$13,0)),"")</f>
        <v/>
      </c>
      <c r="U84" s="35" t="str">
        <f t="shared" si="2"/>
        <v/>
      </c>
      <c r="V84" s="35" t="str">
        <f>IF(OR(L84="",M84=""),"",NETWORKDAYS(L84,M84,Listas!$O$4:$O$22)-1)</f>
        <v/>
      </c>
      <c r="W84" s="35" t="str">
        <f>IF(OR(N84="",O84=""),"",NETWORKDAYS(N84,O84,Listas!$O$4:$O$22)-1)</f>
        <v/>
      </c>
    </row>
    <row r="85" ht="15.75" customHeight="1">
      <c r="A85" s="18"/>
      <c r="B85" s="18"/>
      <c r="C85" s="32"/>
      <c r="D85" s="18"/>
      <c r="E85" s="32"/>
      <c r="F85" s="32"/>
      <c r="G85" s="32"/>
      <c r="H85" s="33"/>
      <c r="I85" s="34"/>
      <c r="J85" s="34"/>
      <c r="K85" s="34"/>
      <c r="L85" s="34"/>
      <c r="M85" s="34"/>
      <c r="N85" s="34"/>
      <c r="O85" s="34"/>
      <c r="P85" s="34"/>
      <c r="Q85" s="32"/>
      <c r="R85" s="35" t="str">
        <f t="shared" si="1"/>
        <v/>
      </c>
      <c r="S85" s="35" t="str">
        <f>IF(OR(K85="",P85=""),"",NETWORKDAYS(K85,P85,Listas!$O$4:$O$22)-1)</f>
        <v/>
      </c>
      <c r="T85" s="35" t="str">
        <f t="array" ref="T85">IFERROR(INDEX(Listas!$C$4:$C$13,MATCH(E85,Listas!$B$4:$B$13,0)),"")</f>
        <v/>
      </c>
      <c r="U85" s="35" t="str">
        <f t="shared" si="2"/>
        <v/>
      </c>
      <c r="V85" s="35" t="str">
        <f>IF(OR(L85="",M85=""),"",NETWORKDAYS(L85,M85,Listas!$O$4:$O$22)-1)</f>
        <v/>
      </c>
      <c r="W85" s="35" t="str">
        <f>IF(OR(N85="",O85=""),"",NETWORKDAYS(N85,O85,Listas!$O$4:$O$22)-1)</f>
        <v/>
      </c>
    </row>
    <row r="86" ht="15.75" customHeight="1">
      <c r="A86" s="18"/>
      <c r="B86" s="18"/>
      <c r="C86" s="32"/>
      <c r="D86" s="18"/>
      <c r="E86" s="32"/>
      <c r="F86" s="32"/>
      <c r="G86" s="32"/>
      <c r="H86" s="33"/>
      <c r="I86" s="34"/>
      <c r="J86" s="34"/>
      <c r="K86" s="34"/>
      <c r="L86" s="34"/>
      <c r="M86" s="34"/>
      <c r="N86" s="34"/>
      <c r="O86" s="34"/>
      <c r="P86" s="34"/>
      <c r="Q86" s="32"/>
      <c r="R86" s="35" t="str">
        <f t="shared" si="1"/>
        <v/>
      </c>
      <c r="S86" s="35" t="str">
        <f>IF(OR(K86="",P86=""),"",NETWORKDAYS(K86,P86,Listas!$O$4:$O$22)-1)</f>
        <v/>
      </c>
      <c r="T86" s="35" t="str">
        <f t="array" ref="T86">IFERROR(INDEX(Listas!$C$4:$C$13,MATCH(E86,Listas!$B$4:$B$13,0)),"")</f>
        <v/>
      </c>
      <c r="U86" s="35" t="str">
        <f t="shared" si="2"/>
        <v/>
      </c>
      <c r="V86" s="35" t="str">
        <f>IF(OR(L86="",M86=""),"",NETWORKDAYS(L86,M86,Listas!$O$4:$O$22)-1)</f>
        <v/>
      </c>
      <c r="W86" s="35" t="str">
        <f>IF(OR(N86="",O86=""),"",NETWORKDAYS(N86,O86,Listas!$O$4:$O$22)-1)</f>
        <v/>
      </c>
    </row>
    <row r="87" ht="15.75" customHeight="1">
      <c r="A87" s="18"/>
      <c r="B87" s="18"/>
      <c r="C87" s="32"/>
      <c r="D87" s="18"/>
      <c r="E87" s="32"/>
      <c r="F87" s="32"/>
      <c r="G87" s="32"/>
      <c r="H87" s="33"/>
      <c r="I87" s="34"/>
      <c r="J87" s="34"/>
      <c r="K87" s="34"/>
      <c r="L87" s="34"/>
      <c r="M87" s="34"/>
      <c r="N87" s="34"/>
      <c r="O87" s="34"/>
      <c r="P87" s="34"/>
      <c r="Q87" s="32"/>
      <c r="R87" s="35" t="str">
        <f t="shared" si="1"/>
        <v/>
      </c>
      <c r="S87" s="35" t="str">
        <f>IF(OR(K87="",P87=""),"",NETWORKDAYS(K87,P87,Listas!$O$4:$O$22)-1)</f>
        <v/>
      </c>
      <c r="T87" s="35" t="str">
        <f t="array" ref="T87">IFERROR(INDEX(Listas!$C$4:$C$13,MATCH(E87,Listas!$B$4:$B$13,0)),"")</f>
        <v/>
      </c>
      <c r="U87" s="35" t="str">
        <f t="shared" si="2"/>
        <v/>
      </c>
      <c r="V87" s="35" t="str">
        <f>IF(OR(L87="",M87=""),"",NETWORKDAYS(L87,M87,Listas!$O$4:$O$22)-1)</f>
        <v/>
      </c>
      <c r="W87" s="35" t="str">
        <f>IF(OR(N87="",O87=""),"",NETWORKDAYS(N87,O87,Listas!$O$4:$O$22)-1)</f>
        <v/>
      </c>
    </row>
    <row r="88" ht="15.75" customHeight="1">
      <c r="A88" s="18"/>
      <c r="B88" s="18"/>
      <c r="C88" s="32"/>
      <c r="D88" s="18"/>
      <c r="E88" s="32"/>
      <c r="F88" s="32"/>
      <c r="G88" s="32"/>
      <c r="H88" s="33"/>
      <c r="I88" s="34"/>
      <c r="J88" s="34"/>
      <c r="K88" s="34"/>
      <c r="L88" s="34"/>
      <c r="M88" s="34"/>
      <c r="N88" s="34"/>
      <c r="O88" s="34"/>
      <c r="P88" s="34"/>
      <c r="Q88" s="32"/>
      <c r="R88" s="35" t="str">
        <f t="shared" si="1"/>
        <v/>
      </c>
      <c r="S88" s="35" t="str">
        <f>IF(OR(K88="",P88=""),"",NETWORKDAYS(K88,P88,Listas!$O$4:$O$22)-1)</f>
        <v/>
      </c>
      <c r="T88" s="35" t="str">
        <f t="array" ref="T88">IFERROR(INDEX(Listas!$C$4:$C$13,MATCH(E88,Listas!$B$4:$B$13,0)),"")</f>
        <v/>
      </c>
      <c r="U88" s="35" t="str">
        <f t="shared" si="2"/>
        <v/>
      </c>
      <c r="V88" s="35" t="str">
        <f>IF(OR(L88="",M88=""),"",NETWORKDAYS(L88,M88,Listas!$O$4:$O$22)-1)</f>
        <v/>
      </c>
      <c r="W88" s="35" t="str">
        <f>IF(OR(N88="",O88=""),"",NETWORKDAYS(N88,O88,Listas!$O$4:$O$22)-1)</f>
        <v/>
      </c>
    </row>
    <row r="89" ht="15.75" customHeight="1">
      <c r="A89" s="18"/>
      <c r="B89" s="18"/>
      <c r="C89" s="32"/>
      <c r="D89" s="18"/>
      <c r="E89" s="32"/>
      <c r="F89" s="32"/>
      <c r="G89" s="32"/>
      <c r="H89" s="33"/>
      <c r="I89" s="34"/>
      <c r="J89" s="34"/>
      <c r="K89" s="34"/>
      <c r="L89" s="34"/>
      <c r="M89" s="34"/>
      <c r="N89" s="34"/>
      <c r="O89" s="34"/>
      <c r="P89" s="34"/>
      <c r="Q89" s="32"/>
      <c r="R89" s="35" t="str">
        <f t="shared" si="1"/>
        <v/>
      </c>
      <c r="S89" s="35" t="str">
        <f>IF(OR(K89="",P89=""),"",NETWORKDAYS(K89,P89,Listas!$O$4:$O$22)-1)</f>
        <v/>
      </c>
      <c r="T89" s="35" t="str">
        <f t="array" ref="T89">IFERROR(INDEX(Listas!$C$4:$C$13,MATCH(E89,Listas!$B$4:$B$13,0)),"")</f>
        <v/>
      </c>
      <c r="U89" s="35" t="str">
        <f t="shared" si="2"/>
        <v/>
      </c>
      <c r="V89" s="35" t="str">
        <f>IF(OR(L89="",M89=""),"",NETWORKDAYS(L89,M89,Listas!$O$4:$O$22)-1)</f>
        <v/>
      </c>
      <c r="W89" s="35" t="str">
        <f>IF(OR(N89="",O89=""),"",NETWORKDAYS(N89,O89,Listas!$O$4:$O$22)-1)</f>
        <v/>
      </c>
    </row>
    <row r="90" ht="15.75" customHeight="1">
      <c r="A90" s="18"/>
      <c r="B90" s="18"/>
      <c r="C90" s="32"/>
      <c r="D90" s="18"/>
      <c r="E90" s="32"/>
      <c r="F90" s="32"/>
      <c r="G90" s="32"/>
      <c r="H90" s="33"/>
      <c r="I90" s="34"/>
      <c r="J90" s="34"/>
      <c r="K90" s="34"/>
      <c r="L90" s="34"/>
      <c r="M90" s="34"/>
      <c r="N90" s="34"/>
      <c r="O90" s="34"/>
      <c r="P90" s="34"/>
      <c r="Q90" s="32"/>
      <c r="R90" s="35" t="str">
        <f t="shared" si="1"/>
        <v/>
      </c>
      <c r="S90" s="35" t="str">
        <f>IF(OR(K90="",P90=""),"",NETWORKDAYS(K90,P90,Listas!$O$4:$O$22)-1)</f>
        <v/>
      </c>
      <c r="T90" s="35" t="str">
        <f t="array" ref="T90">IFERROR(INDEX(Listas!$C$4:$C$13,MATCH(E90,Listas!$B$4:$B$13,0)),"")</f>
        <v/>
      </c>
      <c r="U90" s="35" t="str">
        <f t="shared" si="2"/>
        <v/>
      </c>
      <c r="V90" s="35" t="str">
        <f>IF(OR(L90="",M90=""),"",NETWORKDAYS(L90,M90,Listas!$O$4:$O$22)-1)</f>
        <v/>
      </c>
      <c r="W90" s="35" t="str">
        <f>IF(OR(N90="",O90=""),"",NETWORKDAYS(N90,O90,Listas!$O$4:$O$22)-1)</f>
        <v/>
      </c>
    </row>
    <row r="91" ht="15.75" customHeight="1">
      <c r="A91" s="18"/>
      <c r="B91" s="18"/>
      <c r="C91" s="32"/>
      <c r="D91" s="18"/>
      <c r="E91" s="32"/>
      <c r="F91" s="32"/>
      <c r="G91" s="32"/>
      <c r="H91" s="33"/>
      <c r="I91" s="34"/>
      <c r="J91" s="34"/>
      <c r="K91" s="34"/>
      <c r="L91" s="34"/>
      <c r="M91" s="34"/>
      <c r="N91" s="34"/>
      <c r="O91" s="34"/>
      <c r="P91" s="34"/>
      <c r="Q91" s="32"/>
      <c r="R91" s="35" t="str">
        <f t="shared" si="1"/>
        <v/>
      </c>
      <c r="S91" s="35" t="str">
        <f>IF(OR(K91="",P91=""),"",NETWORKDAYS(K91,P91,Listas!$O$4:$O$22)-1)</f>
        <v/>
      </c>
      <c r="T91" s="35" t="str">
        <f t="array" ref="T91">IFERROR(INDEX(Listas!$C$4:$C$13,MATCH(E91,Listas!$B$4:$B$13,0)),"")</f>
        <v/>
      </c>
      <c r="U91" s="35" t="str">
        <f t="shared" si="2"/>
        <v/>
      </c>
      <c r="V91" s="35" t="str">
        <f>IF(OR(L91="",M91=""),"",NETWORKDAYS(L91,M91,Listas!$O$4:$O$22)-1)</f>
        <v/>
      </c>
      <c r="W91" s="35" t="str">
        <f>IF(OR(N91="",O91=""),"",NETWORKDAYS(N91,O91,Listas!$O$4:$O$22)-1)</f>
        <v/>
      </c>
    </row>
    <row r="92" ht="15.75" customHeight="1">
      <c r="A92" s="18"/>
      <c r="B92" s="18"/>
      <c r="C92" s="32"/>
      <c r="D92" s="18"/>
      <c r="E92" s="32"/>
      <c r="F92" s="32"/>
      <c r="G92" s="32"/>
      <c r="H92" s="33"/>
      <c r="I92" s="34"/>
      <c r="J92" s="34"/>
      <c r="K92" s="34"/>
      <c r="L92" s="34"/>
      <c r="M92" s="34"/>
      <c r="N92" s="34"/>
      <c r="O92" s="34"/>
      <c r="P92" s="34"/>
      <c r="Q92" s="32"/>
      <c r="R92" s="35" t="str">
        <f t="shared" si="1"/>
        <v/>
      </c>
      <c r="S92" s="35" t="str">
        <f>IF(OR(K92="",P92=""),"",NETWORKDAYS(K92,P92,Listas!$O$4:$O$22)-1)</f>
        <v/>
      </c>
      <c r="T92" s="35" t="str">
        <f t="array" ref="T92">IFERROR(INDEX(Listas!$C$4:$C$13,MATCH(E92,Listas!$B$4:$B$13,0)),"")</f>
        <v/>
      </c>
      <c r="U92" s="35" t="str">
        <f t="shared" si="2"/>
        <v/>
      </c>
      <c r="V92" s="35" t="str">
        <f>IF(OR(L92="",M92=""),"",NETWORKDAYS(L92,M92,Listas!$O$4:$O$22)-1)</f>
        <v/>
      </c>
      <c r="W92" s="35" t="str">
        <f>IF(OR(N92="",O92=""),"",NETWORKDAYS(N92,O92,Listas!$O$4:$O$22)-1)</f>
        <v/>
      </c>
    </row>
    <row r="93" ht="15.75" customHeight="1">
      <c r="A93" s="18"/>
      <c r="B93" s="18"/>
      <c r="C93" s="32"/>
      <c r="D93" s="18"/>
      <c r="E93" s="32"/>
      <c r="F93" s="32"/>
      <c r="G93" s="32"/>
      <c r="H93" s="33"/>
      <c r="I93" s="34"/>
      <c r="J93" s="34"/>
      <c r="K93" s="34"/>
      <c r="L93" s="34"/>
      <c r="M93" s="34"/>
      <c r="N93" s="34"/>
      <c r="O93" s="34"/>
      <c r="P93" s="34"/>
      <c r="Q93" s="32"/>
      <c r="R93" s="35" t="str">
        <f t="shared" si="1"/>
        <v/>
      </c>
      <c r="S93" s="35" t="str">
        <f>IF(OR(K93="",P93=""),"",NETWORKDAYS(K93,P93,Listas!$O$4:$O$22)-1)</f>
        <v/>
      </c>
      <c r="T93" s="35" t="str">
        <f t="array" ref="T93">IFERROR(INDEX(Listas!$C$4:$C$13,MATCH(E93,Listas!$B$4:$B$13,0)),"")</f>
        <v/>
      </c>
      <c r="U93" s="35" t="str">
        <f t="shared" si="2"/>
        <v/>
      </c>
      <c r="V93" s="35" t="str">
        <f>IF(OR(L93="",M93=""),"",NETWORKDAYS(L93,M93,Listas!$O$4:$O$22)-1)</f>
        <v/>
      </c>
      <c r="W93" s="35" t="str">
        <f>IF(OR(N93="",O93=""),"",NETWORKDAYS(N93,O93,Listas!$O$4:$O$22)-1)</f>
        <v/>
      </c>
    </row>
    <row r="94" ht="15.75" customHeight="1">
      <c r="A94" s="18"/>
      <c r="B94" s="18"/>
      <c r="C94" s="32"/>
      <c r="D94" s="18"/>
      <c r="E94" s="32"/>
      <c r="F94" s="32"/>
      <c r="G94" s="32"/>
      <c r="H94" s="33"/>
      <c r="I94" s="34"/>
      <c r="J94" s="34"/>
      <c r="K94" s="34"/>
      <c r="L94" s="34"/>
      <c r="M94" s="34"/>
      <c r="N94" s="34"/>
      <c r="O94" s="34"/>
      <c r="P94" s="34"/>
      <c r="Q94" s="32"/>
      <c r="R94" s="35" t="str">
        <f t="shared" si="1"/>
        <v/>
      </c>
      <c r="S94" s="35" t="str">
        <f>IF(OR(K94="",P94=""),"",NETWORKDAYS(K94,P94,Listas!$O$4:$O$22)-1)</f>
        <v/>
      </c>
      <c r="T94" s="35" t="str">
        <f t="array" ref="T94">IFERROR(INDEX(Listas!$C$4:$C$13,MATCH(E94,Listas!$B$4:$B$13,0)),"")</f>
        <v/>
      </c>
      <c r="U94" s="35" t="str">
        <f t="shared" si="2"/>
        <v/>
      </c>
      <c r="V94" s="35" t="str">
        <f>IF(OR(L94="",M94=""),"",NETWORKDAYS(L94,M94,Listas!$O$4:$O$22)-1)</f>
        <v/>
      </c>
      <c r="W94" s="35" t="str">
        <f>IF(OR(N94="",O94=""),"",NETWORKDAYS(N94,O94,Listas!$O$4:$O$22)-1)</f>
        <v/>
      </c>
    </row>
    <row r="95" ht="15.75" customHeight="1">
      <c r="A95" s="18"/>
      <c r="B95" s="18"/>
      <c r="C95" s="32"/>
      <c r="D95" s="18"/>
      <c r="E95" s="32"/>
      <c r="F95" s="32"/>
      <c r="G95" s="32"/>
      <c r="H95" s="33"/>
      <c r="I95" s="34"/>
      <c r="J95" s="34"/>
      <c r="K95" s="34"/>
      <c r="L95" s="34"/>
      <c r="M95" s="34"/>
      <c r="N95" s="34"/>
      <c r="O95" s="34"/>
      <c r="P95" s="34"/>
      <c r="Q95" s="32"/>
      <c r="R95" s="35" t="str">
        <f t="shared" si="1"/>
        <v/>
      </c>
      <c r="S95" s="35" t="str">
        <f>IF(OR(K95="",P95=""),"",NETWORKDAYS(K95,P95,Listas!$O$4:$O$22)-1)</f>
        <v/>
      </c>
      <c r="T95" s="35" t="str">
        <f t="array" ref="T95">IFERROR(INDEX(Listas!$C$4:$C$13,MATCH(E95,Listas!$B$4:$B$13,0)),"")</f>
        <v/>
      </c>
      <c r="U95" s="35" t="str">
        <f t="shared" si="2"/>
        <v/>
      </c>
      <c r="V95" s="35" t="str">
        <f>IF(OR(L95="",M95=""),"",NETWORKDAYS(L95,M95,Listas!$O$4:$O$22)-1)</f>
        <v/>
      </c>
      <c r="W95" s="35" t="str">
        <f>IF(OR(N95="",O95=""),"",NETWORKDAYS(N95,O95,Listas!$O$4:$O$22)-1)</f>
        <v/>
      </c>
    </row>
    <row r="96" ht="15.75" customHeight="1">
      <c r="A96" s="18"/>
      <c r="B96" s="18"/>
      <c r="C96" s="32"/>
      <c r="D96" s="18"/>
      <c r="E96" s="32"/>
      <c r="F96" s="32"/>
      <c r="G96" s="32"/>
      <c r="H96" s="33"/>
      <c r="I96" s="34"/>
      <c r="J96" s="34"/>
      <c r="K96" s="34"/>
      <c r="L96" s="34"/>
      <c r="M96" s="34"/>
      <c r="N96" s="34"/>
      <c r="O96" s="34"/>
      <c r="P96" s="34"/>
      <c r="Q96" s="32"/>
      <c r="R96" s="35" t="str">
        <f t="shared" si="1"/>
        <v/>
      </c>
      <c r="S96" s="35" t="str">
        <f>IF(OR(K96="",P96=""),"",NETWORKDAYS(K96,P96,Listas!$O$4:$O$22)-1)</f>
        <v/>
      </c>
      <c r="T96" s="35" t="str">
        <f t="array" ref="T96">IFERROR(INDEX(Listas!$C$4:$C$13,MATCH(E96,Listas!$B$4:$B$13,0)),"")</f>
        <v/>
      </c>
      <c r="U96" s="35" t="str">
        <f t="shared" si="2"/>
        <v/>
      </c>
      <c r="V96" s="35" t="str">
        <f>IF(OR(L96="",M96=""),"",NETWORKDAYS(L96,M96,Listas!$O$4:$O$22)-1)</f>
        <v/>
      </c>
      <c r="W96" s="35" t="str">
        <f>IF(OR(N96="",O96=""),"",NETWORKDAYS(N96,O96,Listas!$O$4:$O$22)-1)</f>
        <v/>
      </c>
    </row>
    <row r="97" ht="15.75" customHeight="1">
      <c r="A97" s="18"/>
      <c r="B97" s="18"/>
      <c r="C97" s="32"/>
      <c r="D97" s="18"/>
      <c r="E97" s="32"/>
      <c r="F97" s="32"/>
      <c r="G97" s="32"/>
      <c r="H97" s="33"/>
      <c r="I97" s="34"/>
      <c r="J97" s="34"/>
      <c r="K97" s="34"/>
      <c r="L97" s="34"/>
      <c r="M97" s="34"/>
      <c r="N97" s="34"/>
      <c r="O97" s="34"/>
      <c r="P97" s="34"/>
      <c r="Q97" s="32"/>
      <c r="R97" s="35" t="str">
        <f t="shared" si="1"/>
        <v/>
      </c>
      <c r="S97" s="35" t="str">
        <f>IF(OR(K97="",P97=""),"",NETWORKDAYS(K97,P97,Listas!$O$4:$O$22)-1)</f>
        <v/>
      </c>
      <c r="T97" s="35" t="str">
        <f t="array" ref="T97">IFERROR(INDEX(Listas!$C$4:$C$13,MATCH(E97,Listas!$B$4:$B$13,0)),"")</f>
        <v/>
      </c>
      <c r="U97" s="35" t="str">
        <f t="shared" si="2"/>
        <v/>
      </c>
      <c r="V97" s="35" t="str">
        <f>IF(OR(L97="",M97=""),"",NETWORKDAYS(L97,M97,Listas!$O$4:$O$22)-1)</f>
        <v/>
      </c>
      <c r="W97" s="35" t="str">
        <f>IF(OR(N97="",O97=""),"",NETWORKDAYS(N97,O97,Listas!$O$4:$O$22)-1)</f>
        <v/>
      </c>
    </row>
    <row r="98" ht="15.75" customHeight="1">
      <c r="A98" s="18"/>
      <c r="B98" s="18"/>
      <c r="C98" s="32"/>
      <c r="D98" s="18"/>
      <c r="E98" s="32"/>
      <c r="F98" s="32"/>
      <c r="G98" s="32"/>
      <c r="H98" s="33"/>
      <c r="I98" s="34"/>
      <c r="J98" s="34"/>
      <c r="K98" s="34"/>
      <c r="L98" s="34"/>
      <c r="M98" s="34"/>
      <c r="N98" s="34"/>
      <c r="O98" s="34"/>
      <c r="P98" s="34"/>
      <c r="Q98" s="32"/>
      <c r="R98" s="35" t="str">
        <f t="shared" si="1"/>
        <v/>
      </c>
      <c r="S98" s="35" t="str">
        <f>IF(OR(K98="",P98=""),"",NETWORKDAYS(K98,P98,Listas!$O$4:$O$22)-1)</f>
        <v/>
      </c>
      <c r="T98" s="35" t="str">
        <f t="array" ref="T98">IFERROR(INDEX(Listas!$C$4:$C$13,MATCH(E98,Listas!$B$4:$B$13,0)),"")</f>
        <v/>
      </c>
      <c r="U98" s="35" t="str">
        <f t="shared" si="2"/>
        <v/>
      </c>
      <c r="V98" s="35" t="str">
        <f>IF(OR(L98="",M98=""),"",NETWORKDAYS(L98,M98,Listas!$O$4:$O$22)-1)</f>
        <v/>
      </c>
      <c r="W98" s="35" t="str">
        <f>IF(OR(N98="",O98=""),"",NETWORKDAYS(N98,O98,Listas!$O$4:$O$22)-1)</f>
        <v/>
      </c>
    </row>
    <row r="99" ht="15.75" customHeight="1">
      <c r="A99" s="18"/>
      <c r="B99" s="18"/>
      <c r="C99" s="32"/>
      <c r="D99" s="18"/>
      <c r="E99" s="32"/>
      <c r="F99" s="32"/>
      <c r="G99" s="32"/>
      <c r="H99" s="33"/>
      <c r="I99" s="34"/>
      <c r="J99" s="34"/>
      <c r="K99" s="34"/>
      <c r="L99" s="34"/>
      <c r="M99" s="34"/>
      <c r="N99" s="34"/>
      <c r="O99" s="34"/>
      <c r="P99" s="34"/>
      <c r="Q99" s="32"/>
      <c r="R99" s="35" t="str">
        <f t="shared" si="1"/>
        <v/>
      </c>
      <c r="S99" s="35" t="str">
        <f>IF(OR(K99="",P99=""),"",NETWORKDAYS(K99,P99,Listas!$O$4:$O$22)-1)</f>
        <v/>
      </c>
      <c r="T99" s="35" t="str">
        <f t="array" ref="T99">IFERROR(INDEX(Listas!$C$4:$C$13,MATCH(E99,Listas!$B$4:$B$13,0)),"")</f>
        <v/>
      </c>
      <c r="U99" s="35" t="str">
        <f t="shared" si="2"/>
        <v/>
      </c>
      <c r="V99" s="35" t="str">
        <f>IF(OR(L99="",M99=""),"",NETWORKDAYS(L99,M99,Listas!$O$4:$O$22)-1)</f>
        <v/>
      </c>
      <c r="W99" s="35" t="str">
        <f>IF(OR(N99="",O99=""),"",NETWORKDAYS(N99,O99,Listas!$O$4:$O$22)-1)</f>
        <v/>
      </c>
    </row>
    <row r="100" ht="15.75" customHeight="1">
      <c r="A100" s="18"/>
      <c r="B100" s="18"/>
      <c r="C100" s="32"/>
      <c r="D100" s="18"/>
      <c r="E100" s="32"/>
      <c r="F100" s="32"/>
      <c r="G100" s="32"/>
      <c r="H100" s="33"/>
      <c r="I100" s="34"/>
      <c r="J100" s="34"/>
      <c r="K100" s="34"/>
      <c r="L100" s="34"/>
      <c r="M100" s="34"/>
      <c r="N100" s="34"/>
      <c r="O100" s="34"/>
      <c r="P100" s="34"/>
      <c r="Q100" s="32"/>
      <c r="R100" s="35" t="str">
        <f t="shared" si="1"/>
        <v/>
      </c>
      <c r="S100" s="35" t="str">
        <f>IF(OR(K100="",P100=""),"",NETWORKDAYS(K100,P100,Listas!$O$4:$O$22)-1)</f>
        <v/>
      </c>
      <c r="T100" s="35" t="str">
        <f t="array" ref="T100">IFERROR(INDEX(Listas!$C$4:$C$13,MATCH(E100,Listas!$B$4:$B$13,0)),"")</f>
        <v/>
      </c>
      <c r="U100" s="35" t="str">
        <f t="shared" si="2"/>
        <v/>
      </c>
      <c r="V100" s="35" t="str">
        <f>IF(OR(L100="",M100=""),"",NETWORKDAYS(L100,M100,Listas!$O$4:$O$22)-1)</f>
        <v/>
      </c>
      <c r="W100" s="35" t="str">
        <f>IF(OR(N100="",O100=""),"",NETWORKDAYS(N100,O100,Listas!$O$4:$O$22)-1)</f>
        <v/>
      </c>
    </row>
    <row r="101" ht="15.75" customHeight="1">
      <c r="A101" s="18"/>
      <c r="B101" s="18"/>
      <c r="C101" s="32"/>
      <c r="D101" s="18"/>
      <c r="E101" s="32"/>
      <c r="F101" s="32"/>
      <c r="G101" s="32"/>
      <c r="H101" s="33"/>
      <c r="I101" s="34"/>
      <c r="J101" s="34"/>
      <c r="K101" s="34"/>
      <c r="L101" s="34"/>
      <c r="M101" s="34"/>
      <c r="N101" s="34"/>
      <c r="O101" s="34"/>
      <c r="P101" s="34"/>
      <c r="Q101" s="32"/>
      <c r="R101" s="35" t="str">
        <f t="shared" si="1"/>
        <v/>
      </c>
      <c r="S101" s="35" t="str">
        <f>IF(OR(K101="",P101=""),"",NETWORKDAYS(K101,P101,Listas!$O$4:$O$22)-1)</f>
        <v/>
      </c>
      <c r="T101" s="35" t="str">
        <f t="array" ref="T101">IFERROR(INDEX(Listas!$C$4:$C$13,MATCH(E101,Listas!$B$4:$B$13,0)),"")</f>
        <v/>
      </c>
      <c r="U101" s="35" t="str">
        <f t="shared" si="2"/>
        <v/>
      </c>
      <c r="V101" s="35" t="str">
        <f>IF(OR(L101="",M101=""),"",NETWORKDAYS(L101,M101,Listas!$O$4:$O$22)-1)</f>
        <v/>
      </c>
      <c r="W101" s="35" t="str">
        <f>IF(OR(N101="",O101=""),"",NETWORKDAYS(N101,O101,Listas!$O$4:$O$22)-1)</f>
        <v/>
      </c>
    </row>
    <row r="102" ht="15.75" customHeight="1">
      <c r="A102" s="18"/>
      <c r="B102" s="18"/>
      <c r="C102" s="32"/>
      <c r="D102" s="18"/>
      <c r="E102" s="32"/>
      <c r="F102" s="32"/>
      <c r="G102" s="32"/>
      <c r="H102" s="33"/>
      <c r="I102" s="34"/>
      <c r="J102" s="34"/>
      <c r="K102" s="34"/>
      <c r="L102" s="34"/>
      <c r="M102" s="34"/>
      <c r="N102" s="34"/>
      <c r="O102" s="34"/>
      <c r="P102" s="34"/>
      <c r="Q102" s="32"/>
      <c r="R102" s="35" t="str">
        <f t="shared" si="1"/>
        <v/>
      </c>
      <c r="S102" s="35" t="str">
        <f>IF(OR(K102="",P102=""),"",NETWORKDAYS(K102,P102,Listas!$O$4:$O$22)-1)</f>
        <v/>
      </c>
      <c r="T102" s="35" t="str">
        <f t="array" ref="T102">IFERROR(INDEX(Listas!$C$4:$C$13,MATCH(E102,Listas!$B$4:$B$13,0)),"")</f>
        <v/>
      </c>
      <c r="U102" s="35" t="str">
        <f t="shared" si="2"/>
        <v/>
      </c>
      <c r="V102" s="35" t="str">
        <f>IF(OR(L102="",M102=""),"",NETWORKDAYS(L102,M102,Listas!$O$4:$O$22)-1)</f>
        <v/>
      </c>
      <c r="W102" s="35" t="str">
        <f>IF(OR(N102="",O102=""),"",NETWORKDAYS(N102,O102,Listas!$O$4:$O$22)-1)</f>
        <v/>
      </c>
    </row>
    <row r="103" ht="15.75" customHeight="1">
      <c r="A103" s="18"/>
      <c r="B103" s="18"/>
      <c r="C103" s="32"/>
      <c r="D103" s="18"/>
      <c r="E103" s="32"/>
      <c r="F103" s="32"/>
      <c r="G103" s="32"/>
      <c r="H103" s="33"/>
      <c r="I103" s="34"/>
      <c r="J103" s="34"/>
      <c r="K103" s="34"/>
      <c r="L103" s="34"/>
      <c r="M103" s="34"/>
      <c r="N103" s="34"/>
      <c r="O103" s="34"/>
      <c r="P103" s="34"/>
      <c r="Q103" s="32"/>
      <c r="R103" s="35" t="str">
        <f t="shared" si="1"/>
        <v/>
      </c>
      <c r="S103" s="35" t="str">
        <f>IF(OR(K103="",P103=""),"",NETWORKDAYS(K103,P103,Listas!$O$4:$O$22)-1)</f>
        <v/>
      </c>
      <c r="T103" s="35" t="str">
        <f t="array" ref="T103">IFERROR(INDEX(Listas!$C$4:$C$13,MATCH(E103,Listas!$B$4:$B$13,0)),"")</f>
        <v/>
      </c>
      <c r="U103" s="35" t="str">
        <f t="shared" si="2"/>
        <v/>
      </c>
      <c r="V103" s="35" t="str">
        <f>IF(OR(L103="",M103=""),"",NETWORKDAYS(L103,M103,Listas!$O$4:$O$22)-1)</f>
        <v/>
      </c>
      <c r="W103" s="35" t="str">
        <f>IF(OR(N103="",O103=""),"",NETWORKDAYS(N103,O103,Listas!$O$4:$O$22)-1)</f>
        <v/>
      </c>
    </row>
    <row r="104" ht="15.75" customHeight="1">
      <c r="A104" s="18"/>
      <c r="B104" s="18"/>
      <c r="C104" s="32"/>
      <c r="D104" s="18"/>
      <c r="E104" s="32"/>
      <c r="F104" s="32"/>
      <c r="G104" s="32"/>
      <c r="H104" s="33"/>
      <c r="I104" s="34"/>
      <c r="J104" s="34"/>
      <c r="K104" s="34"/>
      <c r="L104" s="34"/>
      <c r="M104" s="34"/>
      <c r="N104" s="34"/>
      <c r="O104" s="34"/>
      <c r="P104" s="34"/>
      <c r="Q104" s="32"/>
      <c r="R104" s="35" t="str">
        <f t="shared" si="1"/>
        <v/>
      </c>
      <c r="S104" s="35" t="str">
        <f>IF(OR(K104="",P104=""),"",NETWORKDAYS(K104,P104,Listas!$O$4:$O$22)-1)</f>
        <v/>
      </c>
      <c r="T104" s="35" t="str">
        <f t="array" ref="T104">IFERROR(INDEX(Listas!$C$4:$C$13,MATCH(E104,Listas!$B$4:$B$13,0)),"")</f>
        <v/>
      </c>
      <c r="U104" s="35" t="str">
        <f t="shared" si="2"/>
        <v/>
      </c>
      <c r="V104" s="35" t="str">
        <f>IF(OR(L104="",M104=""),"",NETWORKDAYS(L104,M104,Listas!$O$4:$O$22)-1)</f>
        <v/>
      </c>
      <c r="W104" s="35" t="str">
        <f>IF(OR(N104="",O104=""),"",NETWORKDAYS(N104,O104,Listas!$O$4:$O$22)-1)</f>
        <v/>
      </c>
    </row>
    <row r="105" ht="15.75" customHeight="1">
      <c r="A105" s="18"/>
      <c r="B105" s="18"/>
      <c r="C105" s="32"/>
      <c r="D105" s="18"/>
      <c r="E105" s="32"/>
      <c r="F105" s="32"/>
      <c r="G105" s="32"/>
      <c r="H105" s="33"/>
      <c r="I105" s="34"/>
      <c r="J105" s="34"/>
      <c r="K105" s="34"/>
      <c r="L105" s="34"/>
      <c r="M105" s="34"/>
      <c r="N105" s="34"/>
      <c r="O105" s="34"/>
      <c r="P105" s="34"/>
      <c r="Q105" s="32"/>
      <c r="R105" s="35" t="str">
        <f t="shared" si="1"/>
        <v/>
      </c>
      <c r="S105" s="35" t="str">
        <f>IF(OR(K105="",P105=""),"",NETWORKDAYS(K105,P105,Listas!$O$4:$O$22)-1)</f>
        <v/>
      </c>
      <c r="T105" s="35" t="str">
        <f t="array" ref="T105">IFERROR(INDEX(Listas!$C$4:$C$13,MATCH(E105,Listas!$B$4:$B$13,0)),"")</f>
        <v/>
      </c>
      <c r="U105" s="35" t="str">
        <f t="shared" si="2"/>
        <v/>
      </c>
      <c r="V105" s="35" t="str">
        <f>IF(OR(L105="",M105=""),"",NETWORKDAYS(L105,M105,Listas!$O$4:$O$22)-1)</f>
        <v/>
      </c>
      <c r="W105" s="35" t="str">
        <f>IF(OR(N105="",O105=""),"",NETWORKDAYS(N105,O105,Listas!$O$4:$O$22)-1)</f>
        <v/>
      </c>
    </row>
    <row r="106" ht="15.75" customHeight="1">
      <c r="A106" s="18"/>
      <c r="B106" s="18"/>
      <c r="C106" s="32"/>
      <c r="D106" s="18"/>
      <c r="E106" s="32"/>
      <c r="F106" s="32"/>
      <c r="G106" s="32"/>
      <c r="H106" s="33"/>
      <c r="I106" s="34"/>
      <c r="J106" s="34"/>
      <c r="K106" s="34"/>
      <c r="L106" s="34"/>
      <c r="M106" s="34"/>
      <c r="N106" s="34"/>
      <c r="O106" s="34"/>
      <c r="P106" s="34"/>
      <c r="Q106" s="32"/>
      <c r="R106" s="35" t="str">
        <f t="shared" si="1"/>
        <v/>
      </c>
      <c r="S106" s="35" t="str">
        <f>IF(OR(K106="",P106=""),"",NETWORKDAYS(K106,P106,Listas!$O$4:$O$22)-1)</f>
        <v/>
      </c>
      <c r="T106" s="35" t="str">
        <f t="array" ref="T106">IFERROR(INDEX(Listas!$C$4:$C$13,MATCH(E106,Listas!$B$4:$B$13,0)),"")</f>
        <v/>
      </c>
      <c r="U106" s="35" t="str">
        <f t="shared" si="2"/>
        <v/>
      </c>
      <c r="V106" s="35" t="str">
        <f>IF(OR(L106="",M106=""),"",NETWORKDAYS(L106,M106,Listas!$O$4:$O$22)-1)</f>
        <v/>
      </c>
      <c r="W106" s="35" t="str">
        <f>IF(OR(N106="",O106=""),"",NETWORKDAYS(N106,O106,Listas!$O$4:$O$22)-1)</f>
        <v/>
      </c>
    </row>
    <row r="107" ht="15.75" customHeight="1">
      <c r="A107" s="18"/>
      <c r="B107" s="18"/>
      <c r="C107" s="32"/>
      <c r="D107" s="18"/>
      <c r="E107" s="32"/>
      <c r="F107" s="32"/>
      <c r="G107" s="32"/>
      <c r="H107" s="33"/>
      <c r="I107" s="34"/>
      <c r="J107" s="34"/>
      <c r="K107" s="34"/>
      <c r="L107" s="34"/>
      <c r="M107" s="34"/>
      <c r="N107" s="34"/>
      <c r="O107" s="34"/>
      <c r="P107" s="34"/>
      <c r="Q107" s="32"/>
      <c r="R107" s="35" t="str">
        <f t="shared" si="1"/>
        <v/>
      </c>
      <c r="S107" s="35" t="str">
        <f>IF(OR(K107="",P107=""),"",NETWORKDAYS(K107,P107,Listas!$O$4:$O$22)-1)</f>
        <v/>
      </c>
      <c r="T107" s="35" t="str">
        <f t="array" ref="T107">IFERROR(INDEX(Listas!$C$4:$C$13,MATCH(E107,Listas!$B$4:$B$13,0)),"")</f>
        <v/>
      </c>
      <c r="U107" s="35" t="str">
        <f t="shared" si="2"/>
        <v/>
      </c>
      <c r="V107" s="35" t="str">
        <f>IF(OR(L107="",M107=""),"",NETWORKDAYS(L107,M107,Listas!$O$4:$O$22)-1)</f>
        <v/>
      </c>
      <c r="W107" s="35" t="str">
        <f>IF(OR(N107="",O107=""),"",NETWORKDAYS(N107,O107,Listas!$O$4:$O$22)-1)</f>
        <v/>
      </c>
    </row>
    <row r="108" ht="15.75" customHeight="1">
      <c r="A108" s="18"/>
      <c r="B108" s="18"/>
      <c r="C108" s="32"/>
      <c r="D108" s="18"/>
      <c r="E108" s="32"/>
      <c r="F108" s="32"/>
      <c r="G108" s="32"/>
      <c r="H108" s="33"/>
      <c r="I108" s="34"/>
      <c r="J108" s="34"/>
      <c r="K108" s="34"/>
      <c r="L108" s="34"/>
      <c r="M108" s="34"/>
      <c r="N108" s="34"/>
      <c r="O108" s="34"/>
      <c r="P108" s="34"/>
      <c r="Q108" s="32"/>
      <c r="R108" s="35" t="str">
        <f t="shared" si="1"/>
        <v/>
      </c>
      <c r="S108" s="35" t="str">
        <f>IF(OR(K108="",P108=""),"",NETWORKDAYS(K108,P108,Listas!$O$4:$O$22)-1)</f>
        <v/>
      </c>
      <c r="T108" s="35" t="str">
        <f t="array" ref="T108">IFERROR(INDEX(Listas!$C$4:$C$13,MATCH(E108,Listas!$B$4:$B$13,0)),"")</f>
        <v/>
      </c>
      <c r="U108" s="35" t="str">
        <f t="shared" si="2"/>
        <v/>
      </c>
      <c r="V108" s="35" t="str">
        <f>IF(OR(L108="",M108=""),"",NETWORKDAYS(L108,M108,Listas!$O$4:$O$22)-1)</f>
        <v/>
      </c>
      <c r="W108" s="35" t="str">
        <f>IF(OR(N108="",O108=""),"",NETWORKDAYS(N108,O108,Listas!$O$4:$O$22)-1)</f>
        <v/>
      </c>
    </row>
    <row r="109" ht="15.75" customHeight="1">
      <c r="A109" s="18"/>
      <c r="B109" s="18"/>
      <c r="C109" s="32"/>
      <c r="D109" s="18"/>
      <c r="E109" s="32"/>
      <c r="F109" s="32"/>
      <c r="G109" s="32"/>
      <c r="H109" s="33"/>
      <c r="I109" s="34"/>
      <c r="J109" s="34"/>
      <c r="K109" s="34"/>
      <c r="L109" s="34"/>
      <c r="M109" s="34"/>
      <c r="N109" s="34"/>
      <c r="O109" s="34"/>
      <c r="P109" s="34"/>
      <c r="Q109" s="32"/>
      <c r="R109" s="35" t="str">
        <f t="shared" si="1"/>
        <v/>
      </c>
      <c r="S109" s="35" t="str">
        <f>IF(OR(K109="",P109=""),"",NETWORKDAYS(K109,P109,Listas!$O$4:$O$22)-1)</f>
        <v/>
      </c>
      <c r="T109" s="35" t="str">
        <f t="array" ref="T109">IFERROR(INDEX(Listas!$C$4:$C$13,MATCH(E109,Listas!$B$4:$B$13,0)),"")</f>
        <v/>
      </c>
      <c r="U109" s="35" t="str">
        <f t="shared" si="2"/>
        <v/>
      </c>
      <c r="V109" s="35" t="str">
        <f>IF(OR(L109="",M109=""),"",NETWORKDAYS(L109,M109,Listas!$O$4:$O$22)-1)</f>
        <v/>
      </c>
      <c r="W109" s="35" t="str">
        <f>IF(OR(N109="",O109=""),"",NETWORKDAYS(N109,O109,Listas!$O$4:$O$22)-1)</f>
        <v/>
      </c>
    </row>
    <row r="110" ht="15.75" customHeight="1">
      <c r="A110" s="18"/>
      <c r="B110" s="18"/>
      <c r="C110" s="32"/>
      <c r="D110" s="18"/>
      <c r="E110" s="32"/>
      <c r="F110" s="32"/>
      <c r="G110" s="32"/>
      <c r="H110" s="33"/>
      <c r="I110" s="34"/>
      <c r="J110" s="34"/>
      <c r="K110" s="34"/>
      <c r="L110" s="34"/>
      <c r="M110" s="34"/>
      <c r="N110" s="34"/>
      <c r="O110" s="34"/>
      <c r="P110" s="34"/>
      <c r="Q110" s="32"/>
      <c r="R110" s="35" t="str">
        <f t="shared" si="1"/>
        <v/>
      </c>
      <c r="S110" s="35" t="str">
        <f>IF(OR(K110="",P110=""),"",NETWORKDAYS(K110,P110,Listas!$O$4:$O$22)-1)</f>
        <v/>
      </c>
      <c r="T110" s="35" t="str">
        <f t="array" ref="T110">IFERROR(INDEX(Listas!$C$4:$C$13,MATCH(E110,Listas!$B$4:$B$13,0)),"")</f>
        <v/>
      </c>
      <c r="U110" s="35" t="str">
        <f t="shared" si="2"/>
        <v/>
      </c>
      <c r="V110" s="35" t="str">
        <f>IF(OR(L110="",M110=""),"",NETWORKDAYS(L110,M110,Listas!$O$4:$O$22)-1)</f>
        <v/>
      </c>
      <c r="W110" s="35" t="str">
        <f>IF(OR(N110="",O110=""),"",NETWORKDAYS(N110,O110,Listas!$O$4:$O$22)-1)</f>
        <v/>
      </c>
    </row>
    <row r="111" ht="15.75" customHeight="1">
      <c r="A111" s="18"/>
      <c r="B111" s="18"/>
      <c r="C111" s="32"/>
      <c r="D111" s="18"/>
      <c r="E111" s="32"/>
      <c r="F111" s="32"/>
      <c r="G111" s="32"/>
      <c r="H111" s="33"/>
      <c r="I111" s="34"/>
      <c r="J111" s="34"/>
      <c r="K111" s="34"/>
      <c r="L111" s="34"/>
      <c r="M111" s="34"/>
      <c r="N111" s="34"/>
      <c r="O111" s="34"/>
      <c r="P111" s="34"/>
      <c r="Q111" s="32"/>
      <c r="R111" s="35" t="str">
        <f t="shared" si="1"/>
        <v/>
      </c>
      <c r="S111" s="35" t="str">
        <f>IF(OR(K111="",P111=""),"",NETWORKDAYS(K111,P111,Listas!$O$4:$O$22)-1)</f>
        <v/>
      </c>
      <c r="T111" s="35" t="str">
        <f t="array" ref="T111">IFERROR(INDEX(Listas!$C$4:$C$13,MATCH(E111,Listas!$B$4:$B$13,0)),"")</f>
        <v/>
      </c>
      <c r="U111" s="35" t="str">
        <f t="shared" si="2"/>
        <v/>
      </c>
      <c r="V111" s="35" t="str">
        <f>IF(OR(L111="",M111=""),"",NETWORKDAYS(L111,M111,Listas!$O$4:$O$22)-1)</f>
        <v/>
      </c>
      <c r="W111" s="35" t="str">
        <f>IF(OR(N111="",O111=""),"",NETWORKDAYS(N111,O111,Listas!$O$4:$O$22)-1)</f>
        <v/>
      </c>
    </row>
    <row r="112" ht="15.75" customHeight="1">
      <c r="A112" s="18"/>
      <c r="B112" s="18"/>
      <c r="C112" s="32"/>
      <c r="D112" s="18"/>
      <c r="E112" s="32"/>
      <c r="F112" s="32"/>
      <c r="G112" s="32"/>
      <c r="H112" s="33"/>
      <c r="I112" s="34"/>
      <c r="J112" s="34"/>
      <c r="K112" s="34"/>
      <c r="L112" s="34"/>
      <c r="M112" s="34"/>
      <c r="N112" s="34"/>
      <c r="O112" s="34"/>
      <c r="P112" s="34"/>
      <c r="Q112" s="32"/>
      <c r="R112" s="35" t="str">
        <f t="shared" si="1"/>
        <v/>
      </c>
      <c r="S112" s="35" t="str">
        <f>IF(OR(K112="",P112=""),"",NETWORKDAYS(K112,P112,Listas!$O$4:$O$22)-1)</f>
        <v/>
      </c>
      <c r="T112" s="35" t="str">
        <f t="array" ref="T112">IFERROR(INDEX(Listas!$C$4:$C$13,MATCH(E112,Listas!$B$4:$B$13,0)),"")</f>
        <v/>
      </c>
      <c r="U112" s="35" t="str">
        <f t="shared" si="2"/>
        <v/>
      </c>
      <c r="V112" s="35" t="str">
        <f>IF(OR(L112="",M112=""),"",NETWORKDAYS(L112,M112,Listas!$O$4:$O$22)-1)</f>
        <v/>
      </c>
      <c r="W112" s="35" t="str">
        <f>IF(OR(N112="",O112=""),"",NETWORKDAYS(N112,O112,Listas!$O$4:$O$22)-1)</f>
        <v/>
      </c>
    </row>
    <row r="113" ht="15.75" customHeight="1">
      <c r="A113" s="18"/>
      <c r="B113" s="18"/>
      <c r="C113" s="32"/>
      <c r="D113" s="18"/>
      <c r="E113" s="32"/>
      <c r="F113" s="32"/>
      <c r="G113" s="32"/>
      <c r="H113" s="33"/>
      <c r="I113" s="34"/>
      <c r="J113" s="34"/>
      <c r="K113" s="34"/>
      <c r="L113" s="34"/>
      <c r="M113" s="34"/>
      <c r="N113" s="34"/>
      <c r="O113" s="34"/>
      <c r="P113" s="34"/>
      <c r="Q113" s="32"/>
      <c r="R113" s="35" t="str">
        <f t="shared" si="1"/>
        <v/>
      </c>
      <c r="S113" s="35" t="str">
        <f>IF(OR(K113="",P113=""),"",NETWORKDAYS(K113,P113,Listas!$O$4:$O$22)-1)</f>
        <v/>
      </c>
      <c r="T113" s="35" t="str">
        <f t="array" ref="T113">IFERROR(INDEX(Listas!$C$4:$C$13,MATCH(E113,Listas!$B$4:$B$13,0)),"")</f>
        <v/>
      </c>
      <c r="U113" s="35" t="str">
        <f t="shared" si="2"/>
        <v/>
      </c>
      <c r="V113" s="35" t="str">
        <f>IF(OR(L113="",M113=""),"",NETWORKDAYS(L113,M113,Listas!$O$4:$O$22)-1)</f>
        <v/>
      </c>
      <c r="W113" s="35" t="str">
        <f>IF(OR(N113="",O113=""),"",NETWORKDAYS(N113,O113,Listas!$O$4:$O$22)-1)</f>
        <v/>
      </c>
    </row>
    <row r="114" ht="15.75" customHeight="1">
      <c r="A114" s="18"/>
      <c r="B114" s="18"/>
      <c r="C114" s="32"/>
      <c r="D114" s="18"/>
      <c r="E114" s="32"/>
      <c r="F114" s="32"/>
      <c r="G114" s="32"/>
      <c r="H114" s="33"/>
      <c r="I114" s="34"/>
      <c r="J114" s="34"/>
      <c r="K114" s="34"/>
      <c r="L114" s="34"/>
      <c r="M114" s="34"/>
      <c r="N114" s="34"/>
      <c r="O114" s="34"/>
      <c r="P114" s="34"/>
      <c r="Q114" s="32"/>
      <c r="R114" s="35" t="str">
        <f t="shared" si="1"/>
        <v/>
      </c>
      <c r="S114" s="35" t="str">
        <f>IF(OR(K114="",P114=""),"",NETWORKDAYS(K114,P114,Listas!$O$4:$O$22)-1)</f>
        <v/>
      </c>
      <c r="T114" s="35" t="str">
        <f t="array" ref="T114">IFERROR(INDEX(Listas!$C$4:$C$13,MATCH(E114,Listas!$B$4:$B$13,0)),"")</f>
        <v/>
      </c>
      <c r="U114" s="35" t="str">
        <f t="shared" si="2"/>
        <v/>
      </c>
      <c r="V114" s="35" t="str">
        <f>IF(OR(L114="",M114=""),"",NETWORKDAYS(L114,M114,Listas!$O$4:$O$22)-1)</f>
        <v/>
      </c>
      <c r="W114" s="35" t="str">
        <f>IF(OR(N114="",O114=""),"",NETWORKDAYS(N114,O114,Listas!$O$4:$O$22)-1)</f>
        <v/>
      </c>
    </row>
    <row r="115" ht="15.75" customHeight="1">
      <c r="A115" s="18"/>
      <c r="B115" s="18"/>
      <c r="C115" s="32"/>
      <c r="D115" s="18"/>
      <c r="E115" s="32"/>
      <c r="F115" s="32"/>
      <c r="G115" s="32"/>
      <c r="H115" s="33"/>
      <c r="I115" s="34"/>
      <c r="J115" s="34"/>
      <c r="K115" s="34"/>
      <c r="L115" s="34"/>
      <c r="M115" s="34"/>
      <c r="N115" s="34"/>
      <c r="O115" s="34"/>
      <c r="P115" s="34"/>
      <c r="Q115" s="32"/>
      <c r="R115" s="35" t="str">
        <f t="shared" si="1"/>
        <v/>
      </c>
      <c r="S115" s="35" t="str">
        <f>IF(OR(K115="",P115=""),"",NETWORKDAYS(K115,P115,Listas!$O$4:$O$22)-1)</f>
        <v/>
      </c>
      <c r="T115" s="35" t="str">
        <f t="array" ref="T115">IFERROR(INDEX(Listas!$C$4:$C$13,MATCH(E115,Listas!$B$4:$B$13,0)),"")</f>
        <v/>
      </c>
      <c r="U115" s="35" t="str">
        <f t="shared" si="2"/>
        <v/>
      </c>
      <c r="V115" s="35" t="str">
        <f>IF(OR(L115="",M115=""),"",NETWORKDAYS(L115,M115,Listas!$O$4:$O$22)-1)</f>
        <v/>
      </c>
      <c r="W115" s="35" t="str">
        <f>IF(OR(N115="",O115=""),"",NETWORKDAYS(N115,O115,Listas!$O$4:$O$22)-1)</f>
        <v/>
      </c>
    </row>
    <row r="116" ht="15.75" customHeight="1">
      <c r="A116" s="18"/>
      <c r="B116" s="18"/>
      <c r="C116" s="32"/>
      <c r="D116" s="18"/>
      <c r="E116" s="32"/>
      <c r="F116" s="32"/>
      <c r="G116" s="32"/>
      <c r="H116" s="33"/>
      <c r="I116" s="34"/>
      <c r="J116" s="34"/>
      <c r="K116" s="34"/>
      <c r="L116" s="34"/>
      <c r="M116" s="34"/>
      <c r="N116" s="34"/>
      <c r="O116" s="34"/>
      <c r="P116" s="34"/>
      <c r="Q116" s="32"/>
      <c r="R116" s="35" t="str">
        <f t="shared" si="1"/>
        <v/>
      </c>
      <c r="S116" s="35" t="str">
        <f>IF(OR(K116="",P116=""),"",NETWORKDAYS(K116,P116,Listas!$O$4:$O$22)-1)</f>
        <v/>
      </c>
      <c r="T116" s="35" t="str">
        <f t="array" ref="T116">IFERROR(INDEX(Listas!$C$4:$C$13,MATCH(E116,Listas!$B$4:$B$13,0)),"")</f>
        <v/>
      </c>
      <c r="U116" s="35" t="str">
        <f t="shared" si="2"/>
        <v/>
      </c>
      <c r="V116" s="35" t="str">
        <f>IF(OR(L116="",M116=""),"",NETWORKDAYS(L116,M116,Listas!$O$4:$O$22)-1)</f>
        <v/>
      </c>
      <c r="W116" s="35" t="str">
        <f>IF(OR(N116="",O116=""),"",NETWORKDAYS(N116,O116,Listas!$O$4:$O$22)-1)</f>
        <v/>
      </c>
    </row>
    <row r="117" ht="15.75" customHeight="1">
      <c r="A117" s="18"/>
      <c r="B117" s="18"/>
      <c r="C117" s="32"/>
      <c r="D117" s="18"/>
      <c r="E117" s="32"/>
      <c r="F117" s="32"/>
      <c r="G117" s="32"/>
      <c r="H117" s="33"/>
      <c r="I117" s="34"/>
      <c r="J117" s="34"/>
      <c r="K117" s="34"/>
      <c r="L117" s="34"/>
      <c r="M117" s="34"/>
      <c r="N117" s="34"/>
      <c r="O117" s="34"/>
      <c r="P117" s="34"/>
      <c r="Q117" s="32"/>
      <c r="R117" s="35" t="str">
        <f t="shared" si="1"/>
        <v/>
      </c>
      <c r="S117" s="35" t="str">
        <f>IF(OR(K117="",P117=""),"",NETWORKDAYS(K117,P117,Listas!$O$4:$O$22)-1)</f>
        <v/>
      </c>
      <c r="T117" s="35" t="str">
        <f t="array" ref="T117">IFERROR(INDEX(Listas!$C$4:$C$13,MATCH(E117,Listas!$B$4:$B$13,0)),"")</f>
        <v/>
      </c>
      <c r="U117" s="35" t="str">
        <f t="shared" si="2"/>
        <v/>
      </c>
      <c r="V117" s="35" t="str">
        <f>IF(OR(L117="",M117=""),"",NETWORKDAYS(L117,M117,Listas!$O$4:$O$22)-1)</f>
        <v/>
      </c>
      <c r="W117" s="35" t="str">
        <f>IF(OR(N117="",O117=""),"",NETWORKDAYS(N117,O117,Listas!$O$4:$O$22)-1)</f>
        <v/>
      </c>
    </row>
    <row r="118" ht="15.75" customHeight="1">
      <c r="A118" s="18"/>
      <c r="B118" s="18"/>
      <c r="C118" s="32"/>
      <c r="D118" s="18"/>
      <c r="E118" s="32"/>
      <c r="F118" s="32"/>
      <c r="G118" s="32"/>
      <c r="H118" s="33"/>
      <c r="I118" s="34"/>
      <c r="J118" s="34"/>
      <c r="K118" s="34"/>
      <c r="L118" s="34"/>
      <c r="M118" s="34"/>
      <c r="N118" s="34"/>
      <c r="O118" s="34"/>
      <c r="P118" s="34"/>
      <c r="Q118" s="32"/>
      <c r="R118" s="35" t="str">
        <f t="shared" si="1"/>
        <v/>
      </c>
      <c r="S118" s="35" t="str">
        <f>IF(OR(K118="",P118=""),"",NETWORKDAYS(K118,P118,Listas!$O$4:$O$22)-1)</f>
        <v/>
      </c>
      <c r="T118" s="35" t="str">
        <f t="array" ref="T118">IFERROR(INDEX(Listas!$C$4:$C$13,MATCH(E118,Listas!$B$4:$B$13,0)),"")</f>
        <v/>
      </c>
      <c r="U118" s="35" t="str">
        <f t="shared" si="2"/>
        <v/>
      </c>
      <c r="V118" s="35" t="str">
        <f>IF(OR(L118="",M118=""),"",NETWORKDAYS(L118,M118,Listas!$O$4:$O$22)-1)</f>
        <v/>
      </c>
      <c r="W118" s="35" t="str">
        <f>IF(OR(N118="",O118=""),"",NETWORKDAYS(N118,O118,Listas!$O$4:$O$22)-1)</f>
        <v/>
      </c>
    </row>
    <row r="119" ht="15.75" customHeight="1">
      <c r="A119" s="18"/>
      <c r="B119" s="18"/>
      <c r="C119" s="32"/>
      <c r="D119" s="18"/>
      <c r="E119" s="32"/>
      <c r="F119" s="32"/>
      <c r="G119" s="32"/>
      <c r="H119" s="33"/>
      <c r="I119" s="34"/>
      <c r="J119" s="34"/>
      <c r="K119" s="34"/>
      <c r="L119" s="34"/>
      <c r="M119" s="34"/>
      <c r="N119" s="34"/>
      <c r="O119" s="34"/>
      <c r="P119" s="34"/>
      <c r="Q119" s="32"/>
      <c r="R119" s="35" t="str">
        <f t="shared" si="1"/>
        <v/>
      </c>
      <c r="S119" s="35" t="str">
        <f>IF(OR(K119="",P119=""),"",NETWORKDAYS(K119,P119,Listas!$O$4:$O$22)-1)</f>
        <v/>
      </c>
      <c r="T119" s="35" t="str">
        <f t="array" ref="T119">IFERROR(INDEX(Listas!$C$4:$C$13,MATCH(E119,Listas!$B$4:$B$13,0)),"")</f>
        <v/>
      </c>
      <c r="U119" s="35" t="str">
        <f t="shared" si="2"/>
        <v/>
      </c>
      <c r="V119" s="35" t="str">
        <f>IF(OR(L119="",M119=""),"",NETWORKDAYS(L119,M119,Listas!$O$4:$O$22)-1)</f>
        <v/>
      </c>
      <c r="W119" s="35" t="str">
        <f>IF(OR(N119="",O119=""),"",NETWORKDAYS(N119,O119,Listas!$O$4:$O$22)-1)</f>
        <v/>
      </c>
    </row>
    <row r="120" ht="15.75" customHeight="1">
      <c r="A120" s="18"/>
      <c r="B120" s="18"/>
      <c r="C120" s="32"/>
      <c r="D120" s="18"/>
      <c r="E120" s="32"/>
      <c r="F120" s="32"/>
      <c r="G120" s="32"/>
      <c r="H120" s="33"/>
      <c r="I120" s="34"/>
      <c r="J120" s="34"/>
      <c r="K120" s="34"/>
      <c r="L120" s="34"/>
      <c r="M120" s="34"/>
      <c r="N120" s="34"/>
      <c r="O120" s="34"/>
      <c r="P120" s="34"/>
      <c r="Q120" s="32"/>
      <c r="R120" s="35" t="str">
        <f t="shared" si="1"/>
        <v/>
      </c>
      <c r="S120" s="35" t="str">
        <f>IF(OR(K120="",P120=""),"",NETWORKDAYS(K120,P120,Listas!$O$4:$O$22)-1)</f>
        <v/>
      </c>
      <c r="T120" s="35" t="str">
        <f t="array" ref="T120">IFERROR(INDEX(Listas!$C$4:$C$13,MATCH(E120,Listas!$B$4:$B$13,0)),"")</f>
        <v/>
      </c>
      <c r="U120" s="35" t="str">
        <f t="shared" si="2"/>
        <v/>
      </c>
      <c r="V120" s="35" t="str">
        <f>IF(OR(L120="",M120=""),"",NETWORKDAYS(L120,M120,Listas!$O$4:$O$22)-1)</f>
        <v/>
      </c>
      <c r="W120" s="35" t="str">
        <f>IF(OR(N120="",O120=""),"",NETWORKDAYS(N120,O120,Listas!$O$4:$O$22)-1)</f>
        <v/>
      </c>
    </row>
    <row r="121" ht="15.75" customHeight="1">
      <c r="A121" s="18"/>
      <c r="B121" s="18"/>
      <c r="C121" s="32"/>
      <c r="D121" s="18"/>
      <c r="E121" s="32"/>
      <c r="F121" s="32"/>
      <c r="G121" s="32"/>
      <c r="H121" s="33"/>
      <c r="I121" s="34"/>
      <c r="J121" s="34"/>
      <c r="K121" s="34"/>
      <c r="L121" s="34"/>
      <c r="M121" s="34"/>
      <c r="N121" s="34"/>
      <c r="O121" s="34"/>
      <c r="P121" s="34"/>
      <c r="Q121" s="32"/>
      <c r="R121" s="35" t="str">
        <f t="shared" si="1"/>
        <v/>
      </c>
      <c r="S121" s="35" t="str">
        <f>IF(OR(K121="",P121=""),"",NETWORKDAYS(K121,P121,Listas!$O$4:$O$22)-1)</f>
        <v/>
      </c>
      <c r="T121" s="35" t="str">
        <f t="array" ref="T121">IFERROR(INDEX(Listas!$C$4:$C$13,MATCH(E121,Listas!$B$4:$B$13,0)),"")</f>
        <v/>
      </c>
      <c r="U121" s="35" t="str">
        <f t="shared" si="2"/>
        <v/>
      </c>
      <c r="V121" s="35" t="str">
        <f>IF(OR(L121="",M121=""),"",NETWORKDAYS(L121,M121,Listas!$O$4:$O$22)-1)</f>
        <v/>
      </c>
      <c r="W121" s="35" t="str">
        <f>IF(OR(N121="",O121=""),"",NETWORKDAYS(N121,O121,Listas!$O$4:$O$22)-1)</f>
        <v/>
      </c>
    </row>
    <row r="122" ht="15.75" customHeight="1">
      <c r="A122" s="18"/>
      <c r="B122" s="18"/>
      <c r="C122" s="32"/>
      <c r="D122" s="18"/>
      <c r="E122" s="32"/>
      <c r="F122" s="32"/>
      <c r="G122" s="32"/>
      <c r="H122" s="33"/>
      <c r="I122" s="34"/>
      <c r="J122" s="34"/>
      <c r="K122" s="34"/>
      <c r="L122" s="34"/>
      <c r="M122" s="34"/>
      <c r="N122" s="34"/>
      <c r="O122" s="34"/>
      <c r="P122" s="34"/>
      <c r="Q122" s="32"/>
      <c r="R122" s="35" t="str">
        <f t="shared" si="1"/>
        <v/>
      </c>
      <c r="S122" s="35" t="str">
        <f>IF(OR(K122="",P122=""),"",NETWORKDAYS(K122,P122,Listas!$O$4:$O$22)-1)</f>
        <v/>
      </c>
      <c r="T122" s="35" t="str">
        <f t="array" ref="T122">IFERROR(INDEX(Listas!$C$4:$C$13,MATCH(E122,Listas!$B$4:$B$13,0)),"")</f>
        <v/>
      </c>
      <c r="U122" s="35" t="str">
        <f t="shared" si="2"/>
        <v/>
      </c>
      <c r="V122" s="35" t="str">
        <f>IF(OR(L122="",M122=""),"",NETWORKDAYS(L122,M122,Listas!$O$4:$O$22)-1)</f>
        <v/>
      </c>
      <c r="W122" s="35" t="str">
        <f>IF(OR(N122="",O122=""),"",NETWORKDAYS(N122,O122,Listas!$O$4:$O$22)-1)</f>
        <v/>
      </c>
    </row>
    <row r="123" ht="15.75" customHeight="1">
      <c r="A123" s="18"/>
      <c r="B123" s="18"/>
      <c r="C123" s="32"/>
      <c r="D123" s="18"/>
      <c r="E123" s="32"/>
      <c r="F123" s="32"/>
      <c r="G123" s="32"/>
      <c r="H123" s="33"/>
      <c r="I123" s="34"/>
      <c r="J123" s="34"/>
      <c r="K123" s="34"/>
      <c r="L123" s="34"/>
      <c r="M123" s="34"/>
      <c r="N123" s="34"/>
      <c r="O123" s="34"/>
      <c r="P123" s="34"/>
      <c r="Q123" s="32"/>
      <c r="R123" s="35" t="str">
        <f t="shared" si="1"/>
        <v/>
      </c>
      <c r="S123" s="35" t="str">
        <f>IF(OR(K123="",P123=""),"",NETWORKDAYS(K123,P123,Listas!$O$4:$O$22)-1)</f>
        <v/>
      </c>
      <c r="T123" s="35" t="str">
        <f t="array" ref="T123">IFERROR(INDEX(Listas!$C$4:$C$13,MATCH(E123,Listas!$B$4:$B$13,0)),"")</f>
        <v/>
      </c>
      <c r="U123" s="35" t="str">
        <f t="shared" si="2"/>
        <v/>
      </c>
      <c r="V123" s="35" t="str">
        <f>IF(OR(L123="",M123=""),"",NETWORKDAYS(L123,M123,Listas!$O$4:$O$22)-1)</f>
        <v/>
      </c>
      <c r="W123" s="35" t="str">
        <f>IF(OR(N123="",O123=""),"",NETWORKDAYS(N123,O123,Listas!$O$4:$O$22)-1)</f>
        <v/>
      </c>
    </row>
    <row r="124" ht="15.75" customHeight="1">
      <c r="A124" s="18"/>
      <c r="B124" s="18"/>
      <c r="C124" s="32"/>
      <c r="D124" s="18"/>
      <c r="E124" s="32"/>
      <c r="F124" s="32"/>
      <c r="G124" s="32"/>
      <c r="H124" s="33"/>
      <c r="I124" s="34"/>
      <c r="J124" s="34"/>
      <c r="K124" s="34"/>
      <c r="L124" s="34"/>
      <c r="M124" s="34"/>
      <c r="N124" s="34"/>
      <c r="O124" s="34"/>
      <c r="P124" s="34"/>
      <c r="Q124" s="32"/>
      <c r="R124" s="35" t="str">
        <f t="shared" si="1"/>
        <v/>
      </c>
      <c r="S124" s="35" t="str">
        <f>IF(OR(K124="",P124=""),"",NETWORKDAYS(K124,P124,Listas!$O$4:$O$22)-1)</f>
        <v/>
      </c>
      <c r="T124" s="35" t="str">
        <f t="array" ref="T124">IFERROR(INDEX(Listas!$C$4:$C$13,MATCH(E124,Listas!$B$4:$B$13,0)),"")</f>
        <v/>
      </c>
      <c r="U124" s="35" t="str">
        <f t="shared" si="2"/>
        <v/>
      </c>
      <c r="V124" s="35" t="str">
        <f>IF(OR(L124="",M124=""),"",NETWORKDAYS(L124,M124,Listas!$O$4:$O$22)-1)</f>
        <v/>
      </c>
      <c r="W124" s="35" t="str">
        <f>IF(OR(N124="",O124=""),"",NETWORKDAYS(N124,O124,Listas!$O$4:$O$22)-1)</f>
        <v/>
      </c>
    </row>
    <row r="125" ht="15.75" customHeight="1">
      <c r="A125" s="18"/>
      <c r="B125" s="18"/>
      <c r="C125" s="32"/>
      <c r="D125" s="18"/>
      <c r="E125" s="32"/>
      <c r="F125" s="32"/>
      <c r="G125" s="32"/>
      <c r="H125" s="33"/>
      <c r="I125" s="34"/>
      <c r="J125" s="34"/>
      <c r="K125" s="34"/>
      <c r="L125" s="34"/>
      <c r="M125" s="34"/>
      <c r="N125" s="34"/>
      <c r="O125" s="34"/>
      <c r="P125" s="34"/>
      <c r="Q125" s="32"/>
      <c r="R125" s="35" t="str">
        <f t="shared" si="1"/>
        <v/>
      </c>
      <c r="S125" s="35" t="str">
        <f>IF(OR(K125="",P125=""),"",NETWORKDAYS(K125,P125,Listas!$O$4:$O$22)-1)</f>
        <v/>
      </c>
      <c r="T125" s="35" t="str">
        <f t="array" ref="T125">IFERROR(INDEX(Listas!$C$4:$C$13,MATCH(E125,Listas!$B$4:$B$13,0)),"")</f>
        <v/>
      </c>
      <c r="U125" s="35" t="str">
        <f t="shared" si="2"/>
        <v/>
      </c>
      <c r="V125" s="35" t="str">
        <f>IF(OR(L125="",M125=""),"",NETWORKDAYS(L125,M125,Listas!$O$4:$O$22)-1)</f>
        <v/>
      </c>
      <c r="W125" s="35" t="str">
        <f>IF(OR(N125="",O125=""),"",NETWORKDAYS(N125,O125,Listas!$O$4:$O$22)-1)</f>
        <v/>
      </c>
    </row>
    <row r="126" ht="15.75" customHeight="1">
      <c r="A126" s="18"/>
      <c r="B126" s="18"/>
      <c r="C126" s="32"/>
      <c r="D126" s="18"/>
      <c r="E126" s="32"/>
      <c r="F126" s="32"/>
      <c r="G126" s="32"/>
      <c r="H126" s="33"/>
      <c r="I126" s="34"/>
      <c r="J126" s="34"/>
      <c r="K126" s="34"/>
      <c r="L126" s="34"/>
      <c r="M126" s="34"/>
      <c r="N126" s="34"/>
      <c r="O126" s="34"/>
      <c r="P126" s="34"/>
      <c r="Q126" s="32"/>
      <c r="R126" s="35" t="str">
        <f t="shared" si="1"/>
        <v/>
      </c>
      <c r="S126" s="35" t="str">
        <f>IF(OR(K126="",P126=""),"",NETWORKDAYS(K126,P126,Listas!$O$4:$O$22)-1)</f>
        <v/>
      </c>
      <c r="T126" s="35" t="str">
        <f t="array" ref="T126">IFERROR(INDEX(Listas!$C$4:$C$13,MATCH(E126,Listas!$B$4:$B$13,0)),"")</f>
        <v/>
      </c>
      <c r="U126" s="35" t="str">
        <f t="shared" si="2"/>
        <v/>
      </c>
      <c r="V126" s="35" t="str">
        <f>IF(OR(L126="",M126=""),"",NETWORKDAYS(L126,M126,Listas!$O$4:$O$22)-1)</f>
        <v/>
      </c>
      <c r="W126" s="35" t="str">
        <f>IF(OR(N126="",O126=""),"",NETWORKDAYS(N126,O126,Listas!$O$4:$O$22)-1)</f>
        <v/>
      </c>
    </row>
    <row r="127" ht="15.75" customHeight="1">
      <c r="A127" s="18"/>
      <c r="B127" s="18"/>
      <c r="C127" s="32"/>
      <c r="D127" s="18"/>
      <c r="E127" s="32"/>
      <c r="F127" s="32"/>
      <c r="G127" s="32"/>
      <c r="H127" s="33"/>
      <c r="I127" s="34"/>
      <c r="J127" s="34"/>
      <c r="K127" s="34"/>
      <c r="L127" s="34"/>
      <c r="M127" s="34"/>
      <c r="N127" s="34"/>
      <c r="O127" s="34"/>
      <c r="P127" s="34"/>
      <c r="Q127" s="32"/>
      <c r="R127" s="35" t="str">
        <f t="shared" si="1"/>
        <v/>
      </c>
      <c r="S127" s="35" t="str">
        <f>IF(OR(K127="",P127=""),"",NETWORKDAYS(K127,P127,Listas!$O$4:$O$22)-1)</f>
        <v/>
      </c>
      <c r="T127" s="35" t="str">
        <f t="array" ref="T127">IFERROR(INDEX(Listas!$C$4:$C$13,MATCH(E127,Listas!$B$4:$B$13,0)),"")</f>
        <v/>
      </c>
      <c r="U127" s="35" t="str">
        <f t="shared" si="2"/>
        <v/>
      </c>
      <c r="V127" s="35" t="str">
        <f>IF(OR(L127="",M127=""),"",NETWORKDAYS(L127,M127,Listas!$O$4:$O$22)-1)</f>
        <v/>
      </c>
      <c r="W127" s="35" t="str">
        <f>IF(OR(N127="",O127=""),"",NETWORKDAYS(N127,O127,Listas!$O$4:$O$22)-1)</f>
        <v/>
      </c>
    </row>
    <row r="128" ht="15.75" customHeight="1">
      <c r="A128" s="18"/>
      <c r="B128" s="18"/>
      <c r="C128" s="32"/>
      <c r="D128" s="18"/>
      <c r="E128" s="32"/>
      <c r="F128" s="32"/>
      <c r="G128" s="32"/>
      <c r="H128" s="33"/>
      <c r="I128" s="34"/>
      <c r="J128" s="34"/>
      <c r="K128" s="34"/>
      <c r="L128" s="34"/>
      <c r="M128" s="34"/>
      <c r="N128" s="34"/>
      <c r="O128" s="34"/>
      <c r="P128" s="34"/>
      <c r="Q128" s="32"/>
      <c r="R128" s="35" t="str">
        <f t="shared" si="1"/>
        <v/>
      </c>
      <c r="S128" s="35" t="str">
        <f>IF(OR(K128="",P128=""),"",NETWORKDAYS(K128,P128,Listas!$O$4:$O$22)-1)</f>
        <v/>
      </c>
      <c r="T128" s="35" t="str">
        <f t="array" ref="T128">IFERROR(INDEX(Listas!$C$4:$C$13,MATCH(E128,Listas!$B$4:$B$13,0)),"")</f>
        <v/>
      </c>
      <c r="U128" s="35" t="str">
        <f t="shared" si="2"/>
        <v/>
      </c>
      <c r="V128" s="35" t="str">
        <f>IF(OR(L128="",M128=""),"",NETWORKDAYS(L128,M128,Listas!$O$4:$O$22)-1)</f>
        <v/>
      </c>
      <c r="W128" s="35" t="str">
        <f>IF(OR(N128="",O128=""),"",NETWORKDAYS(N128,O128,Listas!$O$4:$O$22)-1)</f>
        <v/>
      </c>
    </row>
    <row r="129" ht="15.75" customHeight="1">
      <c r="A129" s="18"/>
      <c r="B129" s="18"/>
      <c r="C129" s="32"/>
      <c r="D129" s="18"/>
      <c r="E129" s="32"/>
      <c r="F129" s="32"/>
      <c r="G129" s="32"/>
      <c r="H129" s="33"/>
      <c r="I129" s="34"/>
      <c r="J129" s="34"/>
      <c r="K129" s="34"/>
      <c r="L129" s="34"/>
      <c r="M129" s="34"/>
      <c r="N129" s="34"/>
      <c r="O129" s="34"/>
      <c r="P129" s="34"/>
      <c r="Q129" s="32"/>
      <c r="R129" s="35" t="str">
        <f t="shared" si="1"/>
        <v/>
      </c>
      <c r="S129" s="35" t="str">
        <f>IF(OR(K129="",P129=""),"",NETWORKDAYS(K129,P129,Listas!$O$4:$O$22)-1)</f>
        <v/>
      </c>
      <c r="T129" s="35" t="str">
        <f t="array" ref="T129">IFERROR(INDEX(Listas!$C$4:$C$13,MATCH(E129,Listas!$B$4:$B$13,0)),"")</f>
        <v/>
      </c>
      <c r="U129" s="35" t="str">
        <f t="shared" si="2"/>
        <v/>
      </c>
      <c r="V129" s="35" t="str">
        <f>IF(OR(L129="",M129=""),"",NETWORKDAYS(L129,M129,Listas!$O$4:$O$22)-1)</f>
        <v/>
      </c>
      <c r="W129" s="35" t="str">
        <f>IF(OR(N129="",O129=""),"",NETWORKDAYS(N129,O129,Listas!$O$4:$O$22)-1)</f>
        <v/>
      </c>
    </row>
    <row r="130" ht="15.75" customHeight="1">
      <c r="A130" s="18"/>
      <c r="B130" s="18"/>
      <c r="C130" s="32"/>
      <c r="D130" s="18"/>
      <c r="E130" s="32"/>
      <c r="F130" s="32"/>
      <c r="G130" s="32"/>
      <c r="H130" s="33"/>
      <c r="I130" s="34"/>
      <c r="J130" s="34"/>
      <c r="K130" s="34"/>
      <c r="L130" s="34"/>
      <c r="M130" s="34"/>
      <c r="N130" s="34"/>
      <c r="O130" s="34"/>
      <c r="P130" s="34"/>
      <c r="Q130" s="32"/>
      <c r="R130" s="35" t="str">
        <f t="shared" si="1"/>
        <v/>
      </c>
      <c r="S130" s="35" t="str">
        <f>IF(OR(K130="",P130=""),"",NETWORKDAYS(K130,P130,Listas!$O$4:$O$22)-1)</f>
        <v/>
      </c>
      <c r="T130" s="35" t="str">
        <f t="array" ref="T130">IFERROR(INDEX(Listas!$C$4:$C$13,MATCH(E130,Listas!$B$4:$B$13,0)),"")</f>
        <v/>
      </c>
      <c r="U130" s="35" t="str">
        <f t="shared" si="2"/>
        <v/>
      </c>
      <c r="V130" s="35" t="str">
        <f>IF(OR(L130="",M130=""),"",NETWORKDAYS(L130,M130,Listas!$O$4:$O$22)-1)</f>
        <v/>
      </c>
      <c r="W130" s="35" t="str">
        <f>IF(OR(N130="",O130=""),"",NETWORKDAYS(N130,O130,Listas!$O$4:$O$22)-1)</f>
        <v/>
      </c>
    </row>
    <row r="131" ht="15.75" customHeight="1">
      <c r="A131" s="18"/>
      <c r="B131" s="18"/>
      <c r="C131" s="32"/>
      <c r="D131" s="18"/>
      <c r="E131" s="32"/>
      <c r="F131" s="32"/>
      <c r="G131" s="32"/>
      <c r="H131" s="33"/>
      <c r="I131" s="34"/>
      <c r="J131" s="34"/>
      <c r="K131" s="34"/>
      <c r="L131" s="34"/>
      <c r="M131" s="34"/>
      <c r="N131" s="34"/>
      <c r="O131" s="34"/>
      <c r="P131" s="34"/>
      <c r="Q131" s="32"/>
      <c r="R131" s="35" t="str">
        <f t="shared" si="1"/>
        <v/>
      </c>
      <c r="S131" s="35" t="str">
        <f>IF(OR(K131="",P131=""),"",NETWORKDAYS(K131,P131,Listas!$O$4:$O$22)-1)</f>
        <v/>
      </c>
      <c r="T131" s="35" t="str">
        <f t="array" ref="T131">IFERROR(INDEX(Listas!$C$4:$C$13,MATCH(E131,Listas!$B$4:$B$13,0)),"")</f>
        <v/>
      </c>
      <c r="U131" s="35" t="str">
        <f t="shared" si="2"/>
        <v/>
      </c>
      <c r="V131" s="35" t="str">
        <f>IF(OR(L131="",M131=""),"",NETWORKDAYS(L131,M131,Listas!$O$4:$O$22)-1)</f>
        <v/>
      </c>
      <c r="W131" s="35" t="str">
        <f>IF(OR(N131="",O131=""),"",NETWORKDAYS(N131,O131,Listas!$O$4:$O$22)-1)</f>
        <v/>
      </c>
    </row>
    <row r="132" ht="15.75" customHeight="1">
      <c r="A132" s="18"/>
      <c r="B132" s="18"/>
      <c r="C132" s="32"/>
      <c r="D132" s="18"/>
      <c r="E132" s="32"/>
      <c r="F132" s="32"/>
      <c r="G132" s="32"/>
      <c r="H132" s="33"/>
      <c r="I132" s="34"/>
      <c r="J132" s="34"/>
      <c r="K132" s="34"/>
      <c r="L132" s="34"/>
      <c r="M132" s="34"/>
      <c r="N132" s="34"/>
      <c r="O132" s="34"/>
      <c r="P132" s="34"/>
      <c r="Q132" s="32"/>
      <c r="R132" s="35" t="str">
        <f t="shared" si="1"/>
        <v/>
      </c>
      <c r="S132" s="35" t="str">
        <f>IF(OR(K132="",P132=""),"",NETWORKDAYS(K132,P132,Listas!$O$4:$O$22)-1)</f>
        <v/>
      </c>
      <c r="T132" s="35" t="str">
        <f t="array" ref="T132">IFERROR(INDEX(Listas!$C$4:$C$13,MATCH(E132,Listas!$B$4:$B$13,0)),"")</f>
        <v/>
      </c>
      <c r="U132" s="35" t="str">
        <f t="shared" si="2"/>
        <v/>
      </c>
      <c r="V132" s="35" t="str">
        <f>IF(OR(L132="",M132=""),"",NETWORKDAYS(L132,M132,Listas!$O$4:$O$22)-1)</f>
        <v/>
      </c>
      <c r="W132" s="35" t="str">
        <f>IF(OR(N132="",O132=""),"",NETWORKDAYS(N132,O132,Listas!$O$4:$O$22)-1)</f>
        <v/>
      </c>
    </row>
    <row r="133" ht="15.75" customHeight="1">
      <c r="A133" s="18"/>
      <c r="B133" s="18"/>
      <c r="C133" s="32"/>
      <c r="D133" s="18"/>
      <c r="E133" s="32"/>
      <c r="F133" s="32"/>
      <c r="G133" s="32"/>
      <c r="H133" s="33"/>
      <c r="I133" s="34"/>
      <c r="J133" s="34"/>
      <c r="K133" s="34"/>
      <c r="L133" s="34"/>
      <c r="M133" s="34"/>
      <c r="N133" s="34"/>
      <c r="O133" s="34"/>
      <c r="P133" s="34"/>
      <c r="Q133" s="32"/>
      <c r="R133" s="35" t="str">
        <f t="shared" si="1"/>
        <v/>
      </c>
      <c r="S133" s="35" t="str">
        <f>IF(OR(K133="",P133=""),"",NETWORKDAYS(K133,P133,Listas!$O$4:$O$22)-1)</f>
        <v/>
      </c>
      <c r="T133" s="35" t="str">
        <f t="array" ref="T133">IFERROR(INDEX(Listas!$C$4:$C$13,MATCH(E133,Listas!$B$4:$B$13,0)),"")</f>
        <v/>
      </c>
      <c r="U133" s="35" t="str">
        <f t="shared" si="2"/>
        <v/>
      </c>
      <c r="V133" s="35" t="str">
        <f>IF(OR(L133="",M133=""),"",NETWORKDAYS(L133,M133,Listas!$O$4:$O$22)-1)</f>
        <v/>
      </c>
      <c r="W133" s="35" t="str">
        <f>IF(OR(N133="",O133=""),"",NETWORKDAYS(N133,O133,Listas!$O$4:$O$22)-1)</f>
        <v/>
      </c>
    </row>
    <row r="134" ht="15.75" customHeight="1">
      <c r="A134" s="18"/>
      <c r="B134" s="18"/>
      <c r="C134" s="32"/>
      <c r="D134" s="18"/>
      <c r="E134" s="32"/>
      <c r="F134" s="32"/>
      <c r="G134" s="32"/>
      <c r="H134" s="33"/>
      <c r="I134" s="34"/>
      <c r="J134" s="34"/>
      <c r="K134" s="34"/>
      <c r="L134" s="34"/>
      <c r="M134" s="34"/>
      <c r="N134" s="34"/>
      <c r="O134" s="34"/>
      <c r="P134" s="34"/>
      <c r="Q134" s="32"/>
      <c r="R134" s="35" t="str">
        <f t="shared" si="1"/>
        <v/>
      </c>
      <c r="S134" s="35" t="str">
        <f>IF(OR(K134="",P134=""),"",NETWORKDAYS(K134,P134,Listas!$O$4:$O$22)-1)</f>
        <v/>
      </c>
      <c r="T134" s="35" t="str">
        <f t="array" ref="T134">IFERROR(INDEX(Listas!$C$4:$C$13,MATCH(E134,Listas!$B$4:$B$13,0)),"")</f>
        <v/>
      </c>
      <c r="U134" s="35" t="str">
        <f t="shared" si="2"/>
        <v/>
      </c>
      <c r="V134" s="35" t="str">
        <f>IF(OR(L134="",M134=""),"",NETWORKDAYS(L134,M134,Listas!$O$4:$O$22)-1)</f>
        <v/>
      </c>
      <c r="W134" s="35" t="str">
        <f>IF(OR(N134="",O134=""),"",NETWORKDAYS(N134,O134,Listas!$O$4:$O$22)-1)</f>
        <v/>
      </c>
    </row>
    <row r="135" ht="15.75" customHeight="1">
      <c r="A135" s="18"/>
      <c r="B135" s="18"/>
      <c r="C135" s="32"/>
      <c r="D135" s="18"/>
      <c r="E135" s="32"/>
      <c r="F135" s="32"/>
      <c r="G135" s="32"/>
      <c r="H135" s="33"/>
      <c r="I135" s="34"/>
      <c r="J135" s="34"/>
      <c r="K135" s="34"/>
      <c r="L135" s="34"/>
      <c r="M135" s="34"/>
      <c r="N135" s="34"/>
      <c r="O135" s="34"/>
      <c r="P135" s="34"/>
      <c r="Q135" s="32"/>
      <c r="R135" s="35" t="str">
        <f t="shared" si="1"/>
        <v/>
      </c>
      <c r="S135" s="35" t="str">
        <f>IF(OR(K135="",P135=""),"",NETWORKDAYS(K135,P135,Listas!$O$4:$O$22)-1)</f>
        <v/>
      </c>
      <c r="T135" s="35" t="str">
        <f t="array" ref="T135">IFERROR(INDEX(Listas!$C$4:$C$13,MATCH(E135,Listas!$B$4:$B$13,0)),"")</f>
        <v/>
      </c>
      <c r="U135" s="35" t="str">
        <f t="shared" si="2"/>
        <v/>
      </c>
      <c r="V135" s="35" t="str">
        <f>IF(OR(L135="",M135=""),"",NETWORKDAYS(L135,M135,Listas!$O$4:$O$22)-1)</f>
        <v/>
      </c>
      <c r="W135" s="35" t="str">
        <f>IF(OR(N135="",O135=""),"",NETWORKDAYS(N135,O135,Listas!$O$4:$O$22)-1)</f>
        <v/>
      </c>
    </row>
    <row r="136" ht="15.75" customHeight="1">
      <c r="A136" s="18"/>
      <c r="B136" s="18"/>
      <c r="C136" s="32"/>
      <c r="D136" s="18"/>
      <c r="E136" s="32"/>
      <c r="F136" s="32"/>
      <c r="G136" s="32"/>
      <c r="H136" s="33"/>
      <c r="I136" s="34"/>
      <c r="J136" s="34"/>
      <c r="K136" s="34"/>
      <c r="L136" s="34"/>
      <c r="M136" s="34"/>
      <c r="N136" s="34"/>
      <c r="O136" s="34"/>
      <c r="P136" s="34"/>
      <c r="Q136" s="32"/>
      <c r="R136" s="35" t="str">
        <f t="shared" si="1"/>
        <v/>
      </c>
      <c r="S136" s="35" t="str">
        <f>IF(OR(K136="",P136=""),"",NETWORKDAYS(K136,P136,Listas!$O$4:$O$22)-1)</f>
        <v/>
      </c>
      <c r="T136" s="35" t="str">
        <f t="array" ref="T136">IFERROR(INDEX(Listas!$C$4:$C$13,MATCH(E136,Listas!$B$4:$B$13,0)),"")</f>
        <v/>
      </c>
      <c r="U136" s="35" t="str">
        <f t="shared" si="2"/>
        <v/>
      </c>
      <c r="V136" s="35" t="str">
        <f>IF(OR(L136="",M136=""),"",NETWORKDAYS(L136,M136,Listas!$O$4:$O$22)-1)</f>
        <v/>
      </c>
      <c r="W136" s="35" t="str">
        <f>IF(OR(N136="",O136=""),"",NETWORKDAYS(N136,O136,Listas!$O$4:$O$22)-1)</f>
        <v/>
      </c>
    </row>
    <row r="137" ht="15.75" customHeight="1">
      <c r="A137" s="18"/>
      <c r="B137" s="18"/>
      <c r="C137" s="32"/>
      <c r="D137" s="18"/>
      <c r="E137" s="32"/>
      <c r="F137" s="32"/>
      <c r="G137" s="32"/>
      <c r="H137" s="33"/>
      <c r="I137" s="34"/>
      <c r="J137" s="34"/>
      <c r="K137" s="34"/>
      <c r="L137" s="34"/>
      <c r="M137" s="34"/>
      <c r="N137" s="34"/>
      <c r="O137" s="34"/>
      <c r="P137" s="34"/>
      <c r="Q137" s="32"/>
      <c r="R137" s="35" t="str">
        <f t="shared" si="1"/>
        <v/>
      </c>
      <c r="S137" s="35" t="str">
        <f>IF(OR(K137="",P137=""),"",NETWORKDAYS(K137,P137,Listas!$O$4:$O$22)-1)</f>
        <v/>
      </c>
      <c r="T137" s="35" t="str">
        <f t="array" ref="T137">IFERROR(INDEX(Listas!$C$4:$C$13,MATCH(E137,Listas!$B$4:$B$13,0)),"")</f>
        <v/>
      </c>
      <c r="U137" s="35" t="str">
        <f t="shared" si="2"/>
        <v/>
      </c>
      <c r="V137" s="35" t="str">
        <f>IF(OR(L137="",M137=""),"",NETWORKDAYS(L137,M137,Listas!$O$4:$O$22)-1)</f>
        <v/>
      </c>
      <c r="W137" s="35" t="str">
        <f>IF(OR(N137="",O137=""),"",NETWORKDAYS(N137,O137,Listas!$O$4:$O$22)-1)</f>
        <v/>
      </c>
    </row>
    <row r="138" ht="15.75" customHeight="1">
      <c r="A138" s="18"/>
      <c r="B138" s="18"/>
      <c r="C138" s="32"/>
      <c r="D138" s="18"/>
      <c r="E138" s="32"/>
      <c r="F138" s="32"/>
      <c r="G138" s="32"/>
      <c r="H138" s="33"/>
      <c r="I138" s="34"/>
      <c r="J138" s="34"/>
      <c r="K138" s="34"/>
      <c r="L138" s="34"/>
      <c r="M138" s="34"/>
      <c r="N138" s="34"/>
      <c r="O138" s="34"/>
      <c r="P138" s="34"/>
      <c r="Q138" s="32"/>
      <c r="R138" s="35" t="str">
        <f t="shared" si="1"/>
        <v/>
      </c>
      <c r="S138" s="35" t="str">
        <f>IF(OR(K138="",P138=""),"",NETWORKDAYS(K138,P138,Listas!$O$4:$O$22)-1)</f>
        <v/>
      </c>
      <c r="T138" s="35" t="str">
        <f t="array" ref="T138">IFERROR(INDEX(Listas!$C$4:$C$13,MATCH(E138,Listas!$B$4:$B$13,0)),"")</f>
        <v/>
      </c>
      <c r="U138" s="35" t="str">
        <f t="shared" si="2"/>
        <v/>
      </c>
      <c r="V138" s="35" t="str">
        <f>IF(OR(L138="",M138=""),"",NETWORKDAYS(L138,M138,Listas!$O$4:$O$22)-1)</f>
        <v/>
      </c>
      <c r="W138" s="35" t="str">
        <f>IF(OR(N138="",O138=""),"",NETWORKDAYS(N138,O138,Listas!$O$4:$O$22)-1)</f>
        <v/>
      </c>
    </row>
    <row r="139" ht="15.75" customHeight="1">
      <c r="A139" s="18"/>
      <c r="B139" s="18"/>
      <c r="C139" s="32"/>
      <c r="D139" s="18"/>
      <c r="E139" s="32"/>
      <c r="F139" s="32"/>
      <c r="G139" s="32"/>
      <c r="H139" s="33"/>
      <c r="I139" s="34"/>
      <c r="J139" s="34"/>
      <c r="K139" s="34"/>
      <c r="L139" s="34"/>
      <c r="M139" s="34"/>
      <c r="N139" s="34"/>
      <c r="O139" s="34"/>
      <c r="P139" s="34"/>
      <c r="Q139" s="32"/>
      <c r="R139" s="35" t="str">
        <f t="shared" si="1"/>
        <v/>
      </c>
      <c r="S139" s="35" t="str">
        <f>IF(OR(K139="",P139=""),"",NETWORKDAYS(K139,P139,Listas!$O$4:$O$22)-1)</f>
        <v/>
      </c>
      <c r="T139" s="35" t="str">
        <f t="array" ref="T139">IFERROR(INDEX(Listas!$C$4:$C$13,MATCH(E139,Listas!$B$4:$B$13,0)),"")</f>
        <v/>
      </c>
      <c r="U139" s="35" t="str">
        <f t="shared" si="2"/>
        <v/>
      </c>
      <c r="V139" s="35" t="str">
        <f>IF(OR(L139="",M139=""),"",NETWORKDAYS(L139,M139,Listas!$O$4:$O$22)-1)</f>
        <v/>
      </c>
      <c r="W139" s="35" t="str">
        <f>IF(OR(N139="",O139=""),"",NETWORKDAYS(N139,O139,Listas!$O$4:$O$22)-1)</f>
        <v/>
      </c>
    </row>
    <row r="140" ht="15.75" customHeight="1">
      <c r="A140" s="18"/>
      <c r="B140" s="18"/>
      <c r="C140" s="32"/>
      <c r="D140" s="18"/>
      <c r="E140" s="32"/>
      <c r="F140" s="32"/>
      <c r="G140" s="32"/>
      <c r="H140" s="33"/>
      <c r="I140" s="34"/>
      <c r="J140" s="34"/>
      <c r="K140" s="34"/>
      <c r="L140" s="34"/>
      <c r="M140" s="34"/>
      <c r="N140" s="34"/>
      <c r="O140" s="34"/>
      <c r="P140" s="34"/>
      <c r="Q140" s="32"/>
      <c r="R140" s="35" t="str">
        <f t="shared" si="1"/>
        <v/>
      </c>
      <c r="S140" s="35" t="str">
        <f>IF(OR(K140="",P140=""),"",NETWORKDAYS(K140,P140,Listas!$O$4:$O$22)-1)</f>
        <v/>
      </c>
      <c r="T140" s="35" t="str">
        <f t="array" ref="T140">IFERROR(INDEX(Listas!$C$4:$C$13,MATCH(E140,Listas!$B$4:$B$13,0)),"")</f>
        <v/>
      </c>
      <c r="U140" s="35" t="str">
        <f t="shared" si="2"/>
        <v/>
      </c>
      <c r="V140" s="35" t="str">
        <f>IF(OR(L140="",M140=""),"",NETWORKDAYS(L140,M140,Listas!$O$4:$O$22)-1)</f>
        <v/>
      </c>
      <c r="W140" s="35" t="str">
        <f>IF(OR(N140="",O140=""),"",NETWORKDAYS(N140,O140,Listas!$O$4:$O$22)-1)</f>
        <v/>
      </c>
    </row>
    <row r="141" ht="15.75" customHeight="1">
      <c r="A141" s="18"/>
      <c r="B141" s="18"/>
      <c r="C141" s="32"/>
      <c r="D141" s="18"/>
      <c r="E141" s="32"/>
      <c r="F141" s="32"/>
      <c r="G141" s="32"/>
      <c r="H141" s="33"/>
      <c r="I141" s="34"/>
      <c r="J141" s="34"/>
      <c r="K141" s="34"/>
      <c r="L141" s="34"/>
      <c r="M141" s="34"/>
      <c r="N141" s="34"/>
      <c r="O141" s="34"/>
      <c r="P141" s="34"/>
      <c r="Q141" s="32"/>
      <c r="R141" s="35" t="str">
        <f t="shared" si="1"/>
        <v/>
      </c>
      <c r="S141" s="35" t="str">
        <f>IF(OR(K141="",P141=""),"",NETWORKDAYS(K141,P141,Listas!$O$4:$O$22)-1)</f>
        <v/>
      </c>
      <c r="T141" s="35" t="str">
        <f t="array" ref="T141">IFERROR(INDEX(Listas!$C$4:$C$13,MATCH(E141,Listas!$B$4:$B$13,0)),"")</f>
        <v/>
      </c>
      <c r="U141" s="35" t="str">
        <f t="shared" si="2"/>
        <v/>
      </c>
      <c r="V141" s="35" t="str">
        <f>IF(OR(L141="",M141=""),"",NETWORKDAYS(L141,M141,Listas!$O$4:$O$22)-1)</f>
        <v/>
      </c>
      <c r="W141" s="35" t="str">
        <f>IF(OR(N141="",O141=""),"",NETWORKDAYS(N141,O141,Listas!$O$4:$O$22)-1)</f>
        <v/>
      </c>
    </row>
    <row r="142" ht="15.75" customHeight="1">
      <c r="A142" s="18"/>
      <c r="B142" s="18"/>
      <c r="C142" s="32"/>
      <c r="D142" s="18"/>
      <c r="E142" s="32"/>
      <c r="F142" s="32"/>
      <c r="G142" s="32"/>
      <c r="H142" s="33"/>
      <c r="I142" s="34"/>
      <c r="J142" s="34"/>
      <c r="K142" s="34"/>
      <c r="L142" s="34"/>
      <c r="M142" s="34"/>
      <c r="N142" s="34"/>
      <c r="O142" s="34"/>
      <c r="P142" s="34"/>
      <c r="Q142" s="32"/>
      <c r="R142" s="35" t="str">
        <f t="shared" si="1"/>
        <v/>
      </c>
      <c r="S142" s="35" t="str">
        <f>IF(OR(K142="",P142=""),"",NETWORKDAYS(K142,P142,Listas!$O$4:$O$22)-1)</f>
        <v/>
      </c>
      <c r="T142" s="35" t="str">
        <f t="array" ref="T142">IFERROR(INDEX(Listas!$C$4:$C$13,MATCH(E142,Listas!$B$4:$B$13,0)),"")</f>
        <v/>
      </c>
      <c r="U142" s="35" t="str">
        <f t="shared" si="2"/>
        <v/>
      </c>
      <c r="V142" s="35" t="str">
        <f>IF(OR(L142="",M142=""),"",NETWORKDAYS(L142,M142,Listas!$O$4:$O$22)-1)</f>
        <v/>
      </c>
      <c r="W142" s="35" t="str">
        <f>IF(OR(N142="",O142=""),"",NETWORKDAYS(N142,O142,Listas!$O$4:$O$22)-1)</f>
        <v/>
      </c>
    </row>
    <row r="143" ht="15.75" customHeight="1">
      <c r="A143" s="18"/>
      <c r="B143" s="18"/>
      <c r="C143" s="32"/>
      <c r="D143" s="18"/>
      <c r="E143" s="32"/>
      <c r="F143" s="32"/>
      <c r="G143" s="32"/>
      <c r="H143" s="33"/>
      <c r="I143" s="34"/>
      <c r="J143" s="34"/>
      <c r="K143" s="34"/>
      <c r="L143" s="34"/>
      <c r="M143" s="34"/>
      <c r="N143" s="34"/>
      <c r="O143" s="34"/>
      <c r="P143" s="34"/>
      <c r="Q143" s="32"/>
      <c r="R143" s="35" t="str">
        <f t="shared" si="1"/>
        <v/>
      </c>
      <c r="S143" s="35" t="str">
        <f>IF(OR(K143="",P143=""),"",NETWORKDAYS(K143,P143,Listas!$O$4:$O$22)-1)</f>
        <v/>
      </c>
      <c r="T143" s="35" t="str">
        <f t="array" ref="T143">IFERROR(INDEX(Listas!$C$4:$C$13,MATCH(E143,Listas!$B$4:$B$13,0)),"")</f>
        <v/>
      </c>
      <c r="U143" s="35" t="str">
        <f t="shared" si="2"/>
        <v/>
      </c>
      <c r="V143" s="35" t="str">
        <f>IF(OR(L143="",M143=""),"",NETWORKDAYS(L143,M143,Listas!$O$4:$O$22)-1)</f>
        <v/>
      </c>
      <c r="W143" s="35" t="str">
        <f>IF(OR(N143="",O143=""),"",NETWORKDAYS(N143,O143,Listas!$O$4:$O$22)-1)</f>
        <v/>
      </c>
    </row>
    <row r="144" ht="15.75" customHeight="1">
      <c r="A144" s="18"/>
      <c r="B144" s="18"/>
      <c r="C144" s="32"/>
      <c r="D144" s="18"/>
      <c r="E144" s="32"/>
      <c r="F144" s="32"/>
      <c r="G144" s="32"/>
      <c r="H144" s="33"/>
      <c r="I144" s="34"/>
      <c r="J144" s="34"/>
      <c r="K144" s="34"/>
      <c r="L144" s="34"/>
      <c r="M144" s="34"/>
      <c r="N144" s="34"/>
      <c r="O144" s="34"/>
      <c r="P144" s="34"/>
      <c r="Q144" s="32"/>
      <c r="R144" s="35" t="str">
        <f t="shared" si="1"/>
        <v/>
      </c>
      <c r="S144" s="35" t="str">
        <f>IF(OR(K144="",P144=""),"",NETWORKDAYS(K144,P144,Listas!$O$4:$O$22)-1)</f>
        <v/>
      </c>
      <c r="T144" s="35" t="str">
        <f t="array" ref="T144">IFERROR(INDEX(Listas!$C$4:$C$13,MATCH(E144,Listas!$B$4:$B$13,0)),"")</f>
        <v/>
      </c>
      <c r="U144" s="35" t="str">
        <f t="shared" si="2"/>
        <v/>
      </c>
      <c r="V144" s="35" t="str">
        <f>IF(OR(L144="",M144=""),"",NETWORKDAYS(L144,M144,Listas!$O$4:$O$22)-1)</f>
        <v/>
      </c>
      <c r="W144" s="35" t="str">
        <f>IF(OR(N144="",O144=""),"",NETWORKDAYS(N144,O144,Listas!$O$4:$O$22)-1)</f>
        <v/>
      </c>
    </row>
    <row r="145" ht="15.75" customHeight="1">
      <c r="A145" s="18"/>
      <c r="B145" s="18"/>
      <c r="C145" s="32"/>
      <c r="D145" s="18"/>
      <c r="E145" s="32"/>
      <c r="F145" s="32"/>
      <c r="G145" s="32"/>
      <c r="H145" s="33"/>
      <c r="I145" s="34"/>
      <c r="J145" s="34"/>
      <c r="K145" s="34"/>
      <c r="L145" s="34"/>
      <c r="M145" s="34"/>
      <c r="N145" s="34"/>
      <c r="O145" s="34"/>
      <c r="P145" s="34"/>
      <c r="Q145" s="32"/>
      <c r="R145" s="35" t="str">
        <f t="shared" si="1"/>
        <v/>
      </c>
      <c r="S145" s="35" t="str">
        <f>IF(OR(K145="",P145=""),"",NETWORKDAYS(K145,P145,Listas!$O$4:$O$22)-1)</f>
        <v/>
      </c>
      <c r="T145" s="35" t="str">
        <f t="array" ref="T145">IFERROR(INDEX(Listas!$C$4:$C$13,MATCH(E145,Listas!$B$4:$B$13,0)),"")</f>
        <v/>
      </c>
      <c r="U145" s="35" t="str">
        <f t="shared" si="2"/>
        <v/>
      </c>
      <c r="V145" s="35" t="str">
        <f>IF(OR(L145="",M145=""),"",NETWORKDAYS(L145,M145,Listas!$O$4:$O$22)-1)</f>
        <v/>
      </c>
      <c r="W145" s="35" t="str">
        <f>IF(OR(N145="",O145=""),"",NETWORKDAYS(N145,O145,Listas!$O$4:$O$22)-1)</f>
        <v/>
      </c>
    </row>
    <row r="146" ht="15.75" customHeight="1">
      <c r="A146" s="18"/>
      <c r="B146" s="18"/>
      <c r="C146" s="32"/>
      <c r="D146" s="18"/>
      <c r="E146" s="32"/>
      <c r="F146" s="32"/>
      <c r="G146" s="32"/>
      <c r="H146" s="33"/>
      <c r="I146" s="34"/>
      <c r="J146" s="34"/>
      <c r="K146" s="34"/>
      <c r="L146" s="34"/>
      <c r="M146" s="34"/>
      <c r="N146" s="34"/>
      <c r="O146" s="34"/>
      <c r="P146" s="34"/>
      <c r="Q146" s="32"/>
      <c r="R146" s="35" t="str">
        <f t="shared" si="1"/>
        <v/>
      </c>
      <c r="S146" s="35" t="str">
        <f>IF(OR(K146="",P146=""),"",NETWORKDAYS(K146,P146,Listas!$O$4:$O$22)-1)</f>
        <v/>
      </c>
      <c r="T146" s="35" t="str">
        <f t="array" ref="T146">IFERROR(INDEX(Listas!$C$4:$C$13,MATCH(E146,Listas!$B$4:$B$13,0)),"")</f>
        <v/>
      </c>
      <c r="U146" s="35" t="str">
        <f t="shared" si="2"/>
        <v/>
      </c>
      <c r="V146" s="35" t="str">
        <f>IF(OR(L146="",M146=""),"",NETWORKDAYS(L146,M146,Listas!$O$4:$O$22)-1)</f>
        <v/>
      </c>
      <c r="W146" s="35" t="str">
        <f>IF(OR(N146="",O146=""),"",NETWORKDAYS(N146,O146,Listas!$O$4:$O$22)-1)</f>
        <v/>
      </c>
    </row>
    <row r="147" ht="15.75" customHeight="1">
      <c r="A147" s="18"/>
      <c r="B147" s="18"/>
      <c r="C147" s="32"/>
      <c r="D147" s="18"/>
      <c r="E147" s="32"/>
      <c r="F147" s="32"/>
      <c r="G147" s="32"/>
      <c r="H147" s="33"/>
      <c r="I147" s="34"/>
      <c r="J147" s="34"/>
      <c r="K147" s="34"/>
      <c r="L147" s="34"/>
      <c r="M147" s="34"/>
      <c r="N147" s="34"/>
      <c r="O147" s="34"/>
      <c r="P147" s="34"/>
      <c r="Q147" s="32"/>
      <c r="R147" s="35" t="str">
        <f t="shared" si="1"/>
        <v/>
      </c>
      <c r="S147" s="35" t="str">
        <f>IF(OR(K147="",P147=""),"",NETWORKDAYS(K147,P147,Listas!$O$4:$O$22)-1)</f>
        <v/>
      </c>
      <c r="T147" s="35" t="str">
        <f t="array" ref="T147">IFERROR(INDEX(Listas!$C$4:$C$13,MATCH(E147,Listas!$B$4:$B$13,0)),"")</f>
        <v/>
      </c>
      <c r="U147" s="35" t="str">
        <f t="shared" si="2"/>
        <v/>
      </c>
      <c r="V147" s="35" t="str">
        <f>IF(OR(L147="",M147=""),"",NETWORKDAYS(L147,M147,Listas!$O$4:$O$22)-1)</f>
        <v/>
      </c>
      <c r="W147" s="35" t="str">
        <f>IF(OR(N147="",O147=""),"",NETWORKDAYS(N147,O147,Listas!$O$4:$O$22)-1)</f>
        <v/>
      </c>
    </row>
    <row r="148" ht="15.75" customHeight="1">
      <c r="A148" s="18"/>
      <c r="B148" s="18"/>
      <c r="C148" s="32"/>
      <c r="D148" s="18"/>
      <c r="E148" s="32"/>
      <c r="F148" s="32"/>
      <c r="G148" s="32"/>
      <c r="H148" s="33"/>
      <c r="I148" s="34"/>
      <c r="J148" s="34"/>
      <c r="K148" s="34"/>
      <c r="L148" s="34"/>
      <c r="M148" s="34"/>
      <c r="N148" s="34"/>
      <c r="O148" s="34"/>
      <c r="P148" s="34"/>
      <c r="Q148" s="32"/>
      <c r="R148" s="35" t="str">
        <f t="shared" si="1"/>
        <v/>
      </c>
      <c r="S148" s="35" t="str">
        <f>IF(OR(K148="",P148=""),"",NETWORKDAYS(K148,P148,Listas!$O$4:$O$22)-1)</f>
        <v/>
      </c>
      <c r="T148" s="35" t="str">
        <f t="array" ref="T148">IFERROR(INDEX(Listas!$C$4:$C$13,MATCH(E148,Listas!$B$4:$B$13,0)),"")</f>
        <v/>
      </c>
      <c r="U148" s="35" t="str">
        <f t="shared" si="2"/>
        <v/>
      </c>
      <c r="V148" s="35" t="str">
        <f>IF(OR(L148="",M148=""),"",NETWORKDAYS(L148,M148,Listas!$O$4:$O$22)-1)</f>
        <v/>
      </c>
      <c r="W148" s="35" t="str">
        <f>IF(OR(N148="",O148=""),"",NETWORKDAYS(N148,O148,Listas!$O$4:$O$22)-1)</f>
        <v/>
      </c>
    </row>
    <row r="149" ht="15.75" customHeight="1">
      <c r="A149" s="18"/>
      <c r="B149" s="18"/>
      <c r="C149" s="32"/>
      <c r="D149" s="18"/>
      <c r="E149" s="32"/>
      <c r="F149" s="32"/>
      <c r="G149" s="32"/>
      <c r="H149" s="33"/>
      <c r="I149" s="34"/>
      <c r="J149" s="34"/>
      <c r="K149" s="34"/>
      <c r="L149" s="34"/>
      <c r="M149" s="34"/>
      <c r="N149" s="34"/>
      <c r="O149" s="34"/>
      <c r="P149" s="34"/>
      <c r="Q149" s="32"/>
      <c r="R149" s="35" t="str">
        <f t="shared" si="1"/>
        <v/>
      </c>
      <c r="S149" s="35" t="str">
        <f>IF(OR(K149="",P149=""),"",NETWORKDAYS(K149,P149,Listas!$O$4:$O$22)-1)</f>
        <v/>
      </c>
      <c r="T149" s="35" t="str">
        <f t="array" ref="T149">IFERROR(INDEX(Listas!$C$4:$C$13,MATCH(E149,Listas!$B$4:$B$13,0)),"")</f>
        <v/>
      </c>
      <c r="U149" s="35" t="str">
        <f t="shared" si="2"/>
        <v/>
      </c>
      <c r="V149" s="35" t="str">
        <f>IF(OR(L149="",M149=""),"",NETWORKDAYS(L149,M149,Listas!$O$4:$O$22)-1)</f>
        <v/>
      </c>
      <c r="W149" s="35" t="str">
        <f>IF(OR(N149="",O149=""),"",NETWORKDAYS(N149,O149,Listas!$O$4:$O$22)-1)</f>
        <v/>
      </c>
    </row>
    <row r="150" ht="15.75" customHeight="1">
      <c r="A150" s="18"/>
      <c r="B150" s="18"/>
      <c r="C150" s="32"/>
      <c r="D150" s="18"/>
      <c r="E150" s="32"/>
      <c r="F150" s="32"/>
      <c r="G150" s="32"/>
      <c r="H150" s="33"/>
      <c r="I150" s="34"/>
      <c r="J150" s="34"/>
      <c r="K150" s="34"/>
      <c r="L150" s="34"/>
      <c r="M150" s="34"/>
      <c r="N150" s="34"/>
      <c r="O150" s="34"/>
      <c r="P150" s="34"/>
      <c r="Q150" s="32"/>
      <c r="R150" s="35" t="str">
        <f t="shared" si="1"/>
        <v/>
      </c>
      <c r="S150" s="35" t="str">
        <f>IF(OR(K150="",P150=""),"",NETWORKDAYS(K150,P150,Listas!$O$4:$O$22)-1)</f>
        <v/>
      </c>
      <c r="T150" s="35" t="str">
        <f t="array" ref="T150">IFERROR(INDEX(Listas!$C$4:$C$13,MATCH(E150,Listas!$B$4:$B$13,0)),"")</f>
        <v/>
      </c>
      <c r="U150" s="35" t="str">
        <f t="shared" si="2"/>
        <v/>
      </c>
      <c r="V150" s="35" t="str">
        <f>IF(OR(L150="",M150=""),"",NETWORKDAYS(L150,M150,Listas!$O$4:$O$22)-1)</f>
        <v/>
      </c>
      <c r="W150" s="35" t="str">
        <f>IF(OR(N150="",O150=""),"",NETWORKDAYS(N150,O150,Listas!$O$4:$O$22)-1)</f>
        <v/>
      </c>
    </row>
    <row r="151" ht="15.75" customHeight="1">
      <c r="A151" s="18"/>
      <c r="B151" s="18"/>
      <c r="C151" s="32"/>
      <c r="D151" s="18"/>
      <c r="E151" s="32"/>
      <c r="F151" s="32"/>
      <c r="G151" s="32"/>
      <c r="H151" s="33"/>
      <c r="I151" s="34"/>
      <c r="J151" s="34"/>
      <c r="K151" s="34"/>
      <c r="L151" s="34"/>
      <c r="M151" s="34"/>
      <c r="N151" s="34"/>
      <c r="O151" s="34"/>
      <c r="P151" s="34"/>
      <c r="Q151" s="32"/>
      <c r="R151" s="35" t="str">
        <f t="shared" si="1"/>
        <v/>
      </c>
      <c r="S151" s="35" t="str">
        <f>IF(OR(K151="",P151=""),"",NETWORKDAYS(K151,P151,Listas!$O$4:$O$22)-1)</f>
        <v/>
      </c>
      <c r="T151" s="35" t="str">
        <f t="array" ref="T151">IFERROR(INDEX(Listas!$C$4:$C$13,MATCH(E151,Listas!$B$4:$B$13,0)),"")</f>
        <v/>
      </c>
      <c r="U151" s="35" t="str">
        <f t="shared" si="2"/>
        <v/>
      </c>
      <c r="V151" s="35" t="str">
        <f>IF(OR(L151="",M151=""),"",NETWORKDAYS(L151,M151,Listas!$O$4:$O$22)-1)</f>
        <v/>
      </c>
      <c r="W151" s="35" t="str">
        <f>IF(OR(N151="",O151=""),"",NETWORKDAYS(N151,O151,Listas!$O$4:$O$22)-1)</f>
        <v/>
      </c>
    </row>
    <row r="152" ht="15.75" customHeight="1">
      <c r="A152" s="18"/>
      <c r="B152" s="18"/>
      <c r="C152" s="32"/>
      <c r="D152" s="18"/>
      <c r="E152" s="32"/>
      <c r="F152" s="32"/>
      <c r="G152" s="32"/>
      <c r="H152" s="33"/>
      <c r="I152" s="34"/>
      <c r="J152" s="34"/>
      <c r="K152" s="34"/>
      <c r="L152" s="34"/>
      <c r="M152" s="34"/>
      <c r="N152" s="34"/>
      <c r="O152" s="34"/>
      <c r="P152" s="34"/>
      <c r="Q152" s="32"/>
      <c r="R152" s="35" t="str">
        <f t="shared" si="1"/>
        <v/>
      </c>
      <c r="S152" s="35" t="str">
        <f>IF(OR(K152="",P152=""),"",NETWORKDAYS(K152,P152,Listas!$O$4:$O$22)-1)</f>
        <v/>
      </c>
      <c r="T152" s="35" t="str">
        <f t="array" ref="T152">IFERROR(INDEX(Listas!$C$4:$C$13,MATCH(E152,Listas!$B$4:$B$13,0)),"")</f>
        <v/>
      </c>
      <c r="U152" s="35" t="str">
        <f t="shared" si="2"/>
        <v/>
      </c>
      <c r="V152" s="35" t="str">
        <f>IF(OR(L152="",M152=""),"",NETWORKDAYS(L152,M152,Listas!$O$4:$O$22)-1)</f>
        <v/>
      </c>
      <c r="W152" s="35" t="str">
        <f>IF(OR(N152="",O152=""),"",NETWORKDAYS(N152,O152,Listas!$O$4:$O$22)-1)</f>
        <v/>
      </c>
    </row>
    <row r="153" ht="15.75" customHeight="1">
      <c r="A153" s="18"/>
      <c r="B153" s="18"/>
      <c r="C153" s="32"/>
      <c r="D153" s="18"/>
      <c r="E153" s="32"/>
      <c r="F153" s="32"/>
      <c r="G153" s="32"/>
      <c r="H153" s="33"/>
      <c r="I153" s="34"/>
      <c r="J153" s="34"/>
      <c r="K153" s="34"/>
      <c r="L153" s="34"/>
      <c r="M153" s="34"/>
      <c r="N153" s="34"/>
      <c r="O153" s="34"/>
      <c r="P153" s="34"/>
      <c r="Q153" s="32"/>
      <c r="R153" s="35" t="str">
        <f t="shared" si="1"/>
        <v/>
      </c>
      <c r="S153" s="35" t="str">
        <f>IF(OR(K153="",P153=""),"",NETWORKDAYS(K153,P153,Listas!$O$4:$O$22)-1)</f>
        <v/>
      </c>
      <c r="T153" s="35" t="str">
        <f t="array" ref="T153">IFERROR(INDEX(Listas!$C$4:$C$13,MATCH(E153,Listas!$B$4:$B$13,0)),"")</f>
        <v/>
      </c>
      <c r="U153" s="35" t="str">
        <f t="shared" si="2"/>
        <v/>
      </c>
      <c r="V153" s="35" t="str">
        <f>IF(OR(L153="",M153=""),"",NETWORKDAYS(L153,M153,Listas!$O$4:$O$22)-1)</f>
        <v/>
      </c>
      <c r="W153" s="35" t="str">
        <f>IF(OR(N153="",O153=""),"",NETWORKDAYS(N153,O153,Listas!$O$4:$O$22)-1)</f>
        <v/>
      </c>
    </row>
    <row r="154" ht="15.75" customHeight="1">
      <c r="A154" s="18"/>
      <c r="B154" s="18"/>
      <c r="C154" s="32"/>
      <c r="D154" s="18"/>
      <c r="E154" s="32"/>
      <c r="F154" s="32"/>
      <c r="G154" s="32"/>
      <c r="H154" s="33"/>
      <c r="I154" s="34"/>
      <c r="J154" s="34"/>
      <c r="K154" s="34"/>
      <c r="L154" s="34"/>
      <c r="M154" s="34"/>
      <c r="N154" s="34"/>
      <c r="O154" s="34"/>
      <c r="P154" s="34"/>
      <c r="Q154" s="32"/>
      <c r="R154" s="35" t="str">
        <f t="shared" si="1"/>
        <v/>
      </c>
      <c r="S154" s="35" t="str">
        <f>IF(OR(K154="",P154=""),"",NETWORKDAYS(K154,P154,Listas!$O$4:$O$22)-1)</f>
        <v/>
      </c>
      <c r="T154" s="35" t="str">
        <f t="array" ref="T154">IFERROR(INDEX(Listas!$C$4:$C$13,MATCH(E154,Listas!$B$4:$B$13,0)),"")</f>
        <v/>
      </c>
      <c r="U154" s="35" t="str">
        <f t="shared" si="2"/>
        <v/>
      </c>
      <c r="V154" s="35" t="str">
        <f>IF(OR(L154="",M154=""),"",NETWORKDAYS(L154,M154,Listas!$O$4:$O$22)-1)</f>
        <v/>
      </c>
      <c r="W154" s="35" t="str">
        <f>IF(OR(N154="",O154=""),"",NETWORKDAYS(N154,O154,Listas!$O$4:$O$22)-1)</f>
        <v/>
      </c>
    </row>
    <row r="155" ht="15.75" customHeight="1">
      <c r="A155" s="18"/>
      <c r="B155" s="18"/>
      <c r="C155" s="32"/>
      <c r="D155" s="18"/>
      <c r="E155" s="32"/>
      <c r="F155" s="32"/>
      <c r="G155" s="32"/>
      <c r="H155" s="33"/>
      <c r="I155" s="34"/>
      <c r="J155" s="34"/>
      <c r="K155" s="34"/>
      <c r="L155" s="34"/>
      <c r="M155" s="34"/>
      <c r="N155" s="34"/>
      <c r="O155" s="34"/>
      <c r="P155" s="34"/>
      <c r="Q155" s="32"/>
      <c r="R155" s="35" t="str">
        <f t="shared" si="1"/>
        <v/>
      </c>
      <c r="S155" s="35" t="str">
        <f>IF(OR(K155="",P155=""),"",NETWORKDAYS(K155,P155,Listas!$O$4:$O$22)-1)</f>
        <v/>
      </c>
      <c r="T155" s="35" t="str">
        <f t="array" ref="T155">IFERROR(INDEX(Listas!$C$4:$C$13,MATCH(E155,Listas!$B$4:$B$13,0)),"")</f>
        <v/>
      </c>
      <c r="U155" s="35" t="str">
        <f t="shared" si="2"/>
        <v/>
      </c>
      <c r="V155" s="35" t="str">
        <f>IF(OR(L155="",M155=""),"",NETWORKDAYS(L155,M155,Listas!$O$4:$O$22)-1)</f>
        <v/>
      </c>
      <c r="W155" s="35" t="str">
        <f>IF(OR(N155="",O155=""),"",NETWORKDAYS(N155,O155,Listas!$O$4:$O$22)-1)</f>
        <v/>
      </c>
    </row>
    <row r="156" ht="15.75" customHeight="1">
      <c r="A156" s="18"/>
      <c r="B156" s="18"/>
      <c r="C156" s="32"/>
      <c r="D156" s="18"/>
      <c r="E156" s="32"/>
      <c r="F156" s="32"/>
      <c r="G156" s="32"/>
      <c r="H156" s="33"/>
      <c r="I156" s="34"/>
      <c r="J156" s="34"/>
      <c r="K156" s="34"/>
      <c r="L156" s="34"/>
      <c r="M156" s="34"/>
      <c r="N156" s="34"/>
      <c r="O156" s="34"/>
      <c r="P156" s="34"/>
      <c r="Q156" s="32"/>
      <c r="R156" s="35" t="str">
        <f t="shared" si="1"/>
        <v/>
      </c>
      <c r="S156" s="35" t="str">
        <f>IF(OR(K156="",P156=""),"",NETWORKDAYS(K156,P156,Listas!$O$4:$O$22)-1)</f>
        <v/>
      </c>
      <c r="T156" s="35" t="str">
        <f t="array" ref="T156">IFERROR(INDEX(Listas!$C$4:$C$13,MATCH(E156,Listas!$B$4:$B$13,0)),"")</f>
        <v/>
      </c>
      <c r="U156" s="35" t="str">
        <f t="shared" si="2"/>
        <v/>
      </c>
      <c r="V156" s="35" t="str">
        <f>IF(OR(L156="",M156=""),"",NETWORKDAYS(L156,M156,Listas!$O$4:$O$22)-1)</f>
        <v/>
      </c>
      <c r="W156" s="35" t="str">
        <f>IF(OR(N156="",O156=""),"",NETWORKDAYS(N156,O156,Listas!$O$4:$O$22)-1)</f>
        <v/>
      </c>
    </row>
    <row r="157" ht="15.75" customHeight="1">
      <c r="A157" s="18"/>
      <c r="B157" s="18"/>
      <c r="C157" s="32"/>
      <c r="D157" s="18"/>
      <c r="E157" s="32"/>
      <c r="F157" s="32"/>
      <c r="G157" s="32"/>
      <c r="H157" s="33"/>
      <c r="I157" s="34"/>
      <c r="J157" s="34"/>
      <c r="K157" s="34"/>
      <c r="L157" s="34"/>
      <c r="M157" s="34"/>
      <c r="N157" s="34"/>
      <c r="O157" s="34"/>
      <c r="P157" s="34"/>
      <c r="Q157" s="32"/>
      <c r="R157" s="35" t="str">
        <f t="shared" si="1"/>
        <v/>
      </c>
      <c r="S157" s="35" t="str">
        <f>IF(OR(K157="",P157=""),"",NETWORKDAYS(K157,P157,Listas!$O$4:$O$22)-1)</f>
        <v/>
      </c>
      <c r="T157" s="35" t="str">
        <f t="array" ref="T157">IFERROR(INDEX(Listas!$C$4:$C$13,MATCH(E157,Listas!$B$4:$B$13,0)),"")</f>
        <v/>
      </c>
      <c r="U157" s="35" t="str">
        <f t="shared" si="2"/>
        <v/>
      </c>
      <c r="V157" s="35" t="str">
        <f>IF(OR(L157="",M157=""),"",NETWORKDAYS(L157,M157,Listas!$O$4:$O$22)-1)</f>
        <v/>
      </c>
      <c r="W157" s="35" t="str">
        <f>IF(OR(N157="",O157=""),"",NETWORKDAYS(N157,O157,Listas!$O$4:$O$22)-1)</f>
        <v/>
      </c>
    </row>
    <row r="158" ht="15.75" customHeight="1">
      <c r="A158" s="18"/>
      <c r="B158" s="18"/>
      <c r="C158" s="32"/>
      <c r="D158" s="18"/>
      <c r="E158" s="32"/>
      <c r="F158" s="32"/>
      <c r="G158" s="32"/>
      <c r="H158" s="33"/>
      <c r="I158" s="34"/>
      <c r="J158" s="34"/>
      <c r="K158" s="34"/>
      <c r="L158" s="34"/>
      <c r="M158" s="34"/>
      <c r="N158" s="34"/>
      <c r="O158" s="34"/>
      <c r="P158" s="34"/>
      <c r="Q158" s="32"/>
      <c r="R158" s="35" t="str">
        <f t="shared" si="1"/>
        <v/>
      </c>
      <c r="S158" s="35" t="str">
        <f>IF(OR(K158="",P158=""),"",NETWORKDAYS(K158,P158,Listas!$O$4:$O$22)-1)</f>
        <v/>
      </c>
      <c r="T158" s="35" t="str">
        <f t="array" ref="T158">IFERROR(INDEX(Listas!$C$4:$C$13,MATCH(E158,Listas!$B$4:$B$13,0)),"")</f>
        <v/>
      </c>
      <c r="U158" s="35" t="str">
        <f t="shared" si="2"/>
        <v/>
      </c>
      <c r="V158" s="35" t="str">
        <f>IF(OR(L158="",M158=""),"",NETWORKDAYS(L158,M158,Listas!$O$4:$O$22)-1)</f>
        <v/>
      </c>
      <c r="W158" s="35" t="str">
        <f>IF(OR(N158="",O158=""),"",NETWORKDAYS(N158,O158,Listas!$O$4:$O$22)-1)</f>
        <v/>
      </c>
    </row>
    <row r="159" ht="15.75" customHeight="1">
      <c r="A159" s="18"/>
      <c r="B159" s="18"/>
      <c r="C159" s="32"/>
      <c r="D159" s="18"/>
      <c r="E159" s="32"/>
      <c r="F159" s="32"/>
      <c r="G159" s="32"/>
      <c r="H159" s="33"/>
      <c r="I159" s="34"/>
      <c r="J159" s="34"/>
      <c r="K159" s="34"/>
      <c r="L159" s="34"/>
      <c r="M159" s="34"/>
      <c r="N159" s="34"/>
      <c r="O159" s="34"/>
      <c r="P159" s="34"/>
      <c r="Q159" s="32"/>
      <c r="R159" s="35" t="str">
        <f t="shared" si="1"/>
        <v/>
      </c>
      <c r="S159" s="35" t="str">
        <f>IF(OR(K159="",P159=""),"",NETWORKDAYS(K159,P159,Listas!$O$4:$O$22)-1)</f>
        <v/>
      </c>
      <c r="T159" s="35" t="str">
        <f t="array" ref="T159">IFERROR(INDEX(Listas!$C$4:$C$13,MATCH(E159,Listas!$B$4:$B$13,0)),"")</f>
        <v/>
      </c>
      <c r="U159" s="35" t="str">
        <f t="shared" si="2"/>
        <v/>
      </c>
      <c r="V159" s="35" t="str">
        <f>IF(OR(L159="",M159=""),"",NETWORKDAYS(L159,M159,Listas!$O$4:$O$22)-1)</f>
        <v/>
      </c>
      <c r="W159" s="35" t="str">
        <f>IF(OR(N159="",O159=""),"",NETWORKDAYS(N159,O159,Listas!$O$4:$O$22)-1)</f>
        <v/>
      </c>
    </row>
    <row r="160" ht="15.75" customHeight="1">
      <c r="A160" s="18"/>
      <c r="B160" s="18"/>
      <c r="C160" s="32"/>
      <c r="D160" s="18"/>
      <c r="E160" s="32"/>
      <c r="F160" s="32"/>
      <c r="G160" s="32"/>
      <c r="H160" s="33"/>
      <c r="I160" s="34"/>
      <c r="J160" s="34"/>
      <c r="K160" s="34"/>
      <c r="L160" s="34"/>
      <c r="M160" s="34"/>
      <c r="N160" s="34"/>
      <c r="O160" s="34"/>
      <c r="P160" s="34"/>
      <c r="Q160" s="32"/>
      <c r="R160" s="35" t="str">
        <f t="shared" si="1"/>
        <v/>
      </c>
      <c r="S160" s="35" t="str">
        <f>IF(OR(K160="",P160=""),"",NETWORKDAYS(K160,P160,Listas!$O$4:$O$22)-1)</f>
        <v/>
      </c>
      <c r="T160" s="35" t="str">
        <f t="array" ref="T160">IFERROR(INDEX(Listas!$C$4:$C$13,MATCH(E160,Listas!$B$4:$B$13,0)),"")</f>
        <v/>
      </c>
      <c r="U160" s="35" t="str">
        <f t="shared" si="2"/>
        <v/>
      </c>
      <c r="V160" s="35" t="str">
        <f>IF(OR(L160="",M160=""),"",NETWORKDAYS(L160,M160,Listas!$O$4:$O$22)-1)</f>
        <v/>
      </c>
      <c r="W160" s="35" t="str">
        <f>IF(OR(N160="",O160=""),"",NETWORKDAYS(N160,O160,Listas!$O$4:$O$22)-1)</f>
        <v/>
      </c>
    </row>
    <row r="161" ht="15.75" customHeight="1">
      <c r="A161" s="18"/>
      <c r="B161" s="18"/>
      <c r="C161" s="32"/>
      <c r="D161" s="18"/>
      <c r="E161" s="32"/>
      <c r="F161" s="32"/>
      <c r="G161" s="32"/>
      <c r="H161" s="33"/>
      <c r="I161" s="34"/>
      <c r="J161" s="34"/>
      <c r="K161" s="34"/>
      <c r="L161" s="34"/>
      <c r="M161" s="34"/>
      <c r="N161" s="34"/>
      <c r="O161" s="34"/>
      <c r="P161" s="34"/>
      <c r="Q161" s="32"/>
      <c r="R161" s="35" t="str">
        <f t="shared" si="1"/>
        <v/>
      </c>
      <c r="S161" s="35" t="str">
        <f>IF(OR(K161="",P161=""),"",NETWORKDAYS(K161,P161,Listas!$O$4:$O$22)-1)</f>
        <v/>
      </c>
      <c r="T161" s="35" t="str">
        <f t="array" ref="T161">IFERROR(INDEX(Listas!$C$4:$C$13,MATCH(E161,Listas!$B$4:$B$13,0)),"")</f>
        <v/>
      </c>
      <c r="U161" s="35" t="str">
        <f t="shared" si="2"/>
        <v/>
      </c>
      <c r="V161" s="35" t="str">
        <f>IF(OR(L161="",M161=""),"",NETWORKDAYS(L161,M161,Listas!$O$4:$O$22)-1)</f>
        <v/>
      </c>
      <c r="W161" s="35" t="str">
        <f>IF(OR(N161="",O161=""),"",NETWORKDAYS(N161,O161,Listas!$O$4:$O$22)-1)</f>
        <v/>
      </c>
    </row>
    <row r="162" ht="15.75" customHeight="1">
      <c r="A162" s="18"/>
      <c r="B162" s="18"/>
      <c r="C162" s="32"/>
      <c r="D162" s="18"/>
      <c r="E162" s="32"/>
      <c r="F162" s="32"/>
      <c r="G162" s="32"/>
      <c r="H162" s="33"/>
      <c r="I162" s="34"/>
      <c r="J162" s="34"/>
      <c r="K162" s="34"/>
      <c r="L162" s="34"/>
      <c r="M162" s="34"/>
      <c r="N162" s="34"/>
      <c r="O162" s="34"/>
      <c r="P162" s="34"/>
      <c r="Q162" s="32"/>
      <c r="R162" s="35" t="str">
        <f t="shared" si="1"/>
        <v/>
      </c>
      <c r="S162" s="35" t="str">
        <f>IF(OR(K162="",P162=""),"",NETWORKDAYS(K162,P162,Listas!$O$4:$O$22)-1)</f>
        <v/>
      </c>
      <c r="T162" s="35" t="str">
        <f t="array" ref="T162">IFERROR(INDEX(Listas!$C$4:$C$13,MATCH(E162,Listas!$B$4:$B$13,0)),"")</f>
        <v/>
      </c>
      <c r="U162" s="35" t="str">
        <f t="shared" si="2"/>
        <v/>
      </c>
      <c r="V162" s="35" t="str">
        <f>IF(OR(L162="",M162=""),"",NETWORKDAYS(L162,M162,Listas!$O$4:$O$22)-1)</f>
        <v/>
      </c>
      <c r="W162" s="35" t="str">
        <f>IF(OR(N162="",O162=""),"",NETWORKDAYS(N162,O162,Listas!$O$4:$O$22)-1)</f>
        <v/>
      </c>
    </row>
    <row r="163" ht="15.75" customHeight="1">
      <c r="A163" s="18"/>
      <c r="B163" s="18"/>
      <c r="C163" s="32"/>
      <c r="D163" s="18"/>
      <c r="E163" s="32"/>
      <c r="F163" s="32"/>
      <c r="G163" s="32"/>
      <c r="H163" s="33"/>
      <c r="I163" s="34"/>
      <c r="J163" s="34"/>
      <c r="K163" s="34"/>
      <c r="L163" s="34"/>
      <c r="M163" s="34"/>
      <c r="N163" s="34"/>
      <c r="O163" s="34"/>
      <c r="P163" s="34"/>
      <c r="Q163" s="32"/>
      <c r="R163" s="35" t="str">
        <f t="shared" si="1"/>
        <v/>
      </c>
      <c r="S163" s="35" t="str">
        <f>IF(OR(K163="",P163=""),"",NETWORKDAYS(K163,P163,Listas!$O$4:$O$22)-1)</f>
        <v/>
      </c>
      <c r="T163" s="35" t="str">
        <f t="array" ref="T163">IFERROR(INDEX(Listas!$C$4:$C$13,MATCH(E163,Listas!$B$4:$B$13,0)),"")</f>
        <v/>
      </c>
      <c r="U163" s="35" t="str">
        <f t="shared" si="2"/>
        <v/>
      </c>
      <c r="V163" s="35" t="str">
        <f>IF(OR(L163="",M163=""),"",NETWORKDAYS(L163,M163,Listas!$O$4:$O$22)-1)</f>
        <v/>
      </c>
      <c r="W163" s="35" t="str">
        <f>IF(OR(N163="",O163=""),"",NETWORKDAYS(N163,O163,Listas!$O$4:$O$22)-1)</f>
        <v/>
      </c>
    </row>
    <row r="164" ht="15.75" customHeight="1">
      <c r="A164" s="18"/>
      <c r="B164" s="18"/>
      <c r="C164" s="32"/>
      <c r="D164" s="18"/>
      <c r="E164" s="32"/>
      <c r="F164" s="32"/>
      <c r="G164" s="32"/>
      <c r="H164" s="33"/>
      <c r="I164" s="34"/>
      <c r="J164" s="34"/>
      <c r="K164" s="34"/>
      <c r="L164" s="34"/>
      <c r="M164" s="34"/>
      <c r="N164" s="34"/>
      <c r="O164" s="34"/>
      <c r="P164" s="34"/>
      <c r="Q164" s="32"/>
      <c r="R164" s="35" t="str">
        <f t="shared" si="1"/>
        <v/>
      </c>
      <c r="S164" s="35" t="str">
        <f>IF(OR(K164="",P164=""),"",NETWORKDAYS(K164,P164,Listas!$O$4:$O$22)-1)</f>
        <v/>
      </c>
      <c r="T164" s="35" t="str">
        <f t="array" ref="T164">IFERROR(INDEX(Listas!$C$4:$C$13,MATCH(E164,Listas!$B$4:$B$13,0)),"")</f>
        <v/>
      </c>
      <c r="U164" s="35" t="str">
        <f t="shared" si="2"/>
        <v/>
      </c>
      <c r="V164" s="35" t="str">
        <f>IF(OR(L164="",M164=""),"",NETWORKDAYS(L164,M164,Listas!$O$4:$O$22)-1)</f>
        <v/>
      </c>
      <c r="W164" s="35" t="str">
        <f>IF(OR(N164="",O164=""),"",NETWORKDAYS(N164,O164,Listas!$O$4:$O$22)-1)</f>
        <v/>
      </c>
    </row>
    <row r="165" ht="15.75" customHeight="1">
      <c r="A165" s="18"/>
      <c r="B165" s="18"/>
      <c r="C165" s="32"/>
      <c r="D165" s="18"/>
      <c r="E165" s="32"/>
      <c r="F165" s="32"/>
      <c r="G165" s="32"/>
      <c r="H165" s="33"/>
      <c r="I165" s="34"/>
      <c r="J165" s="34"/>
      <c r="K165" s="34"/>
      <c r="L165" s="34"/>
      <c r="M165" s="34"/>
      <c r="N165" s="34"/>
      <c r="O165" s="34"/>
      <c r="P165" s="34"/>
      <c r="Q165" s="32"/>
      <c r="R165" s="35" t="str">
        <f t="shared" si="1"/>
        <v/>
      </c>
      <c r="S165" s="35" t="str">
        <f>IF(OR(K165="",P165=""),"",NETWORKDAYS(K165,P165,Listas!$O$4:$O$22)-1)</f>
        <v/>
      </c>
      <c r="T165" s="35" t="str">
        <f t="array" ref="T165">IFERROR(INDEX(Listas!$C$4:$C$13,MATCH(E165,Listas!$B$4:$B$13,0)),"")</f>
        <v/>
      </c>
      <c r="U165" s="35" t="str">
        <f t="shared" si="2"/>
        <v/>
      </c>
      <c r="V165" s="35" t="str">
        <f>IF(OR(L165="",M165=""),"",NETWORKDAYS(L165,M165,Listas!$O$4:$O$22)-1)</f>
        <v/>
      </c>
      <c r="W165" s="35" t="str">
        <f>IF(OR(N165="",O165=""),"",NETWORKDAYS(N165,O165,Listas!$O$4:$O$22)-1)</f>
        <v/>
      </c>
    </row>
    <row r="166" ht="15.75" customHeight="1">
      <c r="A166" s="18"/>
      <c r="B166" s="18"/>
      <c r="C166" s="32"/>
      <c r="D166" s="18"/>
      <c r="E166" s="32"/>
      <c r="F166" s="32"/>
      <c r="G166" s="32"/>
      <c r="H166" s="33"/>
      <c r="I166" s="34"/>
      <c r="J166" s="34"/>
      <c r="K166" s="34"/>
      <c r="L166" s="34"/>
      <c r="M166" s="34"/>
      <c r="N166" s="34"/>
      <c r="O166" s="34"/>
      <c r="P166" s="34"/>
      <c r="Q166" s="32"/>
      <c r="R166" s="35" t="str">
        <f t="shared" si="1"/>
        <v/>
      </c>
      <c r="S166" s="35" t="str">
        <f>IF(OR(K166="",P166=""),"",NETWORKDAYS(K166,P166,Listas!$O$4:$O$22)-1)</f>
        <v/>
      </c>
      <c r="T166" s="35" t="str">
        <f t="array" ref="T166">IFERROR(INDEX(Listas!$C$4:$C$13,MATCH(E166,Listas!$B$4:$B$13,0)),"")</f>
        <v/>
      </c>
      <c r="U166" s="35" t="str">
        <f t="shared" si="2"/>
        <v/>
      </c>
      <c r="V166" s="35" t="str">
        <f>IF(OR(L166="",M166=""),"",NETWORKDAYS(L166,M166,Listas!$O$4:$O$22)-1)</f>
        <v/>
      </c>
      <c r="W166" s="35" t="str">
        <f>IF(OR(N166="",O166=""),"",NETWORKDAYS(N166,O166,Listas!$O$4:$O$22)-1)</f>
        <v/>
      </c>
    </row>
    <row r="167" ht="15.75" customHeight="1">
      <c r="A167" s="18"/>
      <c r="B167" s="18"/>
      <c r="C167" s="32"/>
      <c r="D167" s="18"/>
      <c r="E167" s="32"/>
      <c r="F167" s="32"/>
      <c r="G167" s="32"/>
      <c r="H167" s="33"/>
      <c r="I167" s="34"/>
      <c r="J167" s="34"/>
      <c r="K167" s="34"/>
      <c r="L167" s="34"/>
      <c r="M167" s="34"/>
      <c r="N167" s="34"/>
      <c r="O167" s="34"/>
      <c r="P167" s="34"/>
      <c r="Q167" s="32"/>
      <c r="R167" s="35" t="str">
        <f t="shared" si="1"/>
        <v/>
      </c>
      <c r="S167" s="35" t="str">
        <f>IF(OR(K167="",P167=""),"",NETWORKDAYS(K167,P167,Listas!$O$4:$O$22)-1)</f>
        <v/>
      </c>
      <c r="T167" s="35" t="str">
        <f t="array" ref="T167">IFERROR(INDEX(Listas!$C$4:$C$13,MATCH(E167,Listas!$B$4:$B$13,0)),"")</f>
        <v/>
      </c>
      <c r="U167" s="35" t="str">
        <f t="shared" si="2"/>
        <v/>
      </c>
      <c r="V167" s="35" t="str">
        <f>IF(OR(L167="",M167=""),"",NETWORKDAYS(L167,M167,Listas!$O$4:$O$22)-1)</f>
        <v/>
      </c>
      <c r="W167" s="35" t="str">
        <f>IF(OR(N167="",O167=""),"",NETWORKDAYS(N167,O167,Listas!$O$4:$O$22)-1)</f>
        <v/>
      </c>
    </row>
    <row r="168" ht="15.75" customHeight="1">
      <c r="A168" s="18"/>
      <c r="B168" s="18"/>
      <c r="C168" s="32"/>
      <c r="D168" s="18"/>
      <c r="E168" s="32"/>
      <c r="F168" s="32"/>
      <c r="G168" s="32"/>
      <c r="H168" s="33"/>
      <c r="I168" s="34"/>
      <c r="J168" s="34"/>
      <c r="K168" s="34"/>
      <c r="L168" s="34"/>
      <c r="M168" s="34"/>
      <c r="N168" s="34"/>
      <c r="O168" s="34"/>
      <c r="P168" s="34"/>
      <c r="Q168" s="32"/>
      <c r="R168" s="35" t="str">
        <f t="shared" si="1"/>
        <v/>
      </c>
      <c r="S168" s="35" t="str">
        <f>IF(OR(K168="",P168=""),"",NETWORKDAYS(K168,P168,Listas!$O$4:$O$22)-1)</f>
        <v/>
      </c>
      <c r="T168" s="35" t="str">
        <f t="array" ref="T168">IFERROR(INDEX(Listas!$C$4:$C$13,MATCH(E168,Listas!$B$4:$B$13,0)),"")</f>
        <v/>
      </c>
      <c r="U168" s="35" t="str">
        <f t="shared" si="2"/>
        <v/>
      </c>
      <c r="V168" s="35" t="str">
        <f>IF(OR(L168="",M168=""),"",NETWORKDAYS(L168,M168,Listas!$O$4:$O$22)-1)</f>
        <v/>
      </c>
      <c r="W168" s="35" t="str">
        <f>IF(OR(N168="",O168=""),"",NETWORKDAYS(N168,O168,Listas!$O$4:$O$22)-1)</f>
        <v/>
      </c>
    </row>
    <row r="169" ht="15.75" customHeight="1">
      <c r="A169" s="18"/>
      <c r="B169" s="18"/>
      <c r="C169" s="32"/>
      <c r="D169" s="18"/>
      <c r="E169" s="32"/>
      <c r="F169" s="32"/>
      <c r="G169" s="32"/>
      <c r="H169" s="33"/>
      <c r="I169" s="34"/>
      <c r="J169" s="34"/>
      <c r="K169" s="34"/>
      <c r="L169" s="34"/>
      <c r="M169" s="34"/>
      <c r="N169" s="34"/>
      <c r="O169" s="34"/>
      <c r="P169" s="34"/>
      <c r="Q169" s="32"/>
      <c r="R169" s="35" t="str">
        <f t="shared" si="1"/>
        <v/>
      </c>
      <c r="S169" s="35" t="str">
        <f>IF(OR(K169="",P169=""),"",NETWORKDAYS(K169,P169,Listas!$O$4:$O$22)-1)</f>
        <v/>
      </c>
      <c r="T169" s="35" t="str">
        <f t="array" ref="T169">IFERROR(INDEX(Listas!$C$4:$C$13,MATCH(E169,Listas!$B$4:$B$13,0)),"")</f>
        <v/>
      </c>
      <c r="U169" s="35" t="str">
        <f t="shared" si="2"/>
        <v/>
      </c>
      <c r="V169" s="35" t="str">
        <f>IF(OR(L169="",M169=""),"",NETWORKDAYS(L169,M169,Listas!$O$4:$O$22)-1)</f>
        <v/>
      </c>
      <c r="W169" s="35" t="str">
        <f>IF(OR(N169="",O169=""),"",NETWORKDAYS(N169,O169,Listas!$O$4:$O$22)-1)</f>
        <v/>
      </c>
    </row>
    <row r="170" ht="15.75" customHeight="1">
      <c r="A170" s="18"/>
      <c r="B170" s="18"/>
      <c r="C170" s="32"/>
      <c r="D170" s="18"/>
      <c r="E170" s="32"/>
      <c r="F170" s="32"/>
      <c r="G170" s="32"/>
      <c r="H170" s="33"/>
      <c r="I170" s="34"/>
      <c r="J170" s="34"/>
      <c r="K170" s="34"/>
      <c r="L170" s="34"/>
      <c r="M170" s="34"/>
      <c r="N170" s="34"/>
      <c r="O170" s="34"/>
      <c r="P170" s="34"/>
      <c r="Q170" s="32"/>
      <c r="R170" s="35" t="str">
        <f t="shared" si="1"/>
        <v/>
      </c>
      <c r="S170" s="35" t="str">
        <f>IF(OR(K170="",P170=""),"",NETWORKDAYS(K170,P170,Listas!$O$4:$O$22)-1)</f>
        <v/>
      </c>
      <c r="T170" s="35" t="str">
        <f t="array" ref="T170">IFERROR(INDEX(Listas!$C$4:$C$13,MATCH(E170,Listas!$B$4:$B$13,0)),"")</f>
        <v/>
      </c>
      <c r="U170" s="35" t="str">
        <f t="shared" si="2"/>
        <v/>
      </c>
      <c r="V170" s="35" t="str">
        <f>IF(OR(L170="",M170=""),"",NETWORKDAYS(L170,M170,Listas!$O$4:$O$22)-1)</f>
        <v/>
      </c>
      <c r="W170" s="35" t="str">
        <f>IF(OR(N170="",O170=""),"",NETWORKDAYS(N170,O170,Listas!$O$4:$O$22)-1)</f>
        <v/>
      </c>
    </row>
    <row r="171" ht="15.75" customHeight="1">
      <c r="A171" s="18"/>
      <c r="B171" s="18"/>
      <c r="C171" s="32"/>
      <c r="D171" s="18"/>
      <c r="E171" s="32"/>
      <c r="F171" s="32"/>
      <c r="G171" s="32"/>
      <c r="H171" s="33"/>
      <c r="I171" s="34"/>
      <c r="J171" s="34"/>
      <c r="K171" s="34"/>
      <c r="L171" s="34"/>
      <c r="M171" s="34"/>
      <c r="N171" s="34"/>
      <c r="O171" s="34"/>
      <c r="P171" s="34"/>
      <c r="Q171" s="32"/>
      <c r="R171" s="35" t="str">
        <f t="shared" si="1"/>
        <v/>
      </c>
      <c r="S171" s="35" t="str">
        <f>IF(OR(K171="",P171=""),"",NETWORKDAYS(K171,P171,Listas!$O$4:$O$22)-1)</f>
        <v/>
      </c>
      <c r="T171" s="35" t="str">
        <f t="array" ref="T171">IFERROR(INDEX(Listas!$C$4:$C$13,MATCH(E171,Listas!$B$4:$B$13,0)),"")</f>
        <v/>
      </c>
      <c r="U171" s="35" t="str">
        <f t="shared" si="2"/>
        <v/>
      </c>
      <c r="V171" s="35" t="str">
        <f>IF(OR(L171="",M171=""),"",NETWORKDAYS(L171,M171,Listas!$O$4:$O$22)-1)</f>
        <v/>
      </c>
      <c r="W171" s="35" t="str">
        <f>IF(OR(N171="",O171=""),"",NETWORKDAYS(N171,O171,Listas!$O$4:$O$22)-1)</f>
        <v/>
      </c>
    </row>
    <row r="172" ht="15.75" customHeight="1">
      <c r="A172" s="18"/>
      <c r="B172" s="18"/>
      <c r="C172" s="32"/>
      <c r="D172" s="18"/>
      <c r="E172" s="32"/>
      <c r="F172" s="32"/>
      <c r="G172" s="32"/>
      <c r="H172" s="33"/>
      <c r="I172" s="34"/>
      <c r="J172" s="34"/>
      <c r="K172" s="34"/>
      <c r="L172" s="34"/>
      <c r="M172" s="34"/>
      <c r="N172" s="34"/>
      <c r="O172" s="34"/>
      <c r="P172" s="34"/>
      <c r="Q172" s="32"/>
      <c r="R172" s="35" t="str">
        <f t="shared" si="1"/>
        <v/>
      </c>
      <c r="S172" s="35" t="str">
        <f>IF(OR(K172="",P172=""),"",NETWORKDAYS(K172,P172,Listas!$O$4:$O$22)-1)</f>
        <v/>
      </c>
      <c r="T172" s="35" t="str">
        <f t="array" ref="T172">IFERROR(INDEX(Listas!$C$4:$C$13,MATCH(E172,Listas!$B$4:$B$13,0)),"")</f>
        <v/>
      </c>
      <c r="U172" s="35" t="str">
        <f t="shared" si="2"/>
        <v/>
      </c>
      <c r="V172" s="35" t="str">
        <f>IF(OR(L172="",M172=""),"",NETWORKDAYS(L172,M172,Listas!$O$4:$O$22)-1)</f>
        <v/>
      </c>
      <c r="W172" s="35" t="str">
        <f>IF(OR(N172="",O172=""),"",NETWORKDAYS(N172,O172,Listas!$O$4:$O$22)-1)</f>
        <v/>
      </c>
    </row>
    <row r="173" ht="15.75" customHeight="1">
      <c r="A173" s="18"/>
      <c r="B173" s="18"/>
      <c r="C173" s="32"/>
      <c r="D173" s="18"/>
      <c r="E173" s="32"/>
      <c r="F173" s="32"/>
      <c r="G173" s="32"/>
      <c r="H173" s="33"/>
      <c r="I173" s="34"/>
      <c r="J173" s="34"/>
      <c r="K173" s="34"/>
      <c r="L173" s="34"/>
      <c r="M173" s="34"/>
      <c r="N173" s="34"/>
      <c r="O173" s="34"/>
      <c r="P173" s="34"/>
      <c r="Q173" s="32"/>
      <c r="R173" s="35" t="str">
        <f t="shared" si="1"/>
        <v/>
      </c>
      <c r="S173" s="35" t="str">
        <f>IF(OR(K173="",P173=""),"",NETWORKDAYS(K173,P173,Listas!$O$4:$O$22)-1)</f>
        <v/>
      </c>
      <c r="T173" s="35" t="str">
        <f t="array" ref="T173">IFERROR(INDEX(Listas!$C$4:$C$13,MATCH(E173,Listas!$B$4:$B$13,0)),"")</f>
        <v/>
      </c>
      <c r="U173" s="35" t="str">
        <f t="shared" si="2"/>
        <v/>
      </c>
      <c r="V173" s="35" t="str">
        <f>IF(OR(L173="",M173=""),"",NETWORKDAYS(L173,M173,Listas!$O$4:$O$22)-1)</f>
        <v/>
      </c>
      <c r="W173" s="35" t="str">
        <f>IF(OR(N173="",O173=""),"",NETWORKDAYS(N173,O173,Listas!$O$4:$O$22)-1)</f>
        <v/>
      </c>
    </row>
    <row r="174" ht="15.75" customHeight="1">
      <c r="A174" s="18"/>
      <c r="B174" s="18"/>
      <c r="C174" s="32"/>
      <c r="D174" s="18"/>
      <c r="E174" s="32"/>
      <c r="F174" s="32"/>
      <c r="G174" s="32"/>
      <c r="H174" s="33"/>
      <c r="I174" s="34"/>
      <c r="J174" s="34"/>
      <c r="K174" s="34"/>
      <c r="L174" s="34"/>
      <c r="M174" s="34"/>
      <c r="N174" s="34"/>
      <c r="O174" s="34"/>
      <c r="P174" s="34"/>
      <c r="Q174" s="32"/>
      <c r="R174" s="35" t="str">
        <f t="shared" si="1"/>
        <v/>
      </c>
      <c r="S174" s="35" t="str">
        <f>IF(OR(K174="",P174=""),"",NETWORKDAYS(K174,P174,Listas!$O$4:$O$22)-1)</f>
        <v/>
      </c>
      <c r="T174" s="35" t="str">
        <f t="array" ref="T174">IFERROR(INDEX(Listas!$C$4:$C$13,MATCH(E174,Listas!$B$4:$B$13,0)),"")</f>
        <v/>
      </c>
      <c r="U174" s="35" t="str">
        <f t="shared" si="2"/>
        <v/>
      </c>
      <c r="V174" s="35" t="str">
        <f>IF(OR(L174="",M174=""),"",NETWORKDAYS(L174,M174,Listas!$O$4:$O$22)-1)</f>
        <v/>
      </c>
      <c r="W174" s="35" t="str">
        <f>IF(OR(N174="",O174=""),"",NETWORKDAYS(N174,O174,Listas!$O$4:$O$22)-1)</f>
        <v/>
      </c>
    </row>
    <row r="175" ht="15.75" customHeight="1">
      <c r="A175" s="18"/>
      <c r="B175" s="18"/>
      <c r="C175" s="32"/>
      <c r="D175" s="18"/>
      <c r="E175" s="32"/>
      <c r="F175" s="32"/>
      <c r="G175" s="32"/>
      <c r="H175" s="33"/>
      <c r="I175" s="34"/>
      <c r="J175" s="34"/>
      <c r="K175" s="34"/>
      <c r="L175" s="34"/>
      <c r="M175" s="34"/>
      <c r="N175" s="34"/>
      <c r="O175" s="34"/>
      <c r="P175" s="34"/>
      <c r="Q175" s="32"/>
      <c r="R175" s="35" t="str">
        <f t="shared" si="1"/>
        <v/>
      </c>
      <c r="S175" s="35" t="str">
        <f>IF(OR(K175="",P175=""),"",NETWORKDAYS(K175,P175,Listas!$O$4:$O$22)-1)</f>
        <v/>
      </c>
      <c r="T175" s="35" t="str">
        <f t="array" ref="T175">IFERROR(INDEX(Listas!$C$4:$C$13,MATCH(E175,Listas!$B$4:$B$13,0)),"")</f>
        <v/>
      </c>
      <c r="U175" s="35" t="str">
        <f t="shared" si="2"/>
        <v/>
      </c>
      <c r="V175" s="35" t="str">
        <f>IF(OR(L175="",M175=""),"",NETWORKDAYS(L175,M175,Listas!$O$4:$O$22)-1)</f>
        <v/>
      </c>
      <c r="W175" s="35" t="str">
        <f>IF(OR(N175="",O175=""),"",NETWORKDAYS(N175,O175,Listas!$O$4:$O$22)-1)</f>
        <v/>
      </c>
    </row>
    <row r="176" ht="15.75" customHeight="1">
      <c r="A176" s="18"/>
      <c r="B176" s="18"/>
      <c r="C176" s="32"/>
      <c r="D176" s="18"/>
      <c r="E176" s="32"/>
      <c r="F176" s="32"/>
      <c r="G176" s="32"/>
      <c r="H176" s="33"/>
      <c r="I176" s="34"/>
      <c r="J176" s="34"/>
      <c r="K176" s="34"/>
      <c r="L176" s="34"/>
      <c r="M176" s="34"/>
      <c r="N176" s="34"/>
      <c r="O176" s="34"/>
      <c r="P176" s="34"/>
      <c r="Q176" s="32"/>
      <c r="R176" s="35" t="str">
        <f t="shared" si="1"/>
        <v/>
      </c>
      <c r="S176" s="35" t="str">
        <f>IF(OR(K176="",P176=""),"",NETWORKDAYS(K176,P176,Listas!$O$4:$O$22)-1)</f>
        <v/>
      </c>
      <c r="T176" s="35" t="str">
        <f t="array" ref="T176">IFERROR(INDEX(Listas!$C$4:$C$13,MATCH(E176,Listas!$B$4:$B$13,0)),"")</f>
        <v/>
      </c>
      <c r="U176" s="35" t="str">
        <f t="shared" si="2"/>
        <v/>
      </c>
      <c r="V176" s="35" t="str">
        <f>IF(OR(L176="",M176=""),"",NETWORKDAYS(L176,M176,Listas!$O$4:$O$22)-1)</f>
        <v/>
      </c>
      <c r="W176" s="35" t="str">
        <f>IF(OR(N176="",O176=""),"",NETWORKDAYS(N176,O176,Listas!$O$4:$O$22)-1)</f>
        <v/>
      </c>
    </row>
    <row r="177" ht="15.75" customHeight="1">
      <c r="A177" s="18"/>
      <c r="B177" s="18"/>
      <c r="C177" s="32"/>
      <c r="D177" s="18"/>
      <c r="E177" s="32"/>
      <c r="F177" s="32"/>
      <c r="G177" s="32"/>
      <c r="H177" s="33"/>
      <c r="I177" s="34"/>
      <c r="J177" s="34"/>
      <c r="K177" s="34"/>
      <c r="L177" s="34"/>
      <c r="M177" s="34"/>
      <c r="N177" s="34"/>
      <c r="O177" s="34"/>
      <c r="P177" s="34"/>
      <c r="Q177" s="32"/>
      <c r="R177" s="35" t="str">
        <f t="shared" si="1"/>
        <v/>
      </c>
      <c r="S177" s="35" t="str">
        <f>IF(OR(K177="",P177=""),"",NETWORKDAYS(K177,P177,Listas!$O$4:$O$22)-1)</f>
        <v/>
      </c>
      <c r="T177" s="35" t="str">
        <f t="array" ref="T177">IFERROR(INDEX(Listas!$C$4:$C$13,MATCH(E177,Listas!$B$4:$B$13,0)),"")</f>
        <v/>
      </c>
      <c r="U177" s="35" t="str">
        <f t="shared" si="2"/>
        <v/>
      </c>
      <c r="V177" s="35" t="str">
        <f>IF(OR(L177="",M177=""),"",NETWORKDAYS(L177,M177,Listas!$O$4:$O$22)-1)</f>
        <v/>
      </c>
      <c r="W177" s="35" t="str">
        <f>IF(OR(N177="",O177=""),"",NETWORKDAYS(N177,O177,Listas!$O$4:$O$22)-1)</f>
        <v/>
      </c>
    </row>
    <row r="178" ht="15.75" customHeight="1">
      <c r="A178" s="18"/>
      <c r="B178" s="18"/>
      <c r="C178" s="32"/>
      <c r="D178" s="18"/>
      <c r="E178" s="32"/>
      <c r="F178" s="32"/>
      <c r="G178" s="32"/>
      <c r="H178" s="33"/>
      <c r="I178" s="34"/>
      <c r="J178" s="34"/>
      <c r="K178" s="34"/>
      <c r="L178" s="34"/>
      <c r="M178" s="34"/>
      <c r="N178" s="34"/>
      <c r="O178" s="34"/>
      <c r="P178" s="34"/>
      <c r="Q178" s="32"/>
      <c r="R178" s="35" t="str">
        <f t="shared" si="1"/>
        <v/>
      </c>
      <c r="S178" s="35" t="str">
        <f>IF(OR(K178="",P178=""),"",NETWORKDAYS(K178,P178,Listas!$O$4:$O$22)-1)</f>
        <v/>
      </c>
      <c r="T178" s="35" t="str">
        <f t="array" ref="T178">IFERROR(INDEX(Listas!$C$4:$C$13,MATCH(E178,Listas!$B$4:$B$13,0)),"")</f>
        <v/>
      </c>
      <c r="U178" s="35" t="str">
        <f t="shared" si="2"/>
        <v/>
      </c>
      <c r="V178" s="35" t="str">
        <f>IF(OR(L178="",M178=""),"",NETWORKDAYS(L178,M178,Listas!$O$4:$O$22)-1)</f>
        <v/>
      </c>
      <c r="W178" s="35" t="str">
        <f>IF(OR(N178="",O178=""),"",NETWORKDAYS(N178,O178,Listas!$O$4:$O$22)-1)</f>
        <v/>
      </c>
    </row>
    <row r="179" ht="15.75" customHeight="1">
      <c r="A179" s="18"/>
      <c r="B179" s="18"/>
      <c r="C179" s="32"/>
      <c r="D179" s="18"/>
      <c r="E179" s="32"/>
      <c r="F179" s="32"/>
      <c r="G179" s="32"/>
      <c r="H179" s="33"/>
      <c r="I179" s="34"/>
      <c r="J179" s="34"/>
      <c r="K179" s="34"/>
      <c r="L179" s="34"/>
      <c r="M179" s="34"/>
      <c r="N179" s="34"/>
      <c r="O179" s="34"/>
      <c r="P179" s="34"/>
      <c r="Q179" s="32"/>
      <c r="R179" s="35" t="str">
        <f t="shared" si="1"/>
        <v/>
      </c>
      <c r="S179" s="35" t="str">
        <f>IF(OR(K179="",P179=""),"",NETWORKDAYS(K179,P179,Listas!$O$4:$O$22)-1)</f>
        <v/>
      </c>
      <c r="T179" s="35" t="str">
        <f t="array" ref="T179">IFERROR(INDEX(Listas!$C$4:$C$13,MATCH(E179,Listas!$B$4:$B$13,0)),"")</f>
        <v/>
      </c>
      <c r="U179" s="35" t="str">
        <f t="shared" si="2"/>
        <v/>
      </c>
      <c r="V179" s="35" t="str">
        <f>IF(OR(L179="",M179=""),"",NETWORKDAYS(L179,M179,Listas!$O$4:$O$22)-1)</f>
        <v/>
      </c>
      <c r="W179" s="35" t="str">
        <f>IF(OR(N179="",O179=""),"",NETWORKDAYS(N179,O179,Listas!$O$4:$O$22)-1)</f>
        <v/>
      </c>
    </row>
    <row r="180" ht="15.75" customHeight="1">
      <c r="A180" s="18"/>
      <c r="B180" s="18"/>
      <c r="C180" s="32"/>
      <c r="D180" s="18"/>
      <c r="E180" s="32"/>
      <c r="F180" s="32"/>
      <c r="G180" s="32"/>
      <c r="H180" s="33"/>
      <c r="I180" s="34"/>
      <c r="J180" s="34"/>
      <c r="K180" s="34"/>
      <c r="L180" s="34"/>
      <c r="M180" s="34"/>
      <c r="N180" s="34"/>
      <c r="O180" s="34"/>
      <c r="P180" s="34"/>
      <c r="Q180" s="32"/>
      <c r="R180" s="35" t="str">
        <f t="shared" si="1"/>
        <v/>
      </c>
      <c r="S180" s="35" t="str">
        <f>IF(OR(K180="",P180=""),"",NETWORKDAYS(K180,P180,Listas!$O$4:$O$22)-1)</f>
        <v/>
      </c>
      <c r="T180" s="35" t="str">
        <f t="array" ref="T180">IFERROR(INDEX(Listas!$C$4:$C$13,MATCH(E180,Listas!$B$4:$B$13,0)),"")</f>
        <v/>
      </c>
      <c r="U180" s="35" t="str">
        <f t="shared" si="2"/>
        <v/>
      </c>
      <c r="V180" s="35" t="str">
        <f>IF(OR(L180="",M180=""),"",NETWORKDAYS(L180,M180,Listas!$O$4:$O$22)-1)</f>
        <v/>
      </c>
      <c r="W180" s="35" t="str">
        <f>IF(OR(N180="",O180=""),"",NETWORKDAYS(N180,O180,Listas!$O$4:$O$22)-1)</f>
        <v/>
      </c>
    </row>
    <row r="181" ht="15.75" customHeight="1">
      <c r="A181" s="18"/>
      <c r="B181" s="18"/>
      <c r="C181" s="32"/>
      <c r="D181" s="18"/>
      <c r="E181" s="32"/>
      <c r="F181" s="32"/>
      <c r="G181" s="32"/>
      <c r="H181" s="33"/>
      <c r="I181" s="34"/>
      <c r="J181" s="34"/>
      <c r="K181" s="34"/>
      <c r="L181" s="34"/>
      <c r="M181" s="34"/>
      <c r="N181" s="34"/>
      <c r="O181" s="34"/>
      <c r="P181" s="34"/>
      <c r="Q181" s="32"/>
      <c r="R181" s="35" t="str">
        <f t="shared" si="1"/>
        <v/>
      </c>
      <c r="S181" s="35" t="str">
        <f>IF(OR(K181="",P181=""),"",NETWORKDAYS(K181,P181,Listas!$O$4:$O$22)-1)</f>
        <v/>
      </c>
      <c r="T181" s="35" t="str">
        <f t="array" ref="T181">IFERROR(INDEX(Listas!$C$4:$C$13,MATCH(E181,Listas!$B$4:$B$13,0)),"")</f>
        <v/>
      </c>
      <c r="U181" s="35" t="str">
        <f t="shared" si="2"/>
        <v/>
      </c>
      <c r="V181" s="35" t="str">
        <f>IF(OR(L181="",M181=""),"",NETWORKDAYS(L181,M181,Listas!$O$4:$O$22)-1)</f>
        <v/>
      </c>
      <c r="W181" s="35" t="str">
        <f>IF(OR(N181="",O181=""),"",NETWORKDAYS(N181,O181,Listas!$O$4:$O$22)-1)</f>
        <v/>
      </c>
    </row>
    <row r="182" ht="15.75" customHeight="1">
      <c r="A182" s="18"/>
      <c r="B182" s="18"/>
      <c r="C182" s="32"/>
      <c r="D182" s="18"/>
      <c r="E182" s="32"/>
      <c r="F182" s="32"/>
      <c r="G182" s="32"/>
      <c r="H182" s="33"/>
      <c r="I182" s="34"/>
      <c r="J182" s="34"/>
      <c r="K182" s="34"/>
      <c r="L182" s="34"/>
      <c r="M182" s="34"/>
      <c r="N182" s="34"/>
      <c r="O182" s="34"/>
      <c r="P182" s="34"/>
      <c r="Q182" s="32"/>
      <c r="R182" s="35" t="str">
        <f t="shared" si="1"/>
        <v/>
      </c>
      <c r="S182" s="35" t="str">
        <f>IF(OR(K182="",P182=""),"",NETWORKDAYS(K182,P182,Listas!$O$4:$O$22)-1)</f>
        <v/>
      </c>
      <c r="T182" s="35" t="str">
        <f t="array" ref="T182">IFERROR(INDEX(Listas!$C$4:$C$13,MATCH(E182,Listas!$B$4:$B$13,0)),"")</f>
        <v/>
      </c>
      <c r="U182" s="35" t="str">
        <f t="shared" si="2"/>
        <v/>
      </c>
      <c r="V182" s="35" t="str">
        <f>IF(OR(L182="",M182=""),"",NETWORKDAYS(L182,M182,Listas!$O$4:$O$22)-1)</f>
        <v/>
      </c>
      <c r="W182" s="35" t="str">
        <f>IF(OR(N182="",O182=""),"",NETWORKDAYS(N182,O182,Listas!$O$4:$O$22)-1)</f>
        <v/>
      </c>
    </row>
    <row r="183" ht="15.75" customHeight="1">
      <c r="A183" s="18"/>
      <c r="B183" s="18"/>
      <c r="C183" s="32"/>
      <c r="D183" s="18"/>
      <c r="E183" s="32"/>
      <c r="F183" s="32"/>
      <c r="G183" s="32"/>
      <c r="H183" s="33"/>
      <c r="I183" s="34"/>
      <c r="J183" s="34"/>
      <c r="K183" s="34"/>
      <c r="L183" s="34"/>
      <c r="M183" s="34"/>
      <c r="N183" s="34"/>
      <c r="O183" s="34"/>
      <c r="P183" s="34"/>
      <c r="Q183" s="32"/>
      <c r="R183" s="35" t="str">
        <f t="shared" si="1"/>
        <v/>
      </c>
      <c r="S183" s="35" t="str">
        <f>IF(OR(K183="",P183=""),"",NETWORKDAYS(K183,P183,Listas!$O$4:$O$22)-1)</f>
        <v/>
      </c>
      <c r="T183" s="35" t="str">
        <f t="array" ref="T183">IFERROR(INDEX(Listas!$C$4:$C$13,MATCH(E183,Listas!$B$4:$B$13,0)),"")</f>
        <v/>
      </c>
      <c r="U183" s="35" t="str">
        <f t="shared" si="2"/>
        <v/>
      </c>
      <c r="V183" s="35" t="str">
        <f>IF(OR(L183="",M183=""),"",NETWORKDAYS(L183,M183,Listas!$O$4:$O$22)-1)</f>
        <v/>
      </c>
      <c r="W183" s="35" t="str">
        <f>IF(OR(N183="",O183=""),"",NETWORKDAYS(N183,O183,Listas!$O$4:$O$22)-1)</f>
        <v/>
      </c>
    </row>
    <row r="184" ht="15.75" customHeight="1">
      <c r="A184" s="18"/>
      <c r="B184" s="18"/>
      <c r="C184" s="32"/>
      <c r="D184" s="18"/>
      <c r="E184" s="32"/>
      <c r="F184" s="32"/>
      <c r="G184" s="32"/>
      <c r="H184" s="33"/>
      <c r="I184" s="34"/>
      <c r="J184" s="34"/>
      <c r="K184" s="34"/>
      <c r="L184" s="34"/>
      <c r="M184" s="34"/>
      <c r="N184" s="34"/>
      <c r="O184" s="34"/>
      <c r="P184" s="34"/>
      <c r="Q184" s="32"/>
      <c r="R184" s="35" t="str">
        <f t="shared" si="1"/>
        <v/>
      </c>
      <c r="S184" s="35" t="str">
        <f>IF(OR(K184="",P184=""),"",NETWORKDAYS(K184,P184,Listas!$O$4:$O$22)-1)</f>
        <v/>
      </c>
      <c r="T184" s="35" t="str">
        <f t="array" ref="T184">IFERROR(INDEX(Listas!$C$4:$C$13,MATCH(E184,Listas!$B$4:$B$13,0)),"")</f>
        <v/>
      </c>
      <c r="U184" s="35" t="str">
        <f t="shared" si="2"/>
        <v/>
      </c>
      <c r="V184" s="35" t="str">
        <f>IF(OR(L184="",M184=""),"",NETWORKDAYS(L184,M184,Listas!$O$4:$O$22)-1)</f>
        <v/>
      </c>
      <c r="W184" s="35" t="str">
        <f>IF(OR(N184="",O184=""),"",NETWORKDAYS(N184,O184,Listas!$O$4:$O$22)-1)</f>
        <v/>
      </c>
    </row>
    <row r="185" ht="15.75" customHeight="1">
      <c r="A185" s="18"/>
      <c r="B185" s="18"/>
      <c r="C185" s="32"/>
      <c r="D185" s="18"/>
      <c r="E185" s="32"/>
      <c r="F185" s="32"/>
      <c r="G185" s="32"/>
      <c r="H185" s="33"/>
      <c r="I185" s="34"/>
      <c r="J185" s="34"/>
      <c r="K185" s="34"/>
      <c r="L185" s="34"/>
      <c r="M185" s="34"/>
      <c r="N185" s="34"/>
      <c r="O185" s="34"/>
      <c r="P185" s="34"/>
      <c r="Q185" s="32"/>
      <c r="R185" s="35" t="str">
        <f t="shared" si="1"/>
        <v/>
      </c>
      <c r="S185" s="35" t="str">
        <f>IF(OR(K185="",P185=""),"",NETWORKDAYS(K185,P185,Listas!$O$4:$O$22)-1)</f>
        <v/>
      </c>
      <c r="T185" s="35" t="str">
        <f t="array" ref="T185">IFERROR(INDEX(Listas!$C$4:$C$13,MATCH(E185,Listas!$B$4:$B$13,0)),"")</f>
        <v/>
      </c>
      <c r="U185" s="35" t="str">
        <f t="shared" si="2"/>
        <v/>
      </c>
      <c r="V185" s="35" t="str">
        <f>IF(OR(L185="",M185=""),"",NETWORKDAYS(L185,M185,Listas!$O$4:$O$22)-1)</f>
        <v/>
      </c>
      <c r="W185" s="35" t="str">
        <f>IF(OR(N185="",O185=""),"",NETWORKDAYS(N185,O185,Listas!$O$4:$O$22)-1)</f>
        <v/>
      </c>
    </row>
    <row r="186" ht="15.75" customHeight="1">
      <c r="A186" s="18"/>
      <c r="B186" s="18"/>
      <c r="C186" s="32"/>
      <c r="D186" s="18"/>
      <c r="E186" s="32"/>
      <c r="F186" s="32"/>
      <c r="G186" s="32"/>
      <c r="H186" s="33"/>
      <c r="I186" s="34"/>
      <c r="J186" s="34"/>
      <c r="K186" s="34"/>
      <c r="L186" s="34"/>
      <c r="M186" s="34"/>
      <c r="N186" s="34"/>
      <c r="O186" s="34"/>
      <c r="P186" s="34"/>
      <c r="Q186" s="32"/>
      <c r="R186" s="35" t="str">
        <f t="shared" si="1"/>
        <v/>
      </c>
      <c r="S186" s="35" t="str">
        <f>IF(OR(K186="",P186=""),"",NETWORKDAYS(K186,P186,Listas!$O$4:$O$22)-1)</f>
        <v/>
      </c>
      <c r="T186" s="35" t="str">
        <f t="array" ref="T186">IFERROR(INDEX(Listas!$C$4:$C$13,MATCH(E186,Listas!$B$4:$B$13,0)),"")</f>
        <v/>
      </c>
      <c r="U186" s="35" t="str">
        <f t="shared" si="2"/>
        <v/>
      </c>
      <c r="V186" s="35" t="str">
        <f>IF(OR(L186="",M186=""),"",NETWORKDAYS(L186,M186,Listas!$O$4:$O$22)-1)</f>
        <v/>
      </c>
      <c r="W186" s="35" t="str">
        <f>IF(OR(N186="",O186=""),"",NETWORKDAYS(N186,O186,Listas!$O$4:$O$22)-1)</f>
        <v/>
      </c>
    </row>
    <row r="187" ht="15.75" customHeight="1">
      <c r="A187" s="18"/>
      <c r="B187" s="18"/>
      <c r="C187" s="32"/>
      <c r="D187" s="18"/>
      <c r="E187" s="32"/>
      <c r="F187" s="32"/>
      <c r="G187" s="32"/>
      <c r="H187" s="33"/>
      <c r="I187" s="34"/>
      <c r="J187" s="34"/>
      <c r="K187" s="34"/>
      <c r="L187" s="34"/>
      <c r="M187" s="34"/>
      <c r="N187" s="34"/>
      <c r="O187" s="34"/>
      <c r="P187" s="34"/>
      <c r="Q187" s="32"/>
      <c r="R187" s="35" t="str">
        <f t="shared" si="1"/>
        <v/>
      </c>
      <c r="S187" s="35" t="str">
        <f>IF(OR(K187="",P187=""),"",NETWORKDAYS(K187,P187,Listas!$O$4:$O$22)-1)</f>
        <v/>
      </c>
      <c r="T187" s="35" t="str">
        <f t="array" ref="T187">IFERROR(INDEX(Listas!$C$4:$C$13,MATCH(E187,Listas!$B$4:$B$13,0)),"")</f>
        <v/>
      </c>
      <c r="U187" s="35" t="str">
        <f t="shared" si="2"/>
        <v/>
      </c>
      <c r="V187" s="35" t="str">
        <f>IF(OR(L187="",M187=""),"",NETWORKDAYS(L187,M187,Listas!$O$4:$O$22)-1)</f>
        <v/>
      </c>
      <c r="W187" s="35" t="str">
        <f>IF(OR(N187="",O187=""),"",NETWORKDAYS(N187,O187,Listas!$O$4:$O$22)-1)</f>
        <v/>
      </c>
    </row>
    <row r="188" ht="15.75" customHeight="1">
      <c r="A188" s="18"/>
      <c r="B188" s="18"/>
      <c r="C188" s="32"/>
      <c r="D188" s="18"/>
      <c r="E188" s="32"/>
      <c r="F188" s="32"/>
      <c r="G188" s="32"/>
      <c r="H188" s="33"/>
      <c r="I188" s="34"/>
      <c r="J188" s="34"/>
      <c r="K188" s="34"/>
      <c r="L188" s="34"/>
      <c r="M188" s="34"/>
      <c r="N188" s="34"/>
      <c r="O188" s="34"/>
      <c r="P188" s="34"/>
      <c r="Q188" s="32"/>
      <c r="R188" s="35" t="str">
        <f t="shared" si="1"/>
        <v/>
      </c>
      <c r="S188" s="35" t="str">
        <f>IF(OR(K188="",P188=""),"",NETWORKDAYS(K188,P188,Listas!$O$4:$O$22)-1)</f>
        <v/>
      </c>
      <c r="T188" s="35" t="str">
        <f t="array" ref="T188">IFERROR(INDEX(Listas!$C$4:$C$13,MATCH(E188,Listas!$B$4:$B$13,0)),"")</f>
        <v/>
      </c>
      <c r="U188" s="35" t="str">
        <f t="shared" si="2"/>
        <v/>
      </c>
      <c r="V188" s="35" t="str">
        <f>IF(OR(L188="",M188=""),"",NETWORKDAYS(L188,M188,Listas!$O$4:$O$22)-1)</f>
        <v/>
      </c>
      <c r="W188" s="35" t="str">
        <f>IF(OR(N188="",O188=""),"",NETWORKDAYS(N188,O188,Listas!$O$4:$O$22)-1)</f>
        <v/>
      </c>
    </row>
    <row r="189" ht="15.75" customHeight="1">
      <c r="A189" s="18"/>
      <c r="B189" s="18"/>
      <c r="C189" s="32"/>
      <c r="D189" s="18"/>
      <c r="E189" s="32"/>
      <c r="F189" s="32"/>
      <c r="G189" s="32"/>
      <c r="H189" s="33"/>
      <c r="I189" s="34"/>
      <c r="J189" s="34"/>
      <c r="K189" s="34"/>
      <c r="L189" s="34"/>
      <c r="M189" s="34"/>
      <c r="N189" s="34"/>
      <c r="O189" s="34"/>
      <c r="P189" s="34"/>
      <c r="Q189" s="32"/>
      <c r="R189" s="35" t="str">
        <f t="shared" si="1"/>
        <v/>
      </c>
      <c r="S189" s="35" t="str">
        <f>IF(OR(K189="",P189=""),"",NETWORKDAYS(K189,P189,Listas!$O$4:$O$22)-1)</f>
        <v/>
      </c>
      <c r="T189" s="35" t="str">
        <f t="array" ref="T189">IFERROR(INDEX(Listas!$C$4:$C$13,MATCH(E189,Listas!$B$4:$B$13,0)),"")</f>
        <v/>
      </c>
      <c r="U189" s="35" t="str">
        <f t="shared" si="2"/>
        <v/>
      </c>
      <c r="V189" s="35" t="str">
        <f>IF(OR(L189="",M189=""),"",NETWORKDAYS(L189,M189,Listas!$O$4:$O$22)-1)</f>
        <v/>
      </c>
      <c r="W189" s="35" t="str">
        <f>IF(OR(N189="",O189=""),"",NETWORKDAYS(N189,O189,Listas!$O$4:$O$22)-1)</f>
        <v/>
      </c>
    </row>
    <row r="190" ht="15.75" customHeight="1">
      <c r="A190" s="18"/>
      <c r="B190" s="18"/>
      <c r="C190" s="32"/>
      <c r="D190" s="18"/>
      <c r="E190" s="32"/>
      <c r="F190" s="32"/>
      <c r="G190" s="32"/>
      <c r="H190" s="33"/>
      <c r="I190" s="34"/>
      <c r="J190" s="34"/>
      <c r="K190" s="34"/>
      <c r="L190" s="34"/>
      <c r="M190" s="34"/>
      <c r="N190" s="34"/>
      <c r="O190" s="34"/>
      <c r="P190" s="34"/>
      <c r="Q190" s="32"/>
      <c r="R190" s="35" t="str">
        <f t="shared" si="1"/>
        <v/>
      </c>
      <c r="S190" s="35" t="str">
        <f>IF(OR(K190="",P190=""),"",NETWORKDAYS(K190,P190,Listas!$O$4:$O$22)-1)</f>
        <v/>
      </c>
      <c r="T190" s="35" t="str">
        <f t="array" ref="T190">IFERROR(INDEX(Listas!$C$4:$C$13,MATCH(E190,Listas!$B$4:$B$13,0)),"")</f>
        <v/>
      </c>
      <c r="U190" s="35" t="str">
        <f t="shared" si="2"/>
        <v/>
      </c>
      <c r="V190" s="35" t="str">
        <f>IF(OR(L190="",M190=""),"",NETWORKDAYS(L190,M190,Listas!$O$4:$O$22)-1)</f>
        <v/>
      </c>
      <c r="W190" s="35" t="str">
        <f>IF(OR(N190="",O190=""),"",NETWORKDAYS(N190,O190,Listas!$O$4:$O$22)-1)</f>
        <v/>
      </c>
    </row>
    <row r="191" ht="15.75" customHeight="1">
      <c r="A191" s="18"/>
      <c r="B191" s="18"/>
      <c r="C191" s="32"/>
      <c r="D191" s="18"/>
      <c r="E191" s="32"/>
      <c r="F191" s="32"/>
      <c r="G191" s="32"/>
      <c r="H191" s="33"/>
      <c r="I191" s="34"/>
      <c r="J191" s="34"/>
      <c r="K191" s="34"/>
      <c r="L191" s="34"/>
      <c r="M191" s="34"/>
      <c r="N191" s="34"/>
      <c r="O191" s="34"/>
      <c r="P191" s="34"/>
      <c r="Q191" s="32"/>
      <c r="R191" s="35" t="str">
        <f t="shared" si="1"/>
        <v/>
      </c>
      <c r="S191" s="35" t="str">
        <f>IF(OR(K191="",P191=""),"",NETWORKDAYS(K191,P191,Listas!$O$4:$O$22)-1)</f>
        <v/>
      </c>
      <c r="T191" s="35" t="str">
        <f t="array" ref="T191">IFERROR(INDEX(Listas!$C$4:$C$13,MATCH(E191,Listas!$B$4:$B$13,0)),"")</f>
        <v/>
      </c>
      <c r="U191" s="35" t="str">
        <f t="shared" si="2"/>
        <v/>
      </c>
      <c r="V191" s="35" t="str">
        <f>IF(OR(L191="",M191=""),"",NETWORKDAYS(L191,M191,Listas!$O$4:$O$22)-1)</f>
        <v/>
      </c>
      <c r="W191" s="35" t="str">
        <f>IF(OR(N191="",O191=""),"",NETWORKDAYS(N191,O191,Listas!$O$4:$O$22)-1)</f>
        <v/>
      </c>
    </row>
    <row r="192" ht="15.75" customHeight="1">
      <c r="A192" s="18"/>
      <c r="B192" s="18"/>
      <c r="C192" s="32"/>
      <c r="D192" s="18"/>
      <c r="E192" s="32"/>
      <c r="F192" s="32"/>
      <c r="G192" s="32"/>
      <c r="H192" s="33"/>
      <c r="I192" s="34"/>
      <c r="J192" s="34"/>
      <c r="K192" s="34"/>
      <c r="L192" s="34"/>
      <c r="M192" s="34"/>
      <c r="N192" s="34"/>
      <c r="O192" s="34"/>
      <c r="P192" s="34"/>
      <c r="Q192" s="32"/>
      <c r="R192" s="35" t="str">
        <f t="shared" si="1"/>
        <v/>
      </c>
      <c r="S192" s="35" t="str">
        <f>IF(OR(K192="",P192=""),"",NETWORKDAYS(K192,P192,Listas!$O$4:$O$22)-1)</f>
        <v/>
      </c>
      <c r="T192" s="35" t="str">
        <f t="array" ref="T192">IFERROR(INDEX(Listas!$C$4:$C$13,MATCH(E192,Listas!$B$4:$B$13,0)),"")</f>
        <v/>
      </c>
      <c r="U192" s="35" t="str">
        <f t="shared" si="2"/>
        <v/>
      </c>
      <c r="V192" s="35" t="str">
        <f>IF(OR(L192="",M192=""),"",NETWORKDAYS(L192,M192,Listas!$O$4:$O$22)-1)</f>
        <v/>
      </c>
      <c r="W192" s="35" t="str">
        <f>IF(OR(N192="",O192=""),"",NETWORKDAYS(N192,O192,Listas!$O$4:$O$22)-1)</f>
        <v/>
      </c>
    </row>
    <row r="193" ht="15.75" customHeight="1">
      <c r="A193" s="18"/>
      <c r="B193" s="18"/>
      <c r="C193" s="32"/>
      <c r="D193" s="18"/>
      <c r="E193" s="32"/>
      <c r="F193" s="32"/>
      <c r="G193" s="32"/>
      <c r="H193" s="33"/>
      <c r="I193" s="34"/>
      <c r="J193" s="34"/>
      <c r="K193" s="34"/>
      <c r="L193" s="34"/>
      <c r="M193" s="34"/>
      <c r="N193" s="34"/>
      <c r="O193" s="34"/>
      <c r="P193" s="34"/>
      <c r="Q193" s="32"/>
      <c r="R193" s="35" t="str">
        <f t="shared" si="1"/>
        <v/>
      </c>
      <c r="S193" s="35" t="str">
        <f>IF(OR(K193="",P193=""),"",NETWORKDAYS(K193,P193,Listas!$O$4:$O$22)-1)</f>
        <v/>
      </c>
      <c r="T193" s="35" t="str">
        <f t="array" ref="T193">IFERROR(INDEX(Listas!$C$4:$C$13,MATCH(E193,Listas!$B$4:$B$13,0)),"")</f>
        <v/>
      </c>
      <c r="U193" s="35" t="str">
        <f t="shared" si="2"/>
        <v/>
      </c>
      <c r="V193" s="35" t="str">
        <f>IF(OR(L193="",M193=""),"",NETWORKDAYS(L193,M193,Listas!$O$4:$O$22)-1)</f>
        <v/>
      </c>
      <c r="W193" s="35" t="str">
        <f>IF(OR(N193="",O193=""),"",NETWORKDAYS(N193,O193,Listas!$O$4:$O$22)-1)</f>
        <v/>
      </c>
    </row>
    <row r="194" ht="15.75" customHeight="1">
      <c r="A194" s="18"/>
      <c r="B194" s="18"/>
      <c r="C194" s="32"/>
      <c r="D194" s="18"/>
      <c r="E194" s="32"/>
      <c r="F194" s="32"/>
      <c r="G194" s="32"/>
      <c r="H194" s="33"/>
      <c r="I194" s="34"/>
      <c r="J194" s="34"/>
      <c r="K194" s="34"/>
      <c r="L194" s="34"/>
      <c r="M194" s="34"/>
      <c r="N194" s="34"/>
      <c r="O194" s="34"/>
      <c r="P194" s="34"/>
      <c r="Q194" s="32"/>
      <c r="R194" s="35" t="str">
        <f t="shared" si="1"/>
        <v/>
      </c>
      <c r="S194" s="35" t="str">
        <f>IF(OR(K194="",P194=""),"",NETWORKDAYS(K194,P194,Listas!$O$4:$O$22)-1)</f>
        <v/>
      </c>
      <c r="T194" s="35" t="str">
        <f t="array" ref="T194">IFERROR(INDEX(Listas!$C$4:$C$13,MATCH(E194,Listas!$B$4:$B$13,0)),"")</f>
        <v/>
      </c>
      <c r="U194" s="35" t="str">
        <f t="shared" si="2"/>
        <v/>
      </c>
      <c r="V194" s="35" t="str">
        <f>IF(OR(L194="",M194=""),"",NETWORKDAYS(L194,M194,Listas!$O$4:$O$22)-1)</f>
        <v/>
      </c>
      <c r="W194" s="35" t="str">
        <f>IF(OR(N194="",O194=""),"",NETWORKDAYS(N194,O194,Listas!$O$4:$O$22)-1)</f>
        <v/>
      </c>
    </row>
    <row r="195" ht="15.75" customHeight="1">
      <c r="A195" s="18"/>
      <c r="B195" s="18"/>
      <c r="C195" s="32"/>
      <c r="D195" s="18"/>
      <c r="E195" s="32"/>
      <c r="F195" s="32"/>
      <c r="G195" s="32"/>
      <c r="H195" s="33"/>
      <c r="I195" s="34"/>
      <c r="J195" s="34"/>
      <c r="K195" s="34"/>
      <c r="L195" s="34"/>
      <c r="M195" s="34"/>
      <c r="N195" s="34"/>
      <c r="O195" s="34"/>
      <c r="P195" s="34"/>
      <c r="Q195" s="32"/>
      <c r="R195" s="35" t="str">
        <f t="shared" si="1"/>
        <v/>
      </c>
      <c r="S195" s="35" t="str">
        <f>IF(OR(K195="",P195=""),"",NETWORKDAYS(K195,P195,Listas!$O$4:$O$22)-1)</f>
        <v/>
      </c>
      <c r="T195" s="35" t="str">
        <f t="array" ref="T195">IFERROR(INDEX(Listas!$C$4:$C$13,MATCH(E195,Listas!$B$4:$B$13,0)),"")</f>
        <v/>
      </c>
      <c r="U195" s="35" t="str">
        <f t="shared" si="2"/>
        <v/>
      </c>
      <c r="V195" s="35" t="str">
        <f>IF(OR(L195="",M195=""),"",NETWORKDAYS(L195,M195,Listas!$O$4:$O$22)-1)</f>
        <v/>
      </c>
      <c r="W195" s="35" t="str">
        <f>IF(OR(N195="",O195=""),"",NETWORKDAYS(N195,O195,Listas!$O$4:$O$22)-1)</f>
        <v/>
      </c>
    </row>
    <row r="196" ht="15.75" customHeight="1">
      <c r="A196" s="18"/>
      <c r="B196" s="18"/>
      <c r="C196" s="32"/>
      <c r="D196" s="18"/>
      <c r="E196" s="32"/>
      <c r="F196" s="32"/>
      <c r="G196" s="32"/>
      <c r="H196" s="33"/>
      <c r="I196" s="34"/>
      <c r="J196" s="34"/>
      <c r="K196" s="34"/>
      <c r="L196" s="34"/>
      <c r="M196" s="34"/>
      <c r="N196" s="34"/>
      <c r="O196" s="34"/>
      <c r="P196" s="34"/>
      <c r="Q196" s="32"/>
      <c r="R196" s="35" t="str">
        <f t="shared" si="1"/>
        <v/>
      </c>
      <c r="S196" s="35" t="str">
        <f>IF(OR(K196="",P196=""),"",NETWORKDAYS(K196,P196,Listas!$O$4:$O$22)-1)</f>
        <v/>
      </c>
      <c r="T196" s="35" t="str">
        <f t="array" ref="T196">IFERROR(INDEX(Listas!$C$4:$C$13,MATCH(E196,Listas!$B$4:$B$13,0)),"")</f>
        <v/>
      </c>
      <c r="U196" s="35" t="str">
        <f t="shared" si="2"/>
        <v/>
      </c>
      <c r="V196" s="35" t="str">
        <f>IF(OR(L196="",M196=""),"",NETWORKDAYS(L196,M196,Listas!$O$4:$O$22)-1)</f>
        <v/>
      </c>
      <c r="W196" s="35" t="str">
        <f>IF(OR(N196="",O196=""),"",NETWORKDAYS(N196,O196,Listas!$O$4:$O$22)-1)</f>
        <v/>
      </c>
    </row>
    <row r="197" ht="15.75" customHeight="1">
      <c r="A197" s="18"/>
      <c r="B197" s="18"/>
      <c r="C197" s="32"/>
      <c r="D197" s="18"/>
      <c r="E197" s="32"/>
      <c r="F197" s="32"/>
      <c r="G197" s="32"/>
      <c r="H197" s="33"/>
      <c r="I197" s="34"/>
      <c r="J197" s="34"/>
      <c r="K197" s="34"/>
      <c r="L197" s="34"/>
      <c r="M197" s="34"/>
      <c r="N197" s="34"/>
      <c r="O197" s="34"/>
      <c r="P197" s="34"/>
      <c r="Q197" s="32"/>
      <c r="R197" s="35" t="str">
        <f t="shared" si="1"/>
        <v/>
      </c>
      <c r="S197" s="35" t="str">
        <f>IF(OR(K197="",P197=""),"",NETWORKDAYS(K197,P197,Listas!$O$4:$O$22)-1)</f>
        <v/>
      </c>
      <c r="T197" s="35" t="str">
        <f t="array" ref="T197">IFERROR(INDEX(Listas!$C$4:$C$13,MATCH(E197,Listas!$B$4:$B$13,0)),"")</f>
        <v/>
      </c>
      <c r="U197" s="35" t="str">
        <f t="shared" si="2"/>
        <v/>
      </c>
      <c r="V197" s="35" t="str">
        <f>IF(OR(L197="",M197=""),"",NETWORKDAYS(L197,M197,Listas!$O$4:$O$22)-1)</f>
        <v/>
      </c>
      <c r="W197" s="35" t="str">
        <f>IF(OR(N197="",O197=""),"",NETWORKDAYS(N197,O197,Listas!$O$4:$O$22)-1)</f>
        <v/>
      </c>
    </row>
    <row r="198" ht="15.75" customHeight="1">
      <c r="A198" s="18"/>
      <c r="B198" s="18"/>
      <c r="C198" s="32"/>
      <c r="D198" s="18"/>
      <c r="E198" s="32"/>
      <c r="F198" s="32"/>
      <c r="G198" s="32"/>
      <c r="H198" s="33"/>
      <c r="I198" s="34"/>
      <c r="J198" s="34"/>
      <c r="K198" s="34"/>
      <c r="L198" s="34"/>
      <c r="M198" s="34"/>
      <c r="N198" s="34"/>
      <c r="O198" s="34"/>
      <c r="P198" s="34"/>
      <c r="Q198" s="32"/>
      <c r="R198" s="35" t="str">
        <f t="shared" si="1"/>
        <v/>
      </c>
      <c r="S198" s="35" t="str">
        <f>IF(OR(K198="",P198=""),"",NETWORKDAYS(K198,P198,Listas!$O$4:$O$22)-1)</f>
        <v/>
      </c>
      <c r="T198" s="35" t="str">
        <f t="array" ref="T198">IFERROR(INDEX(Listas!$C$4:$C$13,MATCH(E198,Listas!$B$4:$B$13,0)),"")</f>
        <v/>
      </c>
      <c r="U198" s="35" t="str">
        <f t="shared" si="2"/>
        <v/>
      </c>
      <c r="V198" s="35" t="str">
        <f>IF(OR(L198="",M198=""),"",NETWORKDAYS(L198,M198,Listas!$O$4:$O$22)-1)</f>
        <v/>
      </c>
      <c r="W198" s="35" t="str">
        <f>IF(OR(N198="",O198=""),"",NETWORKDAYS(N198,O198,Listas!$O$4:$O$22)-1)</f>
        <v/>
      </c>
    </row>
    <row r="199" ht="15.75" customHeight="1">
      <c r="A199" s="18"/>
      <c r="B199" s="18"/>
      <c r="C199" s="32"/>
      <c r="D199" s="18"/>
      <c r="E199" s="32"/>
      <c r="F199" s="32"/>
      <c r="G199" s="32"/>
      <c r="H199" s="33"/>
      <c r="I199" s="34"/>
      <c r="J199" s="34"/>
      <c r="K199" s="34"/>
      <c r="L199" s="34"/>
      <c r="M199" s="34"/>
      <c r="N199" s="34"/>
      <c r="O199" s="34"/>
      <c r="P199" s="34"/>
      <c r="Q199" s="32"/>
      <c r="R199" s="35" t="str">
        <f t="shared" si="1"/>
        <v/>
      </c>
      <c r="S199" s="35" t="str">
        <f>IF(OR(K199="",P199=""),"",NETWORKDAYS(K199,P199,Listas!$O$4:$O$22)-1)</f>
        <v/>
      </c>
      <c r="T199" s="35" t="str">
        <f t="array" ref="T199">IFERROR(INDEX(Listas!$C$4:$C$13,MATCH(E199,Listas!$B$4:$B$13,0)),"")</f>
        <v/>
      </c>
      <c r="U199" s="35" t="str">
        <f t="shared" si="2"/>
        <v/>
      </c>
      <c r="V199" s="35" t="str">
        <f>IF(OR(L199="",M199=""),"",NETWORKDAYS(L199,M199,Listas!$O$4:$O$22)-1)</f>
        <v/>
      </c>
      <c r="W199" s="35" t="str">
        <f>IF(OR(N199="",O199=""),"",NETWORKDAYS(N199,O199,Listas!$O$4:$O$22)-1)</f>
        <v/>
      </c>
    </row>
    <row r="200" ht="15.75" customHeight="1">
      <c r="A200" s="18"/>
      <c r="B200" s="18"/>
      <c r="C200" s="32"/>
      <c r="D200" s="18"/>
      <c r="E200" s="32"/>
      <c r="F200" s="32"/>
      <c r="G200" s="32"/>
      <c r="H200" s="33"/>
      <c r="I200" s="34"/>
      <c r="J200" s="34"/>
      <c r="K200" s="34"/>
      <c r="L200" s="34"/>
      <c r="M200" s="34"/>
      <c r="N200" s="34"/>
      <c r="O200" s="34"/>
      <c r="P200" s="34"/>
      <c r="Q200" s="32"/>
      <c r="R200" s="35" t="str">
        <f t="shared" si="1"/>
        <v/>
      </c>
      <c r="S200" s="35" t="str">
        <f>IF(OR(K200="",P200=""),"",NETWORKDAYS(K200,P200,Listas!$O$4:$O$22)-1)</f>
        <v/>
      </c>
      <c r="T200" s="35" t="str">
        <f t="array" ref="T200">IFERROR(INDEX(Listas!$C$4:$C$13,MATCH(E200,Listas!$B$4:$B$13,0)),"")</f>
        <v/>
      </c>
      <c r="U200" s="35" t="str">
        <f t="shared" si="2"/>
        <v/>
      </c>
      <c r="V200" s="35" t="str">
        <f>IF(OR(L200="",M200=""),"",NETWORKDAYS(L200,M200,Listas!$O$4:$O$22)-1)</f>
        <v/>
      </c>
      <c r="W200" s="35" t="str">
        <f>IF(OR(N200="",O200=""),"",NETWORKDAYS(N200,O200,Listas!$O$4:$O$22)-1)</f>
        <v/>
      </c>
    </row>
    <row r="201" ht="15.75" customHeight="1">
      <c r="A201" s="18"/>
      <c r="B201" s="18"/>
      <c r="C201" s="32"/>
      <c r="D201" s="18"/>
      <c r="E201" s="32"/>
      <c r="F201" s="32"/>
      <c r="G201" s="32"/>
      <c r="H201" s="33"/>
      <c r="I201" s="34"/>
      <c r="J201" s="34"/>
      <c r="K201" s="34"/>
      <c r="L201" s="34"/>
      <c r="M201" s="34"/>
      <c r="N201" s="34"/>
      <c r="O201" s="34"/>
      <c r="P201" s="34"/>
      <c r="Q201" s="32"/>
      <c r="R201" s="35" t="str">
        <f t="shared" si="1"/>
        <v/>
      </c>
      <c r="S201" s="35" t="str">
        <f>IF(OR(K201="",P201=""),"",NETWORKDAYS(K201,P201,Listas!$O$4:$O$22)-1)</f>
        <v/>
      </c>
      <c r="T201" s="35" t="str">
        <f t="array" ref="T201">IFERROR(INDEX(Listas!$C$4:$C$13,MATCH(E201,Listas!$B$4:$B$13,0)),"")</f>
        <v/>
      </c>
      <c r="U201" s="35" t="str">
        <f t="shared" si="2"/>
        <v/>
      </c>
      <c r="V201" s="35" t="str">
        <f>IF(OR(L201="",M201=""),"",NETWORKDAYS(L201,M201,Listas!$O$4:$O$22)-1)</f>
        <v/>
      </c>
      <c r="W201" s="35" t="str">
        <f>IF(OR(N201="",O201=""),"",NETWORKDAYS(N201,O201,Listas!$O$4:$O$22)-1)</f>
        <v/>
      </c>
    </row>
    <row r="202" ht="15.75" customHeight="1">
      <c r="A202" s="18"/>
      <c r="B202" s="18"/>
      <c r="C202" s="32"/>
      <c r="D202" s="18"/>
      <c r="E202" s="32"/>
      <c r="F202" s="32"/>
      <c r="G202" s="32"/>
      <c r="H202" s="33"/>
      <c r="I202" s="34"/>
      <c r="J202" s="34"/>
      <c r="K202" s="34"/>
      <c r="L202" s="34"/>
      <c r="M202" s="34"/>
      <c r="N202" s="34"/>
      <c r="O202" s="34"/>
      <c r="P202" s="34"/>
      <c r="Q202" s="32"/>
      <c r="R202" s="35" t="str">
        <f t="shared" si="1"/>
        <v/>
      </c>
      <c r="S202" s="35" t="str">
        <f>IF(OR(K202="",P202=""),"",NETWORKDAYS(K202,P202,Listas!$O$4:$O$22)-1)</f>
        <v/>
      </c>
      <c r="T202" s="35" t="str">
        <f t="array" ref="T202">IFERROR(INDEX(Listas!$C$4:$C$13,MATCH(E202,Listas!$B$4:$B$13,0)),"")</f>
        <v/>
      </c>
      <c r="U202" s="35" t="str">
        <f t="shared" si="2"/>
        <v/>
      </c>
      <c r="V202" s="35" t="str">
        <f>IF(OR(L202="",M202=""),"",NETWORKDAYS(L202,M202,Listas!$O$4:$O$22)-1)</f>
        <v/>
      </c>
      <c r="W202" s="35" t="str">
        <f>IF(OR(N202="",O202=""),"",NETWORKDAYS(N202,O202,Listas!$O$4:$O$22)-1)</f>
        <v/>
      </c>
    </row>
    <row r="203" ht="15.75" customHeight="1">
      <c r="A203" s="18"/>
      <c r="B203" s="18"/>
      <c r="C203" s="32"/>
      <c r="D203" s="18"/>
      <c r="E203" s="32"/>
      <c r="F203" s="32"/>
      <c r="G203" s="32"/>
      <c r="H203" s="33"/>
      <c r="I203" s="34"/>
      <c r="J203" s="34"/>
      <c r="K203" s="34"/>
      <c r="L203" s="34"/>
      <c r="M203" s="34"/>
      <c r="N203" s="34"/>
      <c r="O203" s="34"/>
      <c r="P203" s="34"/>
      <c r="Q203" s="32"/>
      <c r="R203" s="35" t="str">
        <f t="shared" si="1"/>
        <v/>
      </c>
      <c r="S203" s="35" t="str">
        <f>IF(OR(K203="",P203=""),"",NETWORKDAYS(K203,P203,Listas!$O$4:$O$22)-1)</f>
        <v/>
      </c>
      <c r="T203" s="35" t="str">
        <f t="array" ref="T203">IFERROR(INDEX(Listas!$C$4:$C$13,MATCH(E203,Listas!$B$4:$B$13,0)),"")</f>
        <v/>
      </c>
      <c r="U203" s="35" t="str">
        <f t="shared" si="2"/>
        <v/>
      </c>
      <c r="V203" s="35" t="str">
        <f>IF(OR(L203="",M203=""),"",NETWORKDAYS(L203,M203,Listas!$O$4:$O$22)-1)</f>
        <v/>
      </c>
      <c r="W203" s="35" t="str">
        <f>IF(OR(N203="",O203=""),"",NETWORKDAYS(N203,O203,Listas!$O$4:$O$22)-1)</f>
        <v/>
      </c>
    </row>
    <row r="204" ht="15.75" customHeight="1">
      <c r="A204" s="18"/>
      <c r="B204" s="18"/>
      <c r="C204" s="32"/>
      <c r="D204" s="18"/>
      <c r="E204" s="32"/>
      <c r="F204" s="32"/>
      <c r="G204" s="32"/>
      <c r="H204" s="33"/>
      <c r="I204" s="34"/>
      <c r="J204" s="34"/>
      <c r="K204" s="34"/>
      <c r="L204" s="34"/>
      <c r="M204" s="34"/>
      <c r="N204" s="34"/>
      <c r="O204" s="34"/>
      <c r="P204" s="34"/>
      <c r="Q204" s="32"/>
      <c r="R204" s="35" t="str">
        <f t="shared" si="1"/>
        <v/>
      </c>
      <c r="S204" s="35" t="str">
        <f>IF(OR(K204="",P204=""),"",NETWORKDAYS(K204,P204,Listas!$O$4:$O$22)-1)</f>
        <v/>
      </c>
      <c r="T204" s="35" t="str">
        <f t="array" ref="T204">IFERROR(INDEX(Listas!$C$4:$C$13,MATCH(E204,Listas!$B$4:$B$13,0)),"")</f>
        <v/>
      </c>
      <c r="U204" s="35" t="str">
        <f t="shared" si="2"/>
        <v/>
      </c>
      <c r="V204" s="35" t="str">
        <f>IF(OR(L204="",M204=""),"",NETWORKDAYS(L204,M204,Listas!$O$4:$O$22)-1)</f>
        <v/>
      </c>
      <c r="W204" s="35" t="str">
        <f>IF(OR(N204="",O204=""),"",NETWORKDAYS(N204,O204,Listas!$O$4:$O$22)-1)</f>
        <v/>
      </c>
    </row>
    <row r="205" ht="15.75" customHeight="1">
      <c r="A205" s="18"/>
      <c r="B205" s="18"/>
      <c r="C205" s="32"/>
      <c r="D205" s="18"/>
      <c r="E205" s="32"/>
      <c r="F205" s="32"/>
      <c r="G205" s="32"/>
      <c r="H205" s="33"/>
      <c r="I205" s="34"/>
      <c r="J205" s="34"/>
      <c r="K205" s="34"/>
      <c r="L205" s="34"/>
      <c r="M205" s="34"/>
      <c r="N205" s="34"/>
      <c r="O205" s="34"/>
      <c r="P205" s="34"/>
      <c r="Q205" s="32"/>
      <c r="R205" s="35" t="str">
        <f t="shared" si="1"/>
        <v/>
      </c>
      <c r="S205" s="35" t="str">
        <f>IF(OR(K205="",P205=""),"",NETWORKDAYS(K205,P205,Listas!$O$4:$O$22)-1)</f>
        <v/>
      </c>
      <c r="T205" s="35" t="str">
        <f t="array" ref="T205">IFERROR(INDEX(Listas!$C$4:$C$13,MATCH(E205,Listas!$B$4:$B$13,0)),"")</f>
        <v/>
      </c>
      <c r="U205" s="35" t="str">
        <f t="shared" si="2"/>
        <v/>
      </c>
      <c r="V205" s="35" t="str">
        <f>IF(OR(L205="",M205=""),"",NETWORKDAYS(L205,M205,Listas!$O$4:$O$22)-1)</f>
        <v/>
      </c>
      <c r="W205" s="35" t="str">
        <f>IF(OR(N205="",O205=""),"",NETWORKDAYS(N205,O205,Listas!$O$4:$O$22)-1)</f>
        <v/>
      </c>
    </row>
    <row r="206" ht="15.75" customHeight="1">
      <c r="A206" s="18"/>
      <c r="B206" s="18"/>
      <c r="C206" s="32"/>
      <c r="D206" s="18"/>
      <c r="E206" s="32"/>
      <c r="F206" s="32"/>
      <c r="G206" s="32"/>
      <c r="H206" s="33"/>
      <c r="I206" s="34"/>
      <c r="J206" s="34"/>
      <c r="K206" s="34"/>
      <c r="L206" s="34"/>
      <c r="M206" s="34"/>
      <c r="N206" s="34"/>
      <c r="O206" s="34"/>
      <c r="P206" s="34"/>
      <c r="Q206" s="32"/>
      <c r="R206" s="35" t="str">
        <f t="shared" si="1"/>
        <v/>
      </c>
      <c r="S206" s="35" t="str">
        <f>IF(OR(K206="",P206=""),"",NETWORKDAYS(K206,P206,Listas!$O$4:$O$22)-1)</f>
        <v/>
      </c>
      <c r="T206" s="35" t="str">
        <f t="array" ref="T206">IFERROR(INDEX(Listas!$C$4:$C$13,MATCH(E206,Listas!$B$4:$B$13,0)),"")</f>
        <v/>
      </c>
      <c r="U206" s="35" t="str">
        <f t="shared" si="2"/>
        <v/>
      </c>
      <c r="V206" s="35" t="str">
        <f>IF(OR(L206="",M206=""),"",NETWORKDAYS(L206,M206,Listas!$O$4:$O$22)-1)</f>
        <v/>
      </c>
      <c r="W206" s="35" t="str">
        <f>IF(OR(N206="",O206=""),"",NETWORKDAYS(N206,O206,Listas!$O$4:$O$22)-1)</f>
        <v/>
      </c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W$206"/>
  <conditionalFormatting sqref="R7:R206">
    <cfRule type="expression" dxfId="2" priority="1">
      <formula>$R7="Não"</formula>
    </cfRule>
  </conditionalFormatting>
  <conditionalFormatting sqref="U7:U206">
    <cfRule type="expression" dxfId="2" priority="2">
      <formula>AND($U7&lt;&gt;"",$U7&gt;0)</formula>
    </cfRule>
  </conditionalFormatting>
  <dataValidations>
    <dataValidation type="list" allowBlank="1" sqref="F7:F206">
      <formula1>Listas!$I$4:$I$6</formula1>
    </dataValidation>
    <dataValidation type="list" allowBlank="1" sqref="Q7:Q206">
      <formula1>Listas!$G$4:$G$9</formula1>
    </dataValidation>
    <dataValidation type="list" allowBlank="1" sqref="G7:G206">
      <formula1>Listas!$M$4:$M$5</formula1>
    </dataValidation>
    <dataValidation type="list" allowBlank="1" sqref="C7:C206">
      <formula1>Listas!$E$4:$E$8</formula1>
    </dataValidation>
    <dataValidation type="list" allowBlank="1" sqref="E7:E206">
      <formula1>Listas!$B$4:$B$13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8.0"/>
    <col customWidth="1" min="2" max="3" width="18.0"/>
    <col customWidth="1" min="4" max="4" width="44.0"/>
    <col customWidth="1" min="5" max="5" width="32.0"/>
    <col customWidth="1" min="6" max="6" width="36.0"/>
    <col customWidth="1" min="7" max="7" width="46.0"/>
    <col customWidth="1" min="8" max="8" width="18.0"/>
    <col customWidth="1" min="9" max="9" width="26.0"/>
    <col customWidth="1" min="10" max="26" width="8.71"/>
  </cols>
  <sheetData>
    <row r="1">
      <c r="A1" s="6" t="s">
        <v>39</v>
      </c>
    </row>
    <row r="2">
      <c r="A2" s="7" t="s">
        <v>41</v>
      </c>
    </row>
    <row r="6" ht="39.75" customHeight="1">
      <c r="A6" s="9" t="s">
        <v>42</v>
      </c>
      <c r="B6" s="9" t="s">
        <v>45</v>
      </c>
      <c r="C6" s="9" t="s">
        <v>47</v>
      </c>
      <c r="D6" s="9" t="s">
        <v>49</v>
      </c>
      <c r="E6" s="9" t="s">
        <v>44</v>
      </c>
      <c r="F6" s="9" t="s">
        <v>53</v>
      </c>
      <c r="G6" s="9" t="s">
        <v>56</v>
      </c>
      <c r="H6" s="9" t="s">
        <v>58</v>
      </c>
      <c r="I6" s="9" t="s">
        <v>60</v>
      </c>
    </row>
    <row r="7">
      <c r="A7" s="12">
        <v>1.0</v>
      </c>
      <c r="B7" s="14">
        <v>46464.0</v>
      </c>
      <c r="C7" s="12" t="s">
        <v>82</v>
      </c>
      <c r="D7" s="12" t="s">
        <v>83</v>
      </c>
      <c r="E7" s="12" t="s">
        <v>85</v>
      </c>
      <c r="F7" s="12" t="s">
        <v>86</v>
      </c>
      <c r="G7" s="12" t="s">
        <v>87</v>
      </c>
      <c r="H7" s="17">
        <v>480000.0</v>
      </c>
      <c r="I7" s="12" t="s">
        <v>89</v>
      </c>
    </row>
    <row r="8">
      <c r="A8" s="18"/>
      <c r="B8" s="19"/>
      <c r="C8" s="18"/>
      <c r="D8" s="18"/>
      <c r="E8" s="18"/>
      <c r="F8" s="18"/>
      <c r="G8" s="18"/>
      <c r="H8" s="20"/>
      <c r="I8" s="18"/>
    </row>
    <row r="9">
      <c r="A9" s="18"/>
      <c r="B9" s="19"/>
      <c r="C9" s="18"/>
      <c r="D9" s="18"/>
      <c r="E9" s="18"/>
      <c r="F9" s="18"/>
      <c r="G9" s="18"/>
      <c r="H9" s="20"/>
      <c r="I9" s="18"/>
    </row>
    <row r="10">
      <c r="A10" s="18"/>
      <c r="B10" s="19"/>
      <c r="C10" s="18"/>
      <c r="D10" s="18"/>
      <c r="E10" s="18"/>
      <c r="F10" s="18"/>
      <c r="G10" s="18"/>
      <c r="H10" s="20"/>
      <c r="I10" s="18"/>
    </row>
    <row r="11">
      <c r="A11" s="18"/>
      <c r="B11" s="19"/>
      <c r="C11" s="18"/>
      <c r="D11" s="18"/>
      <c r="E11" s="18"/>
      <c r="F11" s="18"/>
      <c r="G11" s="18"/>
      <c r="H11" s="20"/>
      <c r="I11" s="18"/>
    </row>
    <row r="12">
      <c r="A12" s="18"/>
      <c r="B12" s="19"/>
      <c r="C12" s="18"/>
      <c r="D12" s="18"/>
      <c r="E12" s="18"/>
      <c r="F12" s="18"/>
      <c r="G12" s="18"/>
      <c r="H12" s="20"/>
      <c r="I12" s="18"/>
    </row>
    <row r="13">
      <c r="A13" s="18"/>
      <c r="B13" s="19"/>
      <c r="C13" s="18"/>
      <c r="D13" s="18"/>
      <c r="E13" s="18"/>
      <c r="F13" s="18"/>
      <c r="G13" s="18"/>
      <c r="H13" s="20"/>
      <c r="I13" s="18"/>
    </row>
    <row r="14">
      <c r="A14" s="18"/>
      <c r="B14" s="19"/>
      <c r="C14" s="18"/>
      <c r="D14" s="18"/>
      <c r="E14" s="18"/>
      <c r="F14" s="18"/>
      <c r="G14" s="18"/>
      <c r="H14" s="20"/>
      <c r="I14" s="18"/>
    </row>
    <row r="15">
      <c r="A15" s="18"/>
      <c r="B15" s="19"/>
      <c r="C15" s="18"/>
      <c r="D15" s="18"/>
      <c r="E15" s="18"/>
      <c r="F15" s="18"/>
      <c r="G15" s="18"/>
      <c r="H15" s="20"/>
      <c r="I15" s="18"/>
    </row>
    <row r="16">
      <c r="A16" s="18"/>
      <c r="B16" s="19"/>
      <c r="C16" s="18"/>
      <c r="D16" s="18"/>
      <c r="E16" s="18"/>
      <c r="F16" s="18"/>
      <c r="G16" s="18"/>
      <c r="H16" s="20"/>
      <c r="I16" s="18"/>
    </row>
    <row r="17">
      <c r="A17" s="18"/>
      <c r="B17" s="19"/>
      <c r="C17" s="18"/>
      <c r="D17" s="18"/>
      <c r="E17" s="18"/>
      <c r="F17" s="18"/>
      <c r="G17" s="18"/>
      <c r="H17" s="20"/>
      <c r="I17" s="18"/>
    </row>
    <row r="18">
      <c r="A18" s="18"/>
      <c r="B18" s="19"/>
      <c r="C18" s="18"/>
      <c r="D18" s="18"/>
      <c r="E18" s="18"/>
      <c r="F18" s="18"/>
      <c r="G18" s="18"/>
      <c r="H18" s="20"/>
      <c r="I18" s="18"/>
    </row>
    <row r="19">
      <c r="A19" s="18"/>
      <c r="B19" s="19"/>
      <c r="C19" s="18"/>
      <c r="D19" s="18"/>
      <c r="E19" s="18"/>
      <c r="F19" s="18"/>
      <c r="G19" s="18"/>
      <c r="H19" s="20"/>
      <c r="I19" s="18"/>
    </row>
    <row r="20">
      <c r="A20" s="18"/>
      <c r="B20" s="19"/>
      <c r="C20" s="18"/>
      <c r="D20" s="18"/>
      <c r="E20" s="18"/>
      <c r="F20" s="18"/>
      <c r="G20" s="18"/>
      <c r="H20" s="20"/>
      <c r="I20" s="18"/>
    </row>
    <row r="21" ht="15.75" customHeight="1">
      <c r="A21" s="18"/>
      <c r="B21" s="19"/>
      <c r="C21" s="18"/>
      <c r="D21" s="18"/>
      <c r="E21" s="18"/>
      <c r="F21" s="18"/>
      <c r="G21" s="18"/>
      <c r="H21" s="20"/>
      <c r="I21" s="18"/>
    </row>
    <row r="22" ht="15.75" customHeight="1">
      <c r="A22" s="18"/>
      <c r="B22" s="19"/>
      <c r="C22" s="18"/>
      <c r="D22" s="18"/>
      <c r="E22" s="18"/>
      <c r="F22" s="18"/>
      <c r="G22" s="18"/>
      <c r="H22" s="20"/>
      <c r="I22" s="18"/>
    </row>
    <row r="23" ht="15.75" customHeight="1">
      <c r="A23" s="18"/>
      <c r="B23" s="19"/>
      <c r="C23" s="18"/>
      <c r="D23" s="18"/>
      <c r="E23" s="18"/>
      <c r="F23" s="18"/>
      <c r="G23" s="18"/>
      <c r="H23" s="20"/>
      <c r="I23" s="18"/>
    </row>
    <row r="24" ht="15.75" customHeight="1">
      <c r="A24" s="18"/>
      <c r="B24" s="19"/>
      <c r="C24" s="18"/>
      <c r="D24" s="18"/>
      <c r="E24" s="18"/>
      <c r="F24" s="18"/>
      <c r="G24" s="18"/>
      <c r="H24" s="20"/>
      <c r="I24" s="18"/>
    </row>
    <row r="25" ht="15.75" customHeight="1">
      <c r="A25" s="18"/>
      <c r="B25" s="19"/>
      <c r="C25" s="18"/>
      <c r="D25" s="18"/>
      <c r="E25" s="18"/>
      <c r="F25" s="18"/>
      <c r="G25" s="18"/>
      <c r="H25" s="20"/>
      <c r="I25" s="18"/>
    </row>
    <row r="26" ht="15.75" customHeight="1">
      <c r="A26" s="18"/>
      <c r="B26" s="19"/>
      <c r="C26" s="18"/>
      <c r="D26" s="18"/>
      <c r="E26" s="18"/>
      <c r="F26" s="18"/>
      <c r="G26" s="18"/>
      <c r="H26" s="20"/>
      <c r="I26" s="18"/>
    </row>
    <row r="27" ht="15.75" customHeight="1">
      <c r="A27" s="18"/>
      <c r="B27" s="19"/>
      <c r="C27" s="18"/>
      <c r="D27" s="18"/>
      <c r="E27" s="18"/>
      <c r="F27" s="18"/>
      <c r="G27" s="18"/>
      <c r="H27" s="20"/>
      <c r="I27" s="18"/>
    </row>
    <row r="28" ht="15.75" customHeight="1">
      <c r="A28" s="18"/>
      <c r="B28" s="19"/>
      <c r="C28" s="18"/>
      <c r="D28" s="18"/>
      <c r="E28" s="18"/>
      <c r="F28" s="18"/>
      <c r="G28" s="18"/>
      <c r="H28" s="20"/>
      <c r="I28" s="18"/>
    </row>
    <row r="29" ht="15.75" customHeight="1">
      <c r="A29" s="18"/>
      <c r="B29" s="19"/>
      <c r="C29" s="18"/>
      <c r="D29" s="18"/>
      <c r="E29" s="18"/>
      <c r="F29" s="18"/>
      <c r="G29" s="18"/>
      <c r="H29" s="20"/>
      <c r="I29" s="18"/>
    </row>
    <row r="30" ht="15.75" customHeight="1">
      <c r="A30" s="18"/>
      <c r="B30" s="19"/>
      <c r="C30" s="18"/>
      <c r="D30" s="18"/>
      <c r="E30" s="18"/>
      <c r="F30" s="18"/>
      <c r="G30" s="18"/>
      <c r="H30" s="20"/>
      <c r="I30" s="18"/>
    </row>
    <row r="31" ht="15.75" customHeight="1">
      <c r="A31" s="18"/>
      <c r="B31" s="19"/>
      <c r="C31" s="18"/>
      <c r="D31" s="18"/>
      <c r="E31" s="18"/>
      <c r="F31" s="18"/>
      <c r="G31" s="18"/>
      <c r="H31" s="20"/>
      <c r="I31" s="18"/>
    </row>
    <row r="32" ht="15.75" customHeight="1">
      <c r="A32" s="18"/>
      <c r="B32" s="19"/>
      <c r="C32" s="18"/>
      <c r="D32" s="18"/>
      <c r="E32" s="18"/>
      <c r="F32" s="18"/>
      <c r="G32" s="18"/>
      <c r="H32" s="20"/>
      <c r="I32" s="18"/>
    </row>
    <row r="33" ht="15.75" customHeight="1">
      <c r="A33" s="18"/>
      <c r="B33" s="19"/>
      <c r="C33" s="18"/>
      <c r="D33" s="18"/>
      <c r="E33" s="18"/>
      <c r="F33" s="18"/>
      <c r="G33" s="18"/>
      <c r="H33" s="20"/>
      <c r="I33" s="18"/>
    </row>
    <row r="34" ht="15.75" customHeight="1">
      <c r="A34" s="18"/>
      <c r="B34" s="19"/>
      <c r="C34" s="18"/>
      <c r="D34" s="18"/>
      <c r="E34" s="18"/>
      <c r="F34" s="18"/>
      <c r="G34" s="18"/>
      <c r="H34" s="20"/>
      <c r="I34" s="18"/>
    </row>
    <row r="35" ht="15.75" customHeight="1">
      <c r="A35" s="18"/>
      <c r="B35" s="19"/>
      <c r="C35" s="18"/>
      <c r="D35" s="18"/>
      <c r="E35" s="18"/>
      <c r="F35" s="18"/>
      <c r="G35" s="18"/>
      <c r="H35" s="20"/>
      <c r="I35" s="18"/>
    </row>
    <row r="36" ht="15.75" customHeight="1">
      <c r="A36" s="18"/>
      <c r="B36" s="19"/>
      <c r="C36" s="18"/>
      <c r="D36" s="18"/>
      <c r="E36" s="18"/>
      <c r="F36" s="18"/>
      <c r="G36" s="18"/>
      <c r="H36" s="20"/>
      <c r="I36" s="18"/>
    </row>
    <row r="37" ht="15.75" customHeight="1">
      <c r="A37" s="18"/>
      <c r="B37" s="19"/>
      <c r="C37" s="18"/>
      <c r="D37" s="18"/>
      <c r="E37" s="18"/>
      <c r="F37" s="18"/>
      <c r="G37" s="18"/>
      <c r="H37" s="20"/>
      <c r="I37" s="18"/>
    </row>
    <row r="38" ht="15.75" customHeight="1">
      <c r="A38" s="18"/>
      <c r="B38" s="19"/>
      <c r="C38" s="18"/>
      <c r="D38" s="18"/>
      <c r="E38" s="18"/>
      <c r="F38" s="18"/>
      <c r="G38" s="18"/>
      <c r="H38" s="20"/>
      <c r="I38" s="18"/>
    </row>
    <row r="39" ht="15.75" customHeight="1">
      <c r="A39" s="18"/>
      <c r="B39" s="19"/>
      <c r="C39" s="18"/>
      <c r="D39" s="18"/>
      <c r="E39" s="18"/>
      <c r="F39" s="18"/>
      <c r="G39" s="18"/>
      <c r="H39" s="20"/>
      <c r="I39" s="18"/>
    </row>
    <row r="40" ht="15.75" customHeight="1">
      <c r="A40" s="18"/>
      <c r="B40" s="19"/>
      <c r="C40" s="18"/>
      <c r="D40" s="18"/>
      <c r="E40" s="18"/>
      <c r="F40" s="18"/>
      <c r="G40" s="18"/>
      <c r="H40" s="20"/>
      <c r="I40" s="18"/>
    </row>
    <row r="41" ht="15.75" customHeight="1">
      <c r="A41" s="18"/>
      <c r="B41" s="19"/>
      <c r="C41" s="18"/>
      <c r="D41" s="18"/>
      <c r="E41" s="18"/>
      <c r="F41" s="18"/>
      <c r="G41" s="18"/>
      <c r="H41" s="20"/>
      <c r="I41" s="18"/>
    </row>
    <row r="42" ht="15.75" customHeight="1">
      <c r="A42" s="18"/>
      <c r="B42" s="19"/>
      <c r="C42" s="18"/>
      <c r="D42" s="18"/>
      <c r="E42" s="18"/>
      <c r="F42" s="18"/>
      <c r="G42" s="18"/>
      <c r="H42" s="20"/>
      <c r="I42" s="18"/>
    </row>
    <row r="43" ht="15.75" customHeight="1">
      <c r="A43" s="18"/>
      <c r="B43" s="19"/>
      <c r="C43" s="18"/>
      <c r="D43" s="18"/>
      <c r="E43" s="18"/>
      <c r="F43" s="18"/>
      <c r="G43" s="18"/>
      <c r="H43" s="20"/>
      <c r="I43" s="18"/>
    </row>
    <row r="44" ht="15.75" customHeight="1">
      <c r="A44" s="18"/>
      <c r="B44" s="19"/>
      <c r="C44" s="18"/>
      <c r="D44" s="18"/>
      <c r="E44" s="18"/>
      <c r="F44" s="18"/>
      <c r="G44" s="18"/>
      <c r="H44" s="20"/>
      <c r="I44" s="18"/>
    </row>
    <row r="45" ht="15.75" customHeight="1">
      <c r="A45" s="18"/>
      <c r="B45" s="19"/>
      <c r="C45" s="18"/>
      <c r="D45" s="18"/>
      <c r="E45" s="18"/>
      <c r="F45" s="18"/>
      <c r="G45" s="18"/>
      <c r="H45" s="20"/>
      <c r="I45" s="18"/>
    </row>
    <row r="46" ht="15.75" customHeight="1">
      <c r="A46" s="18"/>
      <c r="B46" s="19"/>
      <c r="C46" s="18"/>
      <c r="D46" s="18"/>
      <c r="E46" s="18"/>
      <c r="F46" s="18"/>
      <c r="G46" s="18"/>
      <c r="H46" s="20"/>
      <c r="I46" s="18"/>
    </row>
    <row r="47" ht="15.75" customHeight="1">
      <c r="A47" s="18"/>
      <c r="B47" s="19"/>
      <c r="C47" s="18"/>
      <c r="D47" s="18"/>
      <c r="E47" s="18"/>
      <c r="F47" s="18"/>
      <c r="G47" s="18"/>
      <c r="H47" s="20"/>
      <c r="I47" s="18"/>
    </row>
    <row r="48" ht="15.75" customHeight="1">
      <c r="A48" s="18"/>
      <c r="B48" s="19"/>
      <c r="C48" s="18"/>
      <c r="D48" s="18"/>
      <c r="E48" s="18"/>
      <c r="F48" s="18"/>
      <c r="G48" s="18"/>
      <c r="H48" s="20"/>
      <c r="I48" s="18"/>
    </row>
    <row r="49" ht="15.75" customHeight="1">
      <c r="A49" s="18"/>
      <c r="B49" s="19"/>
      <c r="C49" s="18"/>
      <c r="D49" s="18"/>
      <c r="E49" s="18"/>
      <c r="F49" s="18"/>
      <c r="G49" s="18"/>
      <c r="H49" s="20"/>
      <c r="I49" s="18"/>
    </row>
    <row r="50" ht="15.75" customHeight="1">
      <c r="A50" s="18"/>
      <c r="B50" s="19"/>
      <c r="C50" s="18"/>
      <c r="D50" s="18"/>
      <c r="E50" s="18"/>
      <c r="F50" s="18"/>
      <c r="G50" s="18"/>
      <c r="H50" s="20"/>
      <c r="I50" s="18"/>
    </row>
    <row r="51" ht="15.75" customHeight="1">
      <c r="A51" s="18"/>
      <c r="B51" s="19"/>
      <c r="C51" s="18"/>
      <c r="D51" s="18"/>
      <c r="E51" s="18"/>
      <c r="F51" s="18"/>
      <c r="G51" s="18"/>
      <c r="H51" s="20"/>
      <c r="I51" s="18"/>
    </row>
    <row r="52" ht="15.75" customHeight="1">
      <c r="A52" s="18"/>
      <c r="B52" s="19"/>
      <c r="C52" s="18"/>
      <c r="D52" s="18"/>
      <c r="E52" s="18"/>
      <c r="F52" s="18"/>
      <c r="G52" s="18"/>
      <c r="H52" s="20"/>
      <c r="I52" s="18"/>
    </row>
    <row r="53" ht="15.75" customHeight="1">
      <c r="A53" s="18"/>
      <c r="B53" s="19"/>
      <c r="C53" s="18"/>
      <c r="D53" s="18"/>
      <c r="E53" s="18"/>
      <c r="F53" s="18"/>
      <c r="G53" s="18"/>
      <c r="H53" s="20"/>
      <c r="I53" s="18"/>
    </row>
    <row r="54" ht="15.75" customHeight="1">
      <c r="A54" s="18"/>
      <c r="B54" s="19"/>
      <c r="C54" s="18"/>
      <c r="D54" s="18"/>
      <c r="E54" s="18"/>
      <c r="F54" s="18"/>
      <c r="G54" s="18"/>
      <c r="H54" s="20"/>
      <c r="I54" s="18"/>
    </row>
    <row r="55" ht="15.75" customHeight="1">
      <c r="A55" s="18"/>
      <c r="B55" s="19"/>
      <c r="C55" s="18"/>
      <c r="D55" s="18"/>
      <c r="E55" s="18"/>
      <c r="F55" s="18"/>
      <c r="G55" s="18"/>
      <c r="H55" s="20"/>
      <c r="I55" s="18"/>
    </row>
    <row r="56" ht="15.75" customHeight="1">
      <c r="A56" s="18"/>
      <c r="B56" s="19"/>
      <c r="C56" s="18"/>
      <c r="D56" s="18"/>
      <c r="E56" s="18"/>
      <c r="F56" s="18"/>
      <c r="G56" s="18"/>
      <c r="H56" s="20"/>
      <c r="I56" s="18"/>
    </row>
    <row r="57" ht="15.75" customHeight="1">
      <c r="A57" s="18"/>
      <c r="B57" s="19"/>
      <c r="C57" s="18"/>
      <c r="D57" s="18"/>
      <c r="E57" s="18"/>
      <c r="F57" s="18"/>
      <c r="G57" s="18"/>
      <c r="H57" s="20"/>
      <c r="I57" s="18"/>
    </row>
    <row r="58" ht="15.75" customHeight="1">
      <c r="A58" s="18"/>
      <c r="B58" s="19"/>
      <c r="C58" s="18"/>
      <c r="D58" s="18"/>
      <c r="E58" s="18"/>
      <c r="F58" s="18"/>
      <c r="G58" s="18"/>
      <c r="H58" s="20"/>
      <c r="I58" s="18"/>
    </row>
    <row r="59" ht="15.75" customHeight="1">
      <c r="A59" s="18"/>
      <c r="B59" s="19"/>
      <c r="C59" s="18"/>
      <c r="D59" s="18"/>
      <c r="E59" s="18"/>
      <c r="F59" s="18"/>
      <c r="G59" s="18"/>
      <c r="H59" s="20"/>
      <c r="I59" s="18"/>
    </row>
    <row r="60" ht="15.75" customHeight="1">
      <c r="A60" s="18"/>
      <c r="B60" s="19"/>
      <c r="C60" s="18"/>
      <c r="D60" s="18"/>
      <c r="E60" s="18"/>
      <c r="F60" s="18"/>
      <c r="G60" s="18"/>
      <c r="H60" s="20"/>
      <c r="I60" s="18"/>
    </row>
    <row r="61" ht="15.75" customHeight="1">
      <c r="A61" s="18"/>
      <c r="B61" s="19"/>
      <c r="C61" s="18"/>
      <c r="D61" s="18"/>
      <c r="E61" s="18"/>
      <c r="F61" s="18"/>
      <c r="G61" s="18"/>
      <c r="H61" s="20"/>
      <c r="I61" s="18"/>
    </row>
    <row r="62" ht="15.75" customHeight="1">
      <c r="A62" s="18"/>
      <c r="B62" s="19"/>
      <c r="C62" s="18"/>
      <c r="D62" s="18"/>
      <c r="E62" s="18"/>
      <c r="F62" s="18"/>
      <c r="G62" s="18"/>
      <c r="H62" s="20"/>
      <c r="I62" s="18"/>
    </row>
    <row r="63" ht="15.75" customHeight="1">
      <c r="A63" s="18"/>
      <c r="B63" s="19"/>
      <c r="C63" s="18"/>
      <c r="D63" s="18"/>
      <c r="E63" s="18"/>
      <c r="F63" s="18"/>
      <c r="G63" s="18"/>
      <c r="H63" s="20"/>
      <c r="I63" s="18"/>
    </row>
    <row r="64" ht="15.75" customHeight="1">
      <c r="A64" s="18"/>
      <c r="B64" s="19"/>
      <c r="C64" s="18"/>
      <c r="D64" s="18"/>
      <c r="E64" s="18"/>
      <c r="F64" s="18"/>
      <c r="G64" s="18"/>
      <c r="H64" s="20"/>
      <c r="I64" s="18"/>
    </row>
    <row r="65" ht="15.75" customHeight="1">
      <c r="A65" s="18"/>
      <c r="B65" s="19"/>
      <c r="C65" s="18"/>
      <c r="D65" s="18"/>
      <c r="E65" s="18"/>
      <c r="F65" s="18"/>
      <c r="G65" s="18"/>
      <c r="H65" s="20"/>
      <c r="I65" s="18"/>
    </row>
    <row r="66" ht="15.75" customHeight="1">
      <c r="A66" s="18"/>
      <c r="B66" s="19"/>
      <c r="C66" s="18"/>
      <c r="D66" s="18"/>
      <c r="E66" s="18"/>
      <c r="F66" s="18"/>
      <c r="G66" s="18"/>
      <c r="H66" s="20"/>
      <c r="I66" s="18"/>
    </row>
    <row r="67" ht="15.75" customHeight="1">
      <c r="A67" s="18"/>
      <c r="B67" s="19"/>
      <c r="C67" s="18"/>
      <c r="D67" s="18"/>
      <c r="E67" s="18"/>
      <c r="F67" s="18"/>
      <c r="G67" s="18"/>
      <c r="H67" s="20"/>
      <c r="I67" s="18"/>
    </row>
    <row r="68" ht="15.75" customHeight="1">
      <c r="A68" s="18"/>
      <c r="B68" s="19"/>
      <c r="C68" s="18"/>
      <c r="D68" s="18"/>
      <c r="E68" s="18"/>
      <c r="F68" s="18"/>
      <c r="G68" s="18"/>
      <c r="H68" s="20"/>
      <c r="I68" s="18"/>
    </row>
    <row r="69" ht="15.75" customHeight="1">
      <c r="A69" s="18"/>
      <c r="B69" s="19"/>
      <c r="C69" s="18"/>
      <c r="D69" s="18"/>
      <c r="E69" s="18"/>
      <c r="F69" s="18"/>
      <c r="G69" s="18"/>
      <c r="H69" s="20"/>
      <c r="I69" s="18"/>
    </row>
    <row r="70" ht="15.75" customHeight="1">
      <c r="A70" s="18"/>
      <c r="B70" s="19"/>
      <c r="C70" s="18"/>
      <c r="D70" s="18"/>
      <c r="E70" s="18"/>
      <c r="F70" s="18"/>
      <c r="G70" s="18"/>
      <c r="H70" s="20"/>
      <c r="I70" s="18"/>
    </row>
    <row r="71" ht="15.75" customHeight="1">
      <c r="A71" s="18"/>
      <c r="B71" s="19"/>
      <c r="C71" s="18"/>
      <c r="D71" s="18"/>
      <c r="E71" s="18"/>
      <c r="F71" s="18"/>
      <c r="G71" s="18"/>
      <c r="H71" s="20"/>
      <c r="I71" s="18"/>
    </row>
    <row r="72" ht="15.75" customHeight="1">
      <c r="A72" s="18"/>
      <c r="B72" s="19"/>
      <c r="C72" s="18"/>
      <c r="D72" s="18"/>
      <c r="E72" s="18"/>
      <c r="F72" s="18"/>
      <c r="G72" s="18"/>
      <c r="H72" s="20"/>
      <c r="I72" s="18"/>
    </row>
    <row r="73" ht="15.75" customHeight="1">
      <c r="A73" s="18"/>
      <c r="B73" s="19"/>
      <c r="C73" s="18"/>
      <c r="D73" s="18"/>
      <c r="E73" s="18"/>
      <c r="F73" s="18"/>
      <c r="G73" s="18"/>
      <c r="H73" s="20"/>
      <c r="I73" s="18"/>
    </row>
    <row r="74" ht="15.75" customHeight="1">
      <c r="A74" s="18"/>
      <c r="B74" s="19"/>
      <c r="C74" s="18"/>
      <c r="D74" s="18"/>
      <c r="E74" s="18"/>
      <c r="F74" s="18"/>
      <c r="G74" s="18"/>
      <c r="H74" s="20"/>
      <c r="I74" s="18"/>
    </row>
    <row r="75" ht="15.75" customHeight="1">
      <c r="A75" s="18"/>
      <c r="B75" s="19"/>
      <c r="C75" s="18"/>
      <c r="D75" s="18"/>
      <c r="E75" s="18"/>
      <c r="F75" s="18"/>
      <c r="G75" s="18"/>
      <c r="H75" s="20"/>
      <c r="I75" s="18"/>
    </row>
    <row r="76" ht="15.75" customHeight="1">
      <c r="A76" s="18"/>
      <c r="B76" s="19"/>
      <c r="C76" s="18"/>
      <c r="D76" s="18"/>
      <c r="E76" s="18"/>
      <c r="F76" s="18"/>
      <c r="G76" s="18"/>
      <c r="H76" s="20"/>
      <c r="I76" s="18"/>
    </row>
    <row r="77" ht="15.75" customHeight="1">
      <c r="A77" s="18"/>
      <c r="B77" s="19"/>
      <c r="C77" s="18"/>
      <c r="D77" s="18"/>
      <c r="E77" s="18"/>
      <c r="F77" s="18"/>
      <c r="G77" s="18"/>
      <c r="H77" s="20"/>
      <c r="I77" s="18"/>
    </row>
    <row r="78" ht="15.75" customHeight="1">
      <c r="A78" s="18"/>
      <c r="B78" s="19"/>
      <c r="C78" s="18"/>
      <c r="D78" s="18"/>
      <c r="E78" s="18"/>
      <c r="F78" s="18"/>
      <c r="G78" s="18"/>
      <c r="H78" s="20"/>
      <c r="I78" s="18"/>
    </row>
    <row r="79" ht="15.75" customHeight="1">
      <c r="A79" s="18"/>
      <c r="B79" s="19"/>
      <c r="C79" s="18"/>
      <c r="D79" s="18"/>
      <c r="E79" s="18"/>
      <c r="F79" s="18"/>
      <c r="G79" s="18"/>
      <c r="H79" s="20"/>
      <c r="I79" s="18"/>
    </row>
    <row r="80" ht="15.75" customHeight="1">
      <c r="A80" s="18"/>
      <c r="B80" s="19"/>
      <c r="C80" s="18"/>
      <c r="D80" s="18"/>
      <c r="E80" s="18"/>
      <c r="F80" s="18"/>
      <c r="G80" s="18"/>
      <c r="H80" s="20"/>
      <c r="I80" s="18"/>
    </row>
    <row r="81" ht="15.75" customHeight="1">
      <c r="A81" s="18"/>
      <c r="B81" s="19"/>
      <c r="C81" s="18"/>
      <c r="D81" s="18"/>
      <c r="E81" s="18"/>
      <c r="F81" s="18"/>
      <c r="G81" s="18"/>
      <c r="H81" s="20"/>
      <c r="I81" s="18"/>
    </row>
    <row r="82" ht="15.75" customHeight="1">
      <c r="A82" s="18"/>
      <c r="B82" s="19"/>
      <c r="C82" s="18"/>
      <c r="D82" s="18"/>
      <c r="E82" s="18"/>
      <c r="F82" s="18"/>
      <c r="G82" s="18"/>
      <c r="H82" s="20"/>
      <c r="I82" s="18"/>
    </row>
    <row r="83" ht="15.75" customHeight="1">
      <c r="A83" s="18"/>
      <c r="B83" s="19"/>
      <c r="C83" s="18"/>
      <c r="D83" s="18"/>
      <c r="E83" s="18"/>
      <c r="F83" s="18"/>
      <c r="G83" s="18"/>
      <c r="H83" s="20"/>
      <c r="I83" s="18"/>
    </row>
    <row r="84" ht="15.75" customHeight="1">
      <c r="A84" s="18"/>
      <c r="B84" s="19"/>
      <c r="C84" s="18"/>
      <c r="D84" s="18"/>
      <c r="E84" s="18"/>
      <c r="F84" s="18"/>
      <c r="G84" s="18"/>
      <c r="H84" s="20"/>
      <c r="I84" s="18"/>
    </row>
    <row r="85" ht="15.75" customHeight="1">
      <c r="A85" s="18"/>
      <c r="B85" s="19"/>
      <c r="C85" s="18"/>
      <c r="D85" s="18"/>
      <c r="E85" s="18"/>
      <c r="F85" s="18"/>
      <c r="G85" s="18"/>
      <c r="H85" s="20"/>
      <c r="I85" s="18"/>
    </row>
    <row r="86" ht="15.75" customHeight="1">
      <c r="A86" s="18"/>
      <c r="B86" s="19"/>
      <c r="C86" s="18"/>
      <c r="D86" s="18"/>
      <c r="E86" s="18"/>
      <c r="F86" s="18"/>
      <c r="G86" s="18"/>
      <c r="H86" s="20"/>
      <c r="I86" s="18"/>
    </row>
    <row r="87" ht="15.75" customHeight="1">
      <c r="A87" s="18"/>
      <c r="B87" s="19"/>
      <c r="C87" s="18"/>
      <c r="D87" s="18"/>
      <c r="E87" s="18"/>
      <c r="F87" s="18"/>
      <c r="G87" s="18"/>
      <c r="H87" s="20"/>
      <c r="I87" s="18"/>
    </row>
    <row r="88" ht="15.75" customHeight="1">
      <c r="A88" s="18"/>
      <c r="B88" s="19"/>
      <c r="C88" s="18"/>
      <c r="D88" s="18"/>
      <c r="E88" s="18"/>
      <c r="F88" s="18"/>
      <c r="G88" s="18"/>
      <c r="H88" s="20"/>
      <c r="I88" s="18"/>
    </row>
    <row r="89" ht="15.75" customHeight="1">
      <c r="A89" s="18"/>
      <c r="B89" s="19"/>
      <c r="C89" s="18"/>
      <c r="D89" s="18"/>
      <c r="E89" s="18"/>
      <c r="F89" s="18"/>
      <c r="G89" s="18"/>
      <c r="H89" s="20"/>
      <c r="I89" s="18"/>
    </row>
    <row r="90" ht="15.75" customHeight="1">
      <c r="A90" s="18"/>
      <c r="B90" s="19"/>
      <c r="C90" s="18"/>
      <c r="D90" s="18"/>
      <c r="E90" s="18"/>
      <c r="F90" s="18"/>
      <c r="G90" s="18"/>
      <c r="H90" s="20"/>
      <c r="I90" s="18"/>
    </row>
    <row r="91" ht="15.75" customHeight="1">
      <c r="A91" s="18"/>
      <c r="B91" s="19"/>
      <c r="C91" s="18"/>
      <c r="D91" s="18"/>
      <c r="E91" s="18"/>
      <c r="F91" s="18"/>
      <c r="G91" s="18"/>
      <c r="H91" s="20"/>
      <c r="I91" s="18"/>
    </row>
    <row r="92" ht="15.75" customHeight="1">
      <c r="A92" s="18"/>
      <c r="B92" s="19"/>
      <c r="C92" s="18"/>
      <c r="D92" s="18"/>
      <c r="E92" s="18"/>
      <c r="F92" s="18"/>
      <c r="G92" s="18"/>
      <c r="H92" s="20"/>
      <c r="I92" s="18"/>
    </row>
    <row r="93" ht="15.75" customHeight="1">
      <c r="A93" s="18"/>
      <c r="B93" s="19"/>
      <c r="C93" s="18"/>
      <c r="D93" s="18"/>
      <c r="E93" s="18"/>
      <c r="F93" s="18"/>
      <c r="G93" s="18"/>
      <c r="H93" s="20"/>
      <c r="I93" s="18"/>
    </row>
    <row r="94" ht="15.75" customHeight="1">
      <c r="A94" s="18"/>
      <c r="B94" s="19"/>
      <c r="C94" s="18"/>
      <c r="D94" s="18"/>
      <c r="E94" s="18"/>
      <c r="F94" s="18"/>
      <c r="G94" s="18"/>
      <c r="H94" s="20"/>
      <c r="I94" s="18"/>
    </row>
    <row r="95" ht="15.75" customHeight="1">
      <c r="A95" s="18"/>
      <c r="B95" s="19"/>
      <c r="C95" s="18"/>
      <c r="D95" s="18"/>
      <c r="E95" s="18"/>
      <c r="F95" s="18"/>
      <c r="G95" s="18"/>
      <c r="H95" s="20"/>
      <c r="I95" s="18"/>
    </row>
    <row r="96" ht="15.75" customHeight="1">
      <c r="A96" s="18"/>
      <c r="B96" s="19"/>
      <c r="C96" s="18"/>
      <c r="D96" s="18"/>
      <c r="E96" s="18"/>
      <c r="F96" s="18"/>
      <c r="G96" s="18"/>
      <c r="H96" s="20"/>
      <c r="I96" s="18"/>
    </row>
    <row r="97" ht="15.75" customHeight="1">
      <c r="A97" s="18"/>
      <c r="B97" s="19"/>
      <c r="C97" s="18"/>
      <c r="D97" s="18"/>
      <c r="E97" s="18"/>
      <c r="F97" s="18"/>
      <c r="G97" s="18"/>
      <c r="H97" s="20"/>
      <c r="I97" s="18"/>
    </row>
    <row r="98" ht="15.75" customHeight="1">
      <c r="A98" s="18"/>
      <c r="B98" s="19"/>
      <c r="C98" s="18"/>
      <c r="D98" s="18"/>
      <c r="E98" s="18"/>
      <c r="F98" s="18"/>
      <c r="G98" s="18"/>
      <c r="H98" s="20"/>
      <c r="I98" s="18"/>
    </row>
    <row r="99" ht="15.75" customHeight="1">
      <c r="A99" s="18"/>
      <c r="B99" s="19"/>
      <c r="C99" s="18"/>
      <c r="D99" s="18"/>
      <c r="E99" s="18"/>
      <c r="F99" s="18"/>
      <c r="G99" s="18"/>
      <c r="H99" s="20"/>
      <c r="I99" s="18"/>
    </row>
    <row r="100" ht="15.75" customHeight="1">
      <c r="A100" s="18"/>
      <c r="B100" s="19"/>
      <c r="C100" s="18"/>
      <c r="D100" s="18"/>
      <c r="E100" s="18"/>
      <c r="F100" s="18"/>
      <c r="G100" s="18"/>
      <c r="H100" s="20"/>
      <c r="I100" s="18"/>
    </row>
    <row r="101" ht="15.75" customHeight="1">
      <c r="A101" s="18"/>
      <c r="B101" s="19"/>
      <c r="C101" s="18"/>
      <c r="D101" s="18"/>
      <c r="E101" s="18"/>
      <c r="F101" s="18"/>
      <c r="G101" s="18"/>
      <c r="H101" s="20"/>
      <c r="I101" s="18"/>
    </row>
    <row r="102" ht="15.75" customHeight="1">
      <c r="A102" s="18"/>
      <c r="B102" s="19"/>
      <c r="C102" s="18"/>
      <c r="D102" s="18"/>
      <c r="E102" s="18"/>
      <c r="F102" s="18"/>
      <c r="G102" s="18"/>
      <c r="H102" s="20"/>
      <c r="I102" s="18"/>
    </row>
    <row r="103" ht="15.75" customHeight="1">
      <c r="A103" s="18"/>
      <c r="B103" s="19"/>
      <c r="C103" s="18"/>
      <c r="D103" s="18"/>
      <c r="E103" s="18"/>
      <c r="F103" s="18"/>
      <c r="G103" s="18"/>
      <c r="H103" s="20"/>
      <c r="I103" s="18"/>
    </row>
    <row r="104" ht="15.75" customHeight="1">
      <c r="A104" s="18"/>
      <c r="B104" s="19"/>
      <c r="C104" s="18"/>
      <c r="D104" s="18"/>
      <c r="E104" s="18"/>
      <c r="F104" s="18"/>
      <c r="G104" s="18"/>
      <c r="H104" s="20"/>
      <c r="I104" s="18"/>
    </row>
    <row r="105" ht="15.75" customHeight="1">
      <c r="A105" s="18"/>
      <c r="B105" s="19"/>
      <c r="C105" s="18"/>
      <c r="D105" s="18"/>
      <c r="E105" s="18"/>
      <c r="F105" s="18"/>
      <c r="G105" s="18"/>
      <c r="H105" s="20"/>
      <c r="I105" s="18"/>
    </row>
    <row r="106" ht="15.75" customHeight="1">
      <c r="A106" s="18"/>
      <c r="B106" s="19"/>
      <c r="C106" s="18"/>
      <c r="D106" s="18"/>
      <c r="E106" s="18"/>
      <c r="F106" s="18"/>
      <c r="G106" s="18"/>
      <c r="H106" s="20"/>
      <c r="I106" s="18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I$106"/>
  <dataValidations>
    <dataValidation type="list" allowBlank="1" sqref="E7:E106">
      <formula1>Listas!$E$4:$E$8</formula1>
    </dataValidation>
    <dataValidation type="list" allowBlank="1" sqref="D7:D106">
      <formula1>Listas!$K$4:$K$7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6.0"/>
    <col customWidth="1" min="3" max="3" width="24.0"/>
    <col customWidth="1" min="4" max="4" width="8.71"/>
    <col customWidth="1" min="5" max="5" width="40.0"/>
    <col customWidth="1" min="6" max="6" width="8.71"/>
    <col customWidth="1" min="7" max="7" width="24.0"/>
    <col customWidth="1" min="8" max="8" width="8.71"/>
    <col customWidth="1" min="9" max="9" width="18.0"/>
    <col customWidth="1" min="10" max="10" width="8.71"/>
    <col customWidth="1" min="11" max="11" width="44.0"/>
    <col customWidth="1" min="12" max="12" width="8.71"/>
    <col customWidth="1" min="13" max="13" width="12.0"/>
    <col customWidth="1" min="14" max="14" width="8.71"/>
    <col customWidth="1" min="15" max="15" width="26.0"/>
    <col customWidth="1" min="16" max="26" width="8.71"/>
  </cols>
  <sheetData>
    <row r="1">
      <c r="B1" s="28" t="s">
        <v>97</v>
      </c>
    </row>
    <row r="3">
      <c r="B3" s="29" t="s">
        <v>48</v>
      </c>
      <c r="C3" s="29" t="s">
        <v>98</v>
      </c>
      <c r="E3" s="29" t="s">
        <v>44</v>
      </c>
      <c r="G3" s="29" t="s">
        <v>68</v>
      </c>
      <c r="I3" s="29" t="s">
        <v>51</v>
      </c>
      <c r="K3" s="29" t="s">
        <v>49</v>
      </c>
      <c r="M3" s="29" t="s">
        <v>99</v>
      </c>
      <c r="O3" s="29" t="s">
        <v>100</v>
      </c>
    </row>
    <row r="4">
      <c r="B4" s="30" t="s">
        <v>90</v>
      </c>
      <c r="C4" s="30">
        <v>140.0</v>
      </c>
      <c r="E4" s="30" t="s">
        <v>101</v>
      </c>
      <c r="G4" s="30" t="s">
        <v>102</v>
      </c>
      <c r="I4" s="30" t="s">
        <v>91</v>
      </c>
      <c r="K4" s="30" t="s">
        <v>83</v>
      </c>
      <c r="M4" s="30" t="s">
        <v>92</v>
      </c>
      <c r="O4" s="31">
        <v>46272.0</v>
      </c>
    </row>
    <row r="5">
      <c r="B5" s="30" t="s">
        <v>103</v>
      </c>
      <c r="C5" s="30">
        <v>92.0</v>
      </c>
      <c r="E5" s="30" t="s">
        <v>104</v>
      </c>
      <c r="G5" s="30" t="s">
        <v>105</v>
      </c>
      <c r="I5" s="30" t="s">
        <v>106</v>
      </c>
      <c r="K5" s="30" t="s">
        <v>107</v>
      </c>
      <c r="M5" s="30" t="s">
        <v>108</v>
      </c>
      <c r="O5" s="31">
        <v>46307.0</v>
      </c>
    </row>
    <row r="6">
      <c r="B6" s="30" t="s">
        <v>109</v>
      </c>
      <c r="C6" s="30">
        <v>90.0</v>
      </c>
      <c r="E6" s="30" t="s">
        <v>84</v>
      </c>
      <c r="G6" s="30" t="s">
        <v>110</v>
      </c>
      <c r="I6" s="30" t="s">
        <v>111</v>
      </c>
      <c r="K6" s="30" t="s">
        <v>112</v>
      </c>
      <c r="O6" s="31">
        <v>46328.0</v>
      </c>
    </row>
    <row r="7">
      <c r="B7" s="30" t="s">
        <v>114</v>
      </c>
      <c r="C7" s="30">
        <v>81.0</v>
      </c>
      <c r="E7" s="30" t="s">
        <v>85</v>
      </c>
      <c r="G7" s="30" t="s">
        <v>116</v>
      </c>
      <c r="K7" s="30" t="s">
        <v>118</v>
      </c>
      <c r="O7" s="31">
        <v>46341.0</v>
      </c>
    </row>
    <row r="8">
      <c r="B8" s="30" t="s">
        <v>119</v>
      </c>
      <c r="C8" s="30">
        <v>88.0</v>
      </c>
      <c r="E8" s="30" t="s">
        <v>120</v>
      </c>
      <c r="G8" s="30" t="s">
        <v>93</v>
      </c>
      <c r="O8" s="31">
        <v>46346.0</v>
      </c>
    </row>
    <row r="9">
      <c r="B9" s="30" t="s">
        <v>121</v>
      </c>
      <c r="C9" s="30">
        <v>20.0</v>
      </c>
      <c r="G9" s="30" t="s">
        <v>122</v>
      </c>
      <c r="O9" s="31">
        <v>46381.0</v>
      </c>
    </row>
    <row r="10">
      <c r="B10" s="30" t="s">
        <v>123</v>
      </c>
      <c r="C10" s="30">
        <v>40.0</v>
      </c>
      <c r="O10" s="31">
        <v>46388.0</v>
      </c>
    </row>
    <row r="11">
      <c r="B11" s="30" t="s">
        <v>124</v>
      </c>
      <c r="C11" s="30">
        <v>37.0</v>
      </c>
      <c r="O11" s="31">
        <v>46426.0</v>
      </c>
    </row>
    <row r="12">
      <c r="B12" s="30" t="s">
        <v>125</v>
      </c>
      <c r="C12" s="30">
        <v>59.0</v>
      </c>
      <c r="O12" s="31">
        <v>46427.0</v>
      </c>
    </row>
    <row r="13">
      <c r="B13" s="30" t="s">
        <v>126</v>
      </c>
      <c r="C13" s="30">
        <v>87.0</v>
      </c>
      <c r="O13" s="31">
        <v>46472.0</v>
      </c>
    </row>
    <row r="14">
      <c r="O14" s="31">
        <v>46498.0</v>
      </c>
    </row>
    <row r="15">
      <c r="O15" s="31">
        <v>46508.0</v>
      </c>
    </row>
    <row r="16">
      <c r="O16" s="31">
        <v>46534.0</v>
      </c>
    </row>
    <row r="17">
      <c r="O17" s="31">
        <v>46637.0</v>
      </c>
    </row>
    <row r="18">
      <c r="O18" s="31">
        <v>46672.0</v>
      </c>
    </row>
    <row r="19">
      <c r="O19" s="31">
        <v>46693.0</v>
      </c>
    </row>
    <row r="20">
      <c r="O20" s="31">
        <v>46706.0</v>
      </c>
    </row>
    <row r="21" ht="15.75" customHeight="1">
      <c r="O21" s="31">
        <v>46711.0</v>
      </c>
    </row>
    <row r="22" ht="15.75" customHeight="1">
      <c r="O22" s="31">
        <v>46746.0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