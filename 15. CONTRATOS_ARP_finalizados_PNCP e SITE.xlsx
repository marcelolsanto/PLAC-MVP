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pivotTables/pivotTable5.xml" ContentType="application/vnd.openxmlformats-officedocument.spreadsheetml.pivotTable+xml"/>
  <Override PartName="/xl/tables/table4.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5.xml" ContentType="application/vnd.openxmlformats-officedocument.spreadsheetml.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EstaPasta_de_trabalho" hidePivotFieldList="1"/>
  <mc:AlternateContent xmlns:mc="http://schemas.openxmlformats.org/markup-compatibility/2006">
    <mc:Choice Requires="x15">
      <x15ac:absPath xmlns:x15ac="http://schemas.microsoft.com/office/spreadsheetml/2010/11/ac" url="Z:\2600-GCC\2026\3. GESTÃO\3.20 - CONTROLES\"/>
    </mc:Choice>
  </mc:AlternateContent>
  <xr:revisionPtr revIDLastSave="0" documentId="13_ncr:1_{4C4A7D53-7F47-4A2C-A387-D2FB29E2D8C7}" xr6:coauthVersionLast="47" xr6:coauthVersionMax="47" xr10:uidLastSave="{00000000-0000-0000-0000-000000000000}"/>
  <bookViews>
    <workbookView xWindow="20370" yWindow="-120" windowWidth="25440" windowHeight="15270" tabRatio="929" xr2:uid="{00000000-000D-0000-FFFF-FFFF00000000}"/>
  </bookViews>
  <sheets>
    <sheet name="BASE CTR FINALIZADOS" sheetId="3" r:id="rId1"/>
    <sheet name="Base SAP" sheetId="26" state="hidden" r:id="rId2"/>
    <sheet name="BASE ARP FINALIZADOS" sheetId="38" r:id="rId3"/>
    <sheet name="CTR por ANO" sheetId="48" r:id="rId4"/>
    <sheet name="Din_Pub_CTR_PNCP_2026" sheetId="42" r:id="rId5"/>
    <sheet name="Din_Pub_CTR_SITE_2026" sheetId="36" r:id="rId6"/>
    <sheet name="Tab_Pub_CTR_SITE 2026" sheetId="37" r:id="rId7"/>
    <sheet name="Din_Pub_ARP" sheetId="27" r:id="rId8"/>
    <sheet name="Pub_ARP" sheetId="28" r:id="rId9"/>
    <sheet name="Din_Pub_CTR_obras_eng" sheetId="44" r:id="rId10"/>
    <sheet name="Consulta CTR ass mês" sheetId="46" r:id="rId11"/>
    <sheet name="Relat_Gestão GCC" sheetId="39" r:id="rId12"/>
    <sheet name="Índices GGE" sheetId="43" r:id="rId13"/>
    <sheet name="RAG 1" sheetId="17" r:id="rId14"/>
    <sheet name="RAG 2" sheetId="9" r:id="rId15"/>
    <sheet name="RAG3" sheetId="32" r:id="rId16"/>
    <sheet name="Pub_CTR_NE 2024" sheetId="35" state="hidden" r:id="rId17"/>
    <sheet name="Din_Pub_CTR_NE_2025 (2)" sheetId="45" state="hidden" r:id="rId18"/>
    <sheet name="Din_Pub_CTR_NE_2024" sheetId="34" state="hidden" r:id="rId19"/>
    <sheet name="Din_AQ.BENS" sheetId="10" r:id="rId20"/>
    <sheet name="PUB_AQ.BENS" sheetId="12" r:id="rId21"/>
    <sheet name="Din_Pub_geral" sheetId="30" r:id="rId22"/>
    <sheet name="Lista" sheetId="2" r:id="rId23"/>
    <sheet name="Planilha1" sheetId="47" r:id="rId24"/>
    <sheet name="Planilha4" sheetId="31" state="hidden" r:id="rId25"/>
  </sheets>
  <definedNames>
    <definedName name="_xlnm._FilterDatabase" localSheetId="20" hidden="1">PUB_AQ.BENS!$B$4:$H$4</definedName>
    <definedName name="_xlnm._FilterDatabase" localSheetId="8" hidden="1">Pub_ARP!$B$5:$J$13</definedName>
    <definedName name="_xlnm._FilterDatabase" localSheetId="16" hidden="1">'Pub_CTR_NE 2024'!$B$5:$L$90</definedName>
    <definedName name="_xlnm._FilterDatabase" localSheetId="13" hidden="1">'RAG 1'!$M$6:$U$100</definedName>
    <definedName name="_xlnm._FilterDatabase" localSheetId="15" hidden="1">'RAG3'!$I$4:$N$17</definedName>
    <definedName name="_xlnm._FilterDatabase" localSheetId="6" hidden="1">'Tab_Pub_CTR_SITE 2026'!$C$5:$N$11</definedName>
  </definedNames>
  <calcPr calcId="191029"/>
  <pivotCaches>
    <pivotCache cacheId="0" r:id="rId26"/>
    <pivotCache cacheId="1" r:id="rId27"/>
    <pivotCache cacheId="2" r:id="rId2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58" i="3" l="1"/>
  <c r="AC159" i="3"/>
  <c r="AC160" i="3"/>
  <c r="AC161" i="3"/>
  <c r="AC162" i="3"/>
  <c r="AC163" i="3"/>
  <c r="AC164" i="3"/>
  <c r="AC165" i="3"/>
  <c r="AC154" i="3"/>
  <c r="AC155" i="3"/>
  <c r="AC156" i="3"/>
  <c r="AC157" i="3"/>
  <c r="W155" i="3"/>
  <c r="AJ155" i="3"/>
  <c r="W156" i="3"/>
  <c r="AJ156" i="3"/>
  <c r="W157" i="3"/>
  <c r="AJ157" i="3"/>
  <c r="W158" i="3"/>
  <c r="AJ158" i="3"/>
  <c r="W159" i="3"/>
  <c r="AJ159" i="3"/>
  <c r="W160" i="3"/>
  <c r="AJ160" i="3"/>
  <c r="W161" i="3"/>
  <c r="AJ161" i="3"/>
  <c r="W162" i="3"/>
  <c r="AJ162" i="3"/>
  <c r="W163" i="3"/>
  <c r="AJ163" i="3"/>
  <c r="W165" i="3"/>
  <c r="AJ165" i="3"/>
  <c r="W154" i="3" l="1"/>
  <c r="W164" i="3"/>
  <c r="AJ164" i="3"/>
  <c r="AJ154" i="3"/>
  <c r="W153" i="3"/>
  <c r="AC153" i="3"/>
  <c r="AJ153" i="3"/>
  <c r="AC152" i="3"/>
  <c r="W152" i="3"/>
  <c r="AJ152" i="3"/>
  <c r="W151" i="3"/>
  <c r="AC151" i="3"/>
  <c r="AJ151" i="3"/>
  <c r="T147" i="3"/>
  <c r="T148" i="3"/>
  <c r="T149" i="3"/>
  <c r="T33" i="38"/>
  <c r="W150" i="3"/>
  <c r="AC150" i="3"/>
  <c r="AJ150" i="3"/>
  <c r="W149" i="3"/>
  <c r="AC149" i="3"/>
  <c r="AJ149" i="3"/>
  <c r="W148" i="3"/>
  <c r="AC148" i="3"/>
  <c r="AJ148" i="3"/>
  <c r="W147" i="3"/>
  <c r="AC147" i="3"/>
  <c r="AJ147" i="3"/>
  <c r="T146" i="3"/>
  <c r="W146" i="3"/>
  <c r="AC146" i="3"/>
  <c r="AJ146" i="3"/>
  <c r="T143" i="3"/>
  <c r="T144" i="3"/>
  <c r="T145" i="3"/>
  <c r="W145" i="3"/>
  <c r="AC145" i="3"/>
  <c r="AJ145" i="3"/>
  <c r="W144" i="3"/>
  <c r="AC144" i="3"/>
  <c r="AJ144" i="3"/>
  <c r="T142" i="3"/>
  <c r="T141" i="3"/>
  <c r="T140" i="3"/>
  <c r="T139" i="3"/>
  <c r="T138" i="3"/>
  <c r="T137" i="3"/>
  <c r="T136" i="3"/>
  <c r="T135" i="3"/>
  <c r="T134" i="3"/>
  <c r="T133" i="3"/>
  <c r="T132" i="3"/>
  <c r="T131" i="3"/>
  <c r="T130" i="3"/>
  <c r="T129" i="3"/>
  <c r="T128" i="3"/>
  <c r="T127" i="3"/>
  <c r="T126" i="3"/>
  <c r="T125" i="3"/>
  <c r="T124" i="3"/>
  <c r="T123" i="3"/>
  <c r="T122" i="3"/>
  <c r="T121" i="3"/>
  <c r="T120" i="3"/>
  <c r="T119" i="3"/>
  <c r="T118" i="3"/>
  <c r="T117" i="3"/>
  <c r="T116" i="3"/>
  <c r="T115" i="3"/>
  <c r="T114" i="3"/>
  <c r="T113" i="3"/>
  <c r="T112" i="3"/>
  <c r="T111" i="3"/>
  <c r="T110" i="3"/>
  <c r="T109" i="3"/>
  <c r="T108" i="3"/>
  <c r="T107" i="3"/>
  <c r="T106" i="3"/>
  <c r="T105" i="3"/>
  <c r="T104" i="3"/>
  <c r="T103" i="3"/>
  <c r="T102" i="3"/>
  <c r="T101" i="3"/>
  <c r="T100" i="3"/>
  <c r="T99" i="3"/>
  <c r="T98" i="3"/>
  <c r="T97" i="3"/>
  <c r="T96" i="3"/>
  <c r="T95" i="3"/>
  <c r="T94" i="3"/>
  <c r="T93" i="3"/>
  <c r="T92" i="3"/>
  <c r="T91" i="3"/>
  <c r="T90" i="3"/>
  <c r="T89" i="3"/>
  <c r="T88" i="3"/>
  <c r="T87" i="3"/>
  <c r="T86" i="3"/>
  <c r="T85" i="3"/>
  <c r="T84" i="3"/>
  <c r="T83" i="3"/>
  <c r="T82" i="3"/>
  <c r="T81" i="3"/>
  <c r="T80" i="3"/>
  <c r="T79" i="3"/>
  <c r="T78" i="3"/>
  <c r="T77" i="3"/>
  <c r="T76" i="3"/>
  <c r="T75" i="3"/>
  <c r="T74" i="3"/>
  <c r="T73" i="3"/>
  <c r="T72" i="3"/>
  <c r="T71" i="3"/>
  <c r="T70" i="3"/>
  <c r="T69" i="3"/>
  <c r="T68" i="3"/>
  <c r="T67" i="3"/>
  <c r="T66" i="3"/>
  <c r="T65" i="3"/>
  <c r="T64" i="3"/>
  <c r="T63" i="3"/>
  <c r="T62" i="3"/>
  <c r="T61" i="3"/>
  <c r="T60" i="3"/>
  <c r="T59" i="3"/>
  <c r="T58" i="3"/>
  <c r="T57" i="3"/>
  <c r="T56" i="3"/>
  <c r="T55" i="3"/>
  <c r="T54" i="3"/>
  <c r="T53" i="3"/>
  <c r="T52" i="3"/>
  <c r="T51" i="3"/>
  <c r="T50" i="3"/>
  <c r="T49" i="3"/>
  <c r="T48" i="3"/>
  <c r="T47" i="3"/>
  <c r="T46" i="3"/>
  <c r="T45" i="3"/>
  <c r="T44" i="3"/>
  <c r="T43" i="3"/>
  <c r="T42" i="3"/>
  <c r="T41" i="3"/>
  <c r="T40" i="3"/>
  <c r="T39" i="3"/>
  <c r="T38" i="3"/>
  <c r="T37" i="3"/>
  <c r="T36" i="3"/>
  <c r="T35" i="3"/>
  <c r="T34" i="3"/>
  <c r="T33" i="3"/>
  <c r="T32" i="3"/>
  <c r="T31" i="3"/>
  <c r="T30" i="3"/>
  <c r="T29" i="3"/>
  <c r="T28" i="3"/>
  <c r="T27" i="3"/>
  <c r="T26" i="3"/>
  <c r="T25" i="3"/>
  <c r="T24" i="3"/>
  <c r="T23" i="3"/>
  <c r="T22" i="3"/>
  <c r="T21" i="3"/>
  <c r="T20" i="3"/>
  <c r="T19" i="3"/>
  <c r="T18" i="3"/>
  <c r="T17" i="3"/>
  <c r="T16" i="3"/>
  <c r="T15" i="3"/>
  <c r="T14" i="3"/>
  <c r="T13" i="3"/>
  <c r="T12" i="3"/>
  <c r="T11" i="3"/>
  <c r="T10" i="3"/>
  <c r="T9" i="3"/>
  <c r="T8" i="3"/>
  <c r="T7" i="3"/>
  <c r="T6" i="3"/>
  <c r="T5" i="3"/>
  <c r="H10" i="12"/>
  <c r="O113" i="39" l="1"/>
  <c r="AE27" i="17"/>
  <c r="W8" i="39"/>
  <c r="U8" i="39"/>
  <c r="W7" i="39"/>
  <c r="U7" i="39"/>
  <c r="W11" i="39" l="1"/>
  <c r="X8" i="39" s="1"/>
  <c r="U11" i="39"/>
  <c r="AC132" i="3"/>
  <c r="W142" i="3"/>
  <c r="AC142" i="3"/>
  <c r="AJ142" i="3"/>
  <c r="W132" i="3"/>
  <c r="AJ132" i="3"/>
  <c r="W139" i="3"/>
  <c r="AC139" i="3"/>
  <c r="AJ139" i="3"/>
  <c r="W140" i="3"/>
  <c r="AC140" i="3"/>
  <c r="AJ140" i="3"/>
  <c r="W135" i="3"/>
  <c r="W136" i="3"/>
  <c r="W137" i="3"/>
  <c r="W138" i="3"/>
  <c r="W133" i="3"/>
  <c r="W143" i="3"/>
  <c r="W141" i="3"/>
  <c r="AC135" i="3"/>
  <c r="AC136" i="3"/>
  <c r="AC137" i="3"/>
  <c r="AC138" i="3"/>
  <c r="AC133" i="3"/>
  <c r="AC143" i="3"/>
  <c r="AC141" i="3"/>
  <c r="AJ135" i="3"/>
  <c r="AJ136" i="3"/>
  <c r="AJ137" i="3"/>
  <c r="AJ138" i="3"/>
  <c r="AJ133" i="3"/>
  <c r="AJ143" i="3"/>
  <c r="AJ141" i="3"/>
  <c r="W130" i="3"/>
  <c r="AC130" i="3"/>
  <c r="AJ130" i="3"/>
  <c r="W131" i="3"/>
  <c r="AC131" i="3"/>
  <c r="AJ131" i="3"/>
  <c r="W134" i="3"/>
  <c r="AC134" i="3"/>
  <c r="AJ134" i="3"/>
  <c r="AC125" i="3"/>
  <c r="AC126" i="3"/>
  <c r="W127" i="3"/>
  <c r="AC127" i="3"/>
  <c r="AJ127" i="3"/>
  <c r="W129" i="3"/>
  <c r="AC129" i="3"/>
  <c r="AJ129" i="3"/>
  <c r="W95" i="3"/>
  <c r="AB95" i="3"/>
  <c r="AC95" i="3" s="1"/>
  <c r="AJ95" i="3"/>
  <c r="W96" i="3"/>
  <c r="AB96" i="3"/>
  <c r="AC96" i="3" s="1"/>
  <c r="AJ96" i="3"/>
  <c r="W97" i="3"/>
  <c r="AB97" i="3"/>
  <c r="AC97" i="3" s="1"/>
  <c r="AJ97" i="3"/>
  <c r="W98" i="3"/>
  <c r="AB98" i="3"/>
  <c r="AC98" i="3" s="1"/>
  <c r="AJ98" i="3"/>
  <c r="W100" i="3"/>
  <c r="AB100" i="3"/>
  <c r="AC100" i="3" s="1"/>
  <c r="AJ100" i="3"/>
  <c r="W101" i="3"/>
  <c r="AB101" i="3"/>
  <c r="AC101" i="3" s="1"/>
  <c r="AJ101" i="3"/>
  <c r="W102" i="3"/>
  <c r="AB102" i="3"/>
  <c r="AC102" i="3" s="1"/>
  <c r="AJ102" i="3"/>
  <c r="W103" i="3"/>
  <c r="AB103" i="3"/>
  <c r="AC103" i="3" s="1"/>
  <c r="AJ103" i="3"/>
  <c r="W104" i="3"/>
  <c r="AB104" i="3"/>
  <c r="AC104" i="3" s="1"/>
  <c r="AJ104" i="3"/>
  <c r="W105" i="3"/>
  <c r="AB105" i="3"/>
  <c r="AC105" i="3" s="1"/>
  <c r="AJ105" i="3"/>
  <c r="W106" i="3"/>
  <c r="AB106" i="3"/>
  <c r="AC106" i="3" s="1"/>
  <c r="AJ106" i="3"/>
  <c r="W107" i="3"/>
  <c r="AC107" i="3"/>
  <c r="AJ107" i="3"/>
  <c r="W108" i="3"/>
  <c r="AC108" i="3"/>
  <c r="AJ108" i="3"/>
  <c r="W109" i="3"/>
  <c r="AC109" i="3"/>
  <c r="AJ109" i="3"/>
  <c r="W110" i="3"/>
  <c r="AC110" i="3"/>
  <c r="AJ110" i="3"/>
  <c r="W111" i="3"/>
  <c r="AC111" i="3"/>
  <c r="AJ111" i="3"/>
  <c r="W112" i="3"/>
  <c r="AC112" i="3"/>
  <c r="AJ112" i="3"/>
  <c r="W113" i="3"/>
  <c r="AC113" i="3"/>
  <c r="AJ113" i="3"/>
  <c r="W114" i="3"/>
  <c r="AC114" i="3"/>
  <c r="AJ114" i="3"/>
  <c r="W115" i="3"/>
  <c r="AC115" i="3"/>
  <c r="AJ115" i="3"/>
  <c r="W116" i="3"/>
  <c r="AC116" i="3"/>
  <c r="AJ116" i="3"/>
  <c r="W117" i="3"/>
  <c r="AC117" i="3"/>
  <c r="AJ117" i="3"/>
  <c r="W118" i="3"/>
  <c r="AC118" i="3"/>
  <c r="AJ118" i="3"/>
  <c r="W119" i="3"/>
  <c r="AC119" i="3"/>
  <c r="AJ119" i="3"/>
  <c r="W120" i="3"/>
  <c r="AC120" i="3"/>
  <c r="AJ120" i="3"/>
  <c r="W121" i="3"/>
  <c r="AC121" i="3"/>
  <c r="AJ121" i="3"/>
  <c r="W122" i="3"/>
  <c r="AC122" i="3"/>
  <c r="AJ122" i="3"/>
  <c r="W123" i="3"/>
  <c r="AC123" i="3"/>
  <c r="AJ123" i="3"/>
  <c r="W124" i="3"/>
  <c r="AC124" i="3"/>
  <c r="AJ124" i="3"/>
  <c r="W128" i="3"/>
  <c r="AC128" i="3"/>
  <c r="AJ128" i="3"/>
  <c r="K13" i="28"/>
  <c r="T30" i="38"/>
  <c r="K12" i="28"/>
  <c r="V10" i="39" l="1"/>
  <c r="V6" i="39"/>
  <c r="V9" i="39"/>
  <c r="V8" i="39"/>
  <c r="X9" i="39"/>
  <c r="X10" i="39"/>
  <c r="X6" i="39"/>
  <c r="X7" i="39"/>
  <c r="V7" i="39"/>
  <c r="W125" i="3"/>
  <c r="AJ125" i="3"/>
  <c r="W126" i="3"/>
  <c r="AJ126" i="3"/>
  <c r="V11" i="39" l="1"/>
  <c r="T21" i="38"/>
  <c r="T18" i="38"/>
  <c r="T16" i="38"/>
  <c r="T14" i="38"/>
  <c r="T12" i="38"/>
  <c r="T13" i="38"/>
  <c r="T11" i="38"/>
  <c r="T15" i="38"/>
  <c r="T9" i="38"/>
  <c r="T6" i="38"/>
  <c r="T19" i="38"/>
  <c r="T17" i="38"/>
  <c r="T10" i="38"/>
  <c r="T8" i="38"/>
  <c r="T7" i="38"/>
  <c r="T5" i="38"/>
  <c r="T31" i="38"/>
  <c r="T32" i="38"/>
  <c r="AJ5" i="3" l="1"/>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O7" i="37" l="1"/>
  <c r="O8" i="37"/>
  <c r="O9" i="37"/>
  <c r="O10" i="37"/>
  <c r="O11" i="37"/>
  <c r="O6" i="37"/>
  <c r="M7" i="35" l="1"/>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52" i="35"/>
  <c r="M53" i="35"/>
  <c r="M54" i="35"/>
  <c r="M55" i="35"/>
  <c r="M56" i="35"/>
  <c r="M57" i="35"/>
  <c r="M58" i="35"/>
  <c r="M59" i="35"/>
  <c r="M60" i="35"/>
  <c r="M61" i="35"/>
  <c r="M62" i="35"/>
  <c r="M63" i="35"/>
  <c r="M64" i="35"/>
  <c r="M65" i="35"/>
  <c r="M66" i="35"/>
  <c r="M67" i="35"/>
  <c r="M68" i="35"/>
  <c r="M69" i="35"/>
  <c r="M70" i="35"/>
  <c r="M71" i="35"/>
  <c r="M72" i="35"/>
  <c r="M73" i="35"/>
  <c r="M74" i="35"/>
  <c r="M75" i="35"/>
  <c r="M76" i="35"/>
  <c r="M77" i="35"/>
  <c r="M78" i="35"/>
  <c r="M79" i="35"/>
  <c r="M80" i="35"/>
  <c r="M81" i="35"/>
  <c r="M82" i="35"/>
  <c r="M83" i="35"/>
  <c r="M84" i="35"/>
  <c r="M85" i="35"/>
  <c r="M86" i="35"/>
  <c r="M87" i="35"/>
  <c r="M88" i="35"/>
  <c r="M89" i="35"/>
  <c r="M90" i="35"/>
  <c r="M6" i="35"/>
  <c r="K10" i="28" l="1"/>
  <c r="K11" i="28"/>
  <c r="T24" i="38" l="1"/>
  <c r="AB6" i="3" l="1"/>
  <c r="AC6" i="3" s="1"/>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C61" i="3" s="1"/>
  <c r="AB62" i="3"/>
  <c r="AC62" i="3" s="1"/>
  <c r="AB63" i="3"/>
  <c r="AC63" i="3" s="1"/>
  <c r="AB64" i="3"/>
  <c r="AC64" i="3" s="1"/>
  <c r="AB65" i="3"/>
  <c r="AC65" i="3" s="1"/>
  <c r="AB66" i="3"/>
  <c r="AC66" i="3" s="1"/>
  <c r="AB67" i="3"/>
  <c r="AC67" i="3" s="1"/>
  <c r="AB68" i="3"/>
  <c r="AC68" i="3" s="1"/>
  <c r="AB69" i="3"/>
  <c r="AC69" i="3" s="1"/>
  <c r="AB70" i="3"/>
  <c r="AC70" i="3" s="1"/>
  <c r="AB71" i="3"/>
  <c r="AC71" i="3" s="1"/>
  <c r="AB72" i="3"/>
  <c r="AC72" i="3" s="1"/>
  <c r="AB73" i="3"/>
  <c r="AC73" i="3" s="1"/>
  <c r="AB74" i="3"/>
  <c r="AC74" i="3" s="1"/>
  <c r="AB75" i="3"/>
  <c r="AC75" i="3" s="1"/>
  <c r="AB76" i="3"/>
  <c r="AC76" i="3" s="1"/>
  <c r="AB77" i="3"/>
  <c r="AC77" i="3" s="1"/>
  <c r="AB78" i="3"/>
  <c r="AC78" i="3" s="1"/>
  <c r="AB79" i="3"/>
  <c r="AC79" i="3" s="1"/>
  <c r="AB80" i="3"/>
  <c r="AC80" i="3" s="1"/>
  <c r="AB81" i="3"/>
  <c r="AC81" i="3" s="1"/>
  <c r="AB82" i="3"/>
  <c r="AC82" i="3" s="1"/>
  <c r="AB83" i="3"/>
  <c r="AC83" i="3" s="1"/>
  <c r="AB84" i="3"/>
  <c r="AC84" i="3" s="1"/>
  <c r="AB85" i="3"/>
  <c r="AC85" i="3" s="1"/>
  <c r="AB86" i="3"/>
  <c r="AC86" i="3" s="1"/>
  <c r="AB87" i="3"/>
  <c r="AC87" i="3" s="1"/>
  <c r="AB88" i="3"/>
  <c r="AC88" i="3" s="1"/>
  <c r="AB89" i="3"/>
  <c r="AC89" i="3" s="1"/>
  <c r="AB90" i="3"/>
  <c r="AC90" i="3" s="1"/>
  <c r="AB91" i="3"/>
  <c r="AC91" i="3" s="1"/>
  <c r="AB92" i="3"/>
  <c r="AC92" i="3" s="1"/>
  <c r="AB93" i="3"/>
  <c r="AC93" i="3" s="1"/>
  <c r="AB94" i="3"/>
  <c r="AC94" i="3" s="1"/>
  <c r="AB99" i="3"/>
  <c r="AC99" i="3" s="1"/>
  <c r="AB5" i="3"/>
  <c r="W6" i="3"/>
  <c r="T22" i="38" l="1"/>
  <c r="W26" i="38" l="1"/>
  <c r="T23" i="38" l="1"/>
  <c r="T25" i="38"/>
  <c r="T26" i="38"/>
  <c r="T27" i="38"/>
  <c r="T28" i="38"/>
  <c r="T29" i="38"/>
  <c r="T34" i="38"/>
  <c r="K7" i="28"/>
  <c r="K8" i="28"/>
  <c r="K9" i="28"/>
  <c r="D14" i="28" l="1"/>
  <c r="J14" i="28"/>
  <c r="T20" i="38" l="1"/>
  <c r="N12" i="37" l="1"/>
  <c r="F12" i="37"/>
  <c r="W79" i="3" l="1"/>
  <c r="W80" i="3"/>
  <c r="W81" i="3"/>
  <c r="W82" i="3"/>
  <c r="W83" i="3"/>
  <c r="W84" i="3"/>
  <c r="W85" i="3"/>
  <c r="W86" i="3"/>
  <c r="W87" i="3"/>
  <c r="W88" i="3"/>
  <c r="W89" i="3"/>
  <c r="W90" i="3"/>
  <c r="W91" i="3"/>
  <c r="W92" i="3"/>
  <c r="W93" i="3"/>
  <c r="M11" i="9" l="1"/>
  <c r="L11" i="9"/>
  <c r="K11" i="9"/>
  <c r="J11" i="9"/>
  <c r="L91" i="35" l="1"/>
  <c r="D91" i="35"/>
  <c r="W74" i="3" l="1"/>
  <c r="W75" i="3"/>
  <c r="W76" i="3"/>
  <c r="W77" i="3"/>
  <c r="W78" i="3"/>
  <c r="W94" i="3"/>
  <c r="W99" i="3"/>
  <c r="W5"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AC9" i="3" l="1"/>
  <c r="AC38" i="3" l="1"/>
  <c r="AC37" i="3"/>
  <c r="N15" i="32" l="1"/>
  <c r="AC34" i="3"/>
  <c r="AC32" i="3"/>
  <c r="AC35" i="3"/>
  <c r="AC33" i="3"/>
  <c r="AC60" i="3"/>
  <c r="M19" i="31"/>
  <c r="M20" i="31"/>
  <c r="M21" i="31"/>
  <c r="M22" i="31"/>
  <c r="M23" i="31"/>
  <c r="M24" i="31"/>
  <c r="M25" i="31"/>
  <c r="M26" i="31"/>
  <c r="M27" i="31"/>
  <c r="M28" i="31"/>
  <c r="M29" i="31"/>
  <c r="M30" i="31"/>
  <c r="M31" i="31"/>
  <c r="M32" i="31"/>
  <c r="M33" i="31"/>
  <c r="M34" i="31"/>
  <c r="M35" i="31"/>
  <c r="M36" i="31"/>
  <c r="M37" i="31"/>
  <c r="M38" i="31"/>
  <c r="M39" i="31"/>
  <c r="M40" i="31"/>
  <c r="M41" i="31"/>
  <c r="M42" i="31"/>
  <c r="M43" i="31"/>
  <c r="M44" i="31"/>
  <c r="M45" i="31"/>
  <c r="M46" i="31"/>
  <c r="M47" i="31"/>
  <c r="M48" i="31"/>
  <c r="M49" i="31"/>
  <c r="M5" i="31"/>
  <c r="M18" i="31"/>
  <c r="M17" i="31"/>
  <c r="M16" i="31"/>
  <c r="M15" i="31"/>
  <c r="M14" i="31"/>
  <c r="M13" i="31"/>
  <c r="M12" i="31"/>
  <c r="M11" i="31"/>
  <c r="M10" i="31"/>
  <c r="M9" i="31"/>
  <c r="M8" i="31"/>
  <c r="M7" i="31"/>
  <c r="M6" i="31"/>
  <c r="AC17" i="3"/>
  <c r="AC59" i="3"/>
  <c r="AC22" i="3"/>
  <c r="AC55" i="3"/>
  <c r="AC57" i="3"/>
  <c r="AC56" i="3"/>
  <c r="AC58" i="3"/>
  <c r="AC23" i="3"/>
  <c r="AC24" i="3"/>
  <c r="AC18" i="3"/>
  <c r="AC21" i="3"/>
  <c r="AC25" i="3"/>
  <c r="K6" i="28"/>
  <c r="AC42" i="3"/>
  <c r="AC40" i="3"/>
  <c r="AC8" i="3"/>
  <c r="AC7" i="3"/>
  <c r="AC10" i="3"/>
  <c r="AC41" i="3"/>
  <c r="AC39" i="3"/>
  <c r="AC31" i="3"/>
  <c r="AC52" i="3"/>
  <c r="AC54" i="3"/>
  <c r="AC53" i="3"/>
  <c r="AC27" i="3"/>
  <c r="AC30" i="3"/>
  <c r="AC26" i="3"/>
  <c r="AC29" i="3"/>
  <c r="AC28" i="3"/>
  <c r="AC51" i="3"/>
  <c r="AC47" i="3"/>
  <c r="AC19" i="3"/>
  <c r="AC20" i="3"/>
  <c r="AC50" i="3"/>
  <c r="AC46" i="3"/>
  <c r="C39" i="9"/>
  <c r="AC49" i="3"/>
  <c r="AC48" i="3"/>
  <c r="AC45" i="3"/>
  <c r="AC43" i="3"/>
  <c r="E39" i="9"/>
  <c r="D39" i="9"/>
  <c r="AC12" i="3"/>
  <c r="AC14" i="3"/>
  <c r="AC16" i="3"/>
  <c r="AC15" i="3"/>
  <c r="AC11" i="3"/>
  <c r="AC13" i="3"/>
  <c r="Q8" i="39" l="1"/>
  <c r="K11" i="39"/>
  <c r="P8" i="39"/>
  <c r="J11" i="39"/>
  <c r="X11" i="39"/>
  <c r="O8" i="39"/>
  <c r="L11" i="39"/>
  <c r="R8" i="39"/>
  <c r="I11"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Pedro Arnaud Ferreira Diniz</author>
    <author>tc={92C69725-5FEC-42B3-A656-9A01650F3113}</author>
    <author>tc={C243F6B5-1F40-49F9-8ACA-F7453A30C321}</author>
    <author>tc={1FBD8542-03F6-4A48-9D36-960935B542F4}</author>
  </authors>
  <commentList>
    <comment ref="D4" authorId="0" shapeId="0" xr:uid="{7B45FFB0-90FA-4A6E-9336-CB03C3651F17}">
      <text>
        <r>
          <rPr>
            <b/>
            <sz val="9"/>
            <color indexed="81"/>
            <rFont val="Segoe UI"/>
            <family val="2"/>
          </rPr>
          <t>Caso não esteja previsto no PLAC, inserir "Não Previsto"</t>
        </r>
        <r>
          <rPr>
            <sz val="9"/>
            <color indexed="81"/>
            <rFont val="Segoe UI"/>
            <family val="2"/>
          </rPr>
          <t xml:space="preserve">
</t>
        </r>
      </text>
    </comment>
    <comment ref="V37" authorId="1" shapeId="0" xr:uid="{92C69725-5FEC-42B3-A656-9A01650F3113}">
      <text>
        <t>[Comentário encadeado]
Sua versão do Excel permite que você leia este comentário encadeado, no entanto, as edições serão removidas se o arquivo for aberto em uma versão mais recente do Excel. Saiba mais: https://go.microsoft.com/fwlink/?linkid=870924
Comentário:
    Prazo indeterminado</t>
      </text>
    </comment>
    <comment ref="V38" authorId="2" shapeId="0" xr:uid="{C243F6B5-1F40-49F9-8ACA-F7453A30C321}">
      <text>
        <t>[Comentário encadeado]
Sua versão do Excel permite que você leia este comentário encadeado, no entanto, as edições serão removidas se o arquivo for aberto em uma versão mais recente do Excel. Saiba mais: https://go.microsoft.com/fwlink/?linkid=870924
Comentário:
    Prazo indeterminado</t>
      </text>
    </comment>
    <comment ref="AM142" authorId="3" shapeId="0" xr:uid="{1FBD8542-03F6-4A48-9D36-960935B542F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Não há possibilidade de lançar no PNCP - contratação remanescente. O módulo publicador de contratos é limitado para essa situação, tendo em vista ser Pregão Eletr. </t>
      </text>
    </comment>
  </commentList>
</comments>
</file>

<file path=xl/sharedStrings.xml><?xml version="1.0" encoding="utf-8"?>
<sst xmlns="http://schemas.openxmlformats.org/spreadsheetml/2006/main" count="9690" uniqueCount="2018">
  <si>
    <t xml:space="preserve">Nº PROCESSO </t>
  </si>
  <si>
    <t>OBJETO</t>
  </si>
  <si>
    <t>MODALID. LICITAÇÃO</t>
  </si>
  <si>
    <t>RC</t>
  </si>
  <si>
    <t>Inexigibilidade</t>
  </si>
  <si>
    <t>Pregão Eletrônico</t>
  </si>
  <si>
    <t>FORNECEDOR</t>
  </si>
  <si>
    <t>Dispensa</t>
  </si>
  <si>
    <t>SIGILO</t>
  </si>
  <si>
    <t>Público</t>
  </si>
  <si>
    <t>Sigiloso</t>
  </si>
  <si>
    <t>Afastamento</t>
  </si>
  <si>
    <t>VALOR EXECUTADO</t>
  </si>
  <si>
    <t>NATUREZA DO OBJETO</t>
  </si>
  <si>
    <t xml:space="preserve">Serviço </t>
  </si>
  <si>
    <t xml:space="preserve">Material </t>
  </si>
  <si>
    <t>Bens</t>
  </si>
  <si>
    <t xml:space="preserve">DADOS DA COMPRA </t>
  </si>
  <si>
    <t>TIPO DO CONTRATO</t>
  </si>
  <si>
    <t>Nº CONTRATO</t>
  </si>
  <si>
    <t>Contrato</t>
  </si>
  <si>
    <t>Empenho</t>
  </si>
  <si>
    <t xml:space="preserve">Concessão </t>
  </si>
  <si>
    <t>INÍCIO DA VIGÊNCIA</t>
  </si>
  <si>
    <t>FIM DA VIGÊNCIA</t>
  </si>
  <si>
    <t>DATA ASSINATURA</t>
  </si>
  <si>
    <t>TIPO DO OBJETO</t>
  </si>
  <si>
    <t>Cessão</t>
  </si>
  <si>
    <t>Compras</t>
  </si>
  <si>
    <t>Informática (TIC)</t>
  </si>
  <si>
    <t>Locação de Imóveis</t>
  </si>
  <si>
    <t>Mão de Obra</t>
  </si>
  <si>
    <t>Obras</t>
  </si>
  <si>
    <t>Serviços</t>
  </si>
  <si>
    <t>PROCESSO</t>
  </si>
  <si>
    <t>VALORES</t>
  </si>
  <si>
    <t>Nº PARCELAS</t>
  </si>
  <si>
    <t>VALOR DA PARCELA</t>
  </si>
  <si>
    <t>VALOR DO CONTRATO</t>
  </si>
  <si>
    <t>DADOS AUXILIARES</t>
  </si>
  <si>
    <t>UASG: 925150</t>
  </si>
  <si>
    <t>Contrato de Adesão</t>
  </si>
  <si>
    <t>CNPJ</t>
  </si>
  <si>
    <t>ELIMINADO</t>
  </si>
  <si>
    <t>Nº COMPRA 
(RATIFICAÇÃO)</t>
  </si>
  <si>
    <t>ÁREA REQUISITANTE</t>
  </si>
  <si>
    <t>GERP</t>
  </si>
  <si>
    <t>GTI</t>
  </si>
  <si>
    <t>GLOG</t>
  </si>
  <si>
    <t>GCC</t>
  </si>
  <si>
    <t>GFO</t>
  </si>
  <si>
    <t>GORS</t>
  </si>
  <si>
    <t>GGP</t>
  </si>
  <si>
    <t>JUSTIFICATIVA  DA CONTRATAÇÃO</t>
  </si>
  <si>
    <t>Bens e serviços</t>
  </si>
  <si>
    <t>GI</t>
  </si>
  <si>
    <t>(vazio)</t>
  </si>
  <si>
    <t>Total Geral</t>
  </si>
  <si>
    <t xml:space="preserve"> VALOR DO CONTRATO</t>
  </si>
  <si>
    <t xml:space="preserve">Tabela  - Modalidade dos Contratos </t>
  </si>
  <si>
    <t xml:space="preserve"> % </t>
  </si>
  <si>
    <t>QTD</t>
  </si>
  <si>
    <t>(Vários itens)</t>
  </si>
  <si>
    <t xml:space="preserve">Nº INTRUMENTO CONTRATUAL </t>
  </si>
  <si>
    <t xml:space="preserve"> VALOR CONTRATADO</t>
  </si>
  <si>
    <t>Total</t>
  </si>
  <si>
    <t>Apresentação</t>
  </si>
  <si>
    <t>GPM</t>
  </si>
  <si>
    <t>(Tudo)</t>
  </si>
  <si>
    <t>MÊS ASSINATURA</t>
  </si>
  <si>
    <t>INÍCIO DA VIGÊNCIA (assinatura)</t>
  </si>
  <si>
    <t>MÊS</t>
  </si>
  <si>
    <t>GPTC</t>
  </si>
  <si>
    <t>GEOS</t>
  </si>
  <si>
    <t>GCONT</t>
  </si>
  <si>
    <t>GROP</t>
  </si>
  <si>
    <t>Nº CONTRATO SAP</t>
  </si>
  <si>
    <t>FUNDAMENTAÇÃO DA MODALIDADE</t>
  </si>
  <si>
    <t>GMP</t>
  </si>
  <si>
    <t>ADMINISTRATIVO</t>
  </si>
  <si>
    <t xml:space="preserve">LOCAÇÃO </t>
  </si>
  <si>
    <t>COMPARTILHAMENTO</t>
  </si>
  <si>
    <t xml:space="preserve">ENERGIA </t>
  </si>
  <si>
    <t>NATUREZA DO CONTRATO (GESTÃO)</t>
  </si>
  <si>
    <t>MODALIDADE DE LICITAÇÃO</t>
  </si>
  <si>
    <t>Termo de Adesão</t>
  </si>
  <si>
    <t>NATUREZA DO CONTRATO (Gestão)</t>
  </si>
  <si>
    <t>DIRETORIA</t>
  </si>
  <si>
    <t>DAF</t>
  </si>
  <si>
    <t>DG</t>
  </si>
  <si>
    <t>DTO</t>
  </si>
  <si>
    <t>DC</t>
  </si>
  <si>
    <t>PR</t>
  </si>
  <si>
    <t>ANO CTR</t>
  </si>
  <si>
    <t>ANO AUTOR</t>
  </si>
  <si>
    <t>ANOS VIG</t>
  </si>
  <si>
    <t>BASE GERAL DE INFORMAÇÕES - CONTRATOS 2024</t>
  </si>
  <si>
    <t>Contratação por afastamento de licitação conforme Prática n° 088/2023 - Prática de Aquisição de Sobressalentes de Baixa Mortalidade e Alto Impacto</t>
  </si>
  <si>
    <t>TLB-PRO-2023/02578</t>
  </si>
  <si>
    <t>Lei 13.303 de Junho de 2016; Decreto nº 10.024/2019; Regulamento Interno de Licitações e Contratos - TELEBRAS.</t>
  </si>
  <si>
    <t>O presente documento dá início ao processo de contratação de empresa para prestação de serviços técnicos e fornecimento de equipamentos destinados a compor a solução para implantação do Centro de Operação de Serviços da Rede Via Satélite (COS-VSAT) e do Centro de Operação de Serviços de Rede Terrestre (COS-REDE).A contratação pretendida tem por objetivo, respeitada a isonomia entre os LICITANTES, selecionar a proposta mais vantajosa para a Administração e promover o desenvolvimento nacional, garantindo a boa qualidade dos equipamentos e serviços de empresas comprometidas com o desenvolvimento do país e a custos mais reduzidos, contribuindo para o fortalecimento dos vários segmentos da economia brasileira e para a diminuição dos gastos.
3.7  Para a implantação do COS-VSAT e do COS-REDE, a TELEBRAS já tem disponível toda a infraestrutura básica para receber e instalar todos os equipamentos de forma correta e segura para o bom funcionamento e desempenho do serviço que será prestado ao país.
3.8  O Centro de Operação de Serviços da Rede Via Satélite (COS-VSAT) e o Centro de Operação de Serviços de Rede Terrestre (COS-REDE), serão instalados no edifício do Centro de Operações Espaciais - Principal - COPE-P da TELEBRAS, em Brasília/DF, com o objetivo de integrar as atividades de gerenciamento da rede VSAT e as atividades de gerenciamento de operações de redes e serviços da rede terrestre da TELEBRAS.</t>
  </si>
  <si>
    <t>18/2023</t>
  </si>
  <si>
    <t>2023</t>
  </si>
  <si>
    <t>TLB-CTR-2024/00002</t>
  </si>
  <si>
    <t>06/02/2024</t>
  </si>
  <si>
    <t>06/02/2029</t>
  </si>
  <si>
    <t>Contratação de empresa para aquisição e instalação de equipamentos destinados a compor a solução para implantação do Centro de Operação de Serviços da Rede Via Satélite (COS-VSAT) e do Centro de Operação de Serviços de Rede Terrestre (COS-REDE).</t>
  </si>
  <si>
    <t>MICROTÉCNICA INFORMÁTICA LTDA.</t>
  </si>
  <si>
    <t> 4400003003</t>
  </si>
  <si>
    <t>TLB-PRO-2023/05717</t>
  </si>
  <si>
    <t>O objeto a ser contratado consiste em aquisição de peças de infraestrutura associadas a fontes retificadoras e sistema de CFTV, sobressalentes necessários à manutenibilidade da Planta da Rede Nacional de Telecomunicações, consistindo em peças, partes ou subpartes de equipamentos integrantes das Estações de Telecomunicações.</t>
  </si>
  <si>
    <t>TLB-CTR-2024/00005</t>
  </si>
  <si>
    <t>09/02/2024</t>
  </si>
  <si>
    <t>09/08/2024</t>
  </si>
  <si>
    <t>Aquisição de sobressalentes de infraestrutura associadas a fontes retificadoras e sistema de CFTV agosto/2023, utilizando a Prática PR-0088 de Aquisição de Sobressalentes de Baixa Mortalidade e Alto Impacto.</t>
  </si>
  <si>
    <t>INFOPLAN TECNOLOGIA, COMÉRCIO E SERVIÇOS - LTDA.</t>
  </si>
  <si>
    <t> 4400003004</t>
  </si>
  <si>
    <t>TLB-PRO-2023/05467</t>
  </si>
  <si>
    <t>art.30 da Lei n° 13.303 de2016 c/c caputdo art.113do Regulamento de Licitações eContratos da Telebras–RELIC</t>
  </si>
  <si>
    <t>Oficialização de demanda para renovação dos recursos de numeração, composto pelo bloco de endereços IP (Internet Protocol) e pelo número de sistema autônomo (Autonomous System Number - ASN), para rede de comunicação de dados baseada em protocolo IP/MPLS (Internet Protocol / Multi-Protocol Label Switching</t>
  </si>
  <si>
    <t>TLB-AUT-2024/02455</t>
  </si>
  <si>
    <t>09/02/2025</t>
  </si>
  <si>
    <t>Contrato tem por objeto estabelecer as principais condições e normas para a alocação do RECURSO, o registro e disponibilização de suas informações no serviço diretório Whois, a utilização do Sistema de Administração de “Recursos de Numeração” e a publicação de registros de delegação DNS para resolução inversa, sem prejuízo dos demais documentos, regulamentos disponíveis no site https://registro.br e normas dos órgãos regulamentadores</t>
  </si>
  <si>
    <t>NÚCLEO DE INFORMAÇÃO E COORDENAÇÃO DO PONTO BR - NIC.br</t>
  </si>
  <si>
    <t>05.506.560/0001-36</t>
  </si>
  <si>
    <t>TLB-PRO-2023/05461</t>
  </si>
  <si>
    <t>29/01/2024</t>
  </si>
  <si>
    <t>29/01/2029</t>
  </si>
  <si>
    <t>Contrato de SWAP</t>
  </si>
  <si>
    <t>21/12/2023</t>
  </si>
  <si>
    <t>21/12/2028</t>
  </si>
  <si>
    <t>DELL Technologies</t>
  </si>
  <si>
    <t>TLB-PRO-2023/06838</t>
  </si>
  <si>
    <t>Lei nº13.303/2016</t>
  </si>
  <si>
    <t>1085612695/2024</t>
  </si>
  <si>
    <t>16/01/2024</t>
  </si>
  <si>
    <t>16/01/2025</t>
  </si>
  <si>
    <t>Constitui objeto do presente Contrato a cessão de uso da infraestrutura das redes de distribuição até 34,5kV de propriedade da DETENTORA, mediante o compartilhamento a ser regido pelo presente instrumento e demais normas aplicáveis à espécie</t>
  </si>
  <si>
    <t>Equatorial Maranhão Distribuidora de Energia S.A.</t>
  </si>
  <si>
    <t>06.272.793/0001-84</t>
  </si>
  <si>
    <t>4400003001</t>
  </si>
  <si>
    <t>TRANSCOURIER LTDA</t>
  </si>
  <si>
    <t>03.220.264/0001-49</t>
  </si>
  <si>
    <t>4400003006</t>
  </si>
  <si>
    <t>Contratação de empresa especializada em serviços de logística de transporte aéreo de carga fracionada, por demanda, incluindo coleta, remessa e, caso necessário, redespacho, em âmbito nacional, de encomendas e cargas (equipamentos e demais materiais), com fornecimento de embalagens, através do sistema porta a porta, com possibilidade de integração entre modais, com seguro obrigatório, de acordo com a necessidade indicada pela Contratante.</t>
  </si>
  <si>
    <t>TLB-CTR-2024/00004</t>
  </si>
  <si>
    <t>DAFRI</t>
  </si>
  <si>
    <t>TLB-PRO-2023/04555</t>
  </si>
  <si>
    <t xml:space="preserve">A contratação justifica-se  pelo atendimento ao Decreto n° 9.612/18 que dispõe sobre políticas públicas de telecomunicações, onde a Telebras tem o papel de apoiar às políticas públicas de conexão à Internet em banda larga, prover a infraestrutura de redes de suporte a serviços de telecomunicações prestados por empresas privadas, pelos Estados, pelo Distrito Federal, pelos Municípios e por entidades sem fins lucrativos, prestar serviço de conexão à internet em banda larga para usuários finais em localidades onde inexista oferta adequada daqueles serviços, além de outras atribuições. </t>
  </si>
  <si>
    <t>23</t>
  </si>
  <si>
    <t>GGE</t>
  </si>
  <si>
    <t>TLB-PRO-2024/00927</t>
  </si>
  <si>
    <t>Lei 13.303/2016, Art. 30, inciso II, letra "f", da Lei 13.303/2016 e Art. 113, inciso II, letra "f" do RELIC</t>
  </si>
  <si>
    <t>A realização do Telebras Day, destinado à Alta Direção e seus gestores, com a inclusão de um Palestrante-Moderador externo, alinha-se estrategicamente à Instrução Normativa Nº 24, de 18 de março de 2020, artigo 3, inciso V. O propósito central deste evento é definir e avançar com projetos e ações estratégicas que serão incorporados aos Planos Diretores, parte integrante do Plano Estratégico Institucional para 2024-2028. A seleção do palestrante da  palestrante especializado em planejamento estratégico, liderança e inovação da INLABS CAPACITAÇÃO PROFISSIONAL LTDA, sobretudo com experiência no setor de telecomunicações, é fundamental. Este setor, marcado por sua complexidade e evolução acelerada, demanda uma abordagem que esteja em harmonia com tendências globais e desafios locais específicos da empresa.</t>
  </si>
  <si>
    <t>TLB-TRM-2024/00183</t>
  </si>
  <si>
    <t>2024</t>
  </si>
  <si>
    <t>2024NE000601</t>
  </si>
  <si>
    <t>n/a</t>
  </si>
  <si>
    <t>Contratação de um Palestrante-Mediador para o Telebras Day - mediar as atividades relacionadas ao desdobramento do Plano Estratégico 2024-2028</t>
  </si>
  <si>
    <t>INLABS CAPACITACAO PROFISSIONAL LTDA</t>
  </si>
  <si>
    <t>16.700.677/0001-72</t>
  </si>
  <si>
    <t>TLB-PRO-2023/06269</t>
  </si>
  <si>
    <t>Lei nº13.303/2016, artigo 29, inciso II, da Lei nº 13.303/2016 e no artigo 112, inciso II, do RELIC</t>
  </si>
  <si>
    <t>A aquisição dos televisores justifica-se pela necessidade de prover infraestrutura adequada ao pleno andamento das atividades da empresa, fornecendo os equipamentos de audiovisual necessários para as salas dos Diretores, Presidente e ambientes de reuniões corporativas.</t>
  </si>
  <si>
    <t>TLB-TRM-2024/00169</t>
  </si>
  <si>
    <t xml:space="preserve"> Aquisição de eletrodomésticos.</t>
  </si>
  <si>
    <t>Aquisição de eletrodomésticos.</t>
  </si>
  <si>
    <t>PIRES &amp; SANTOS COMERCIO LTDA</t>
  </si>
  <si>
    <t>52.087.237/0001-55</t>
  </si>
  <si>
    <t>JMC PRESTACAO DE SERVICOS DIVERSOS LTDA</t>
  </si>
  <si>
    <t>44.391.794/0001-37</t>
  </si>
  <si>
    <t>TLB-PRO-2024/00201</t>
  </si>
  <si>
    <t>Lei nº13.303/2016, Art. 30, inciso II, letra "f", da Lei 13.303/2016 e Art. 113, inciso II, letra "f" do RELIC</t>
  </si>
  <si>
    <t>A área de comunicação por satélite, nos últimos anos, tem sido protagonista no cenário mundial de telecom, sendo a TELEBRAS, nesse contexto, um pilar brasileiro na redução de fronteiras digitais. O evento Satellite é conhecido por ser a maior conferência e exposição mundial na área de satélites. Presente desde 1981, o evento é referência dentro da comunidade aeroespacial em quantidade de expositores, conferências e debates, com nível técnico altíssimo.</t>
  </si>
  <si>
    <t>TLB-TRM-2024/00160</t>
  </si>
  <si>
    <t>Contratação para participação no evento no evento Satellite 2024 - Conference and Exhibition.</t>
  </si>
  <si>
    <t>ACCESS INTELLIGENCE, LLC</t>
  </si>
  <si>
    <t>EX2421627</t>
  </si>
  <si>
    <t xml:space="preserve">TLB-PRO-2024/00195
</t>
  </si>
  <si>
    <t>Lei nº13.303/2016, Artigo 29, inciso II, da Lei nº 13.303/2016 e no artigo 112, inciso II, do Regulamento de Licitações e Contratos da Telebras - RELIC</t>
  </si>
  <si>
    <t xml:space="preserve">a Telebras não possui expertise necessária, assim como, não possui equipe preparada para organização direta de eventos, faz-se necessária a contratação de empresa especializada na prestação de serviços de organização de eventos e demais serviços correlatos, compreendendo a organização, a execução, a recepção, a operacionalização, a produção, a assessoria, a locação do espaço e demais infraestrutura necessária compreendendo os insumos e todos os demais materiais e serviços indispensáveis à plena execução do evento. </t>
  </si>
  <si>
    <t xml:space="preserve">TLB-TRM-2024/00195
</t>
  </si>
  <si>
    <t>Prestação de serviço de organização de evento e serviços correlatos.</t>
  </si>
  <si>
    <t>PRONTO EVENTOS TECNOLOGIA E INTEGRACAO LTDA</t>
  </si>
  <si>
    <t>12.685.506/0001-60</t>
  </si>
  <si>
    <t>2024NE000576</t>
  </si>
  <si>
    <t>2024NE000575</t>
  </si>
  <si>
    <t>2024NE000566</t>
  </si>
  <si>
    <t>2024NE000606</t>
  </si>
  <si>
    <t xml:space="preserve">GERP </t>
  </si>
  <si>
    <t>TLB-PRO-2024/00577</t>
  </si>
  <si>
    <t>Lei nº 8666/1993</t>
  </si>
  <si>
    <t xml:space="preserve"> Implementação da rede privativa de comunicação da administração pública federal;
 Prestação de apoio e suporte às políticas públicas de conexão à internet em banda larga para universidades, centros de pesquisa, escolas, hospitais, postos de atendimento, telecentros comunitários e outros pontos de interesse público;
Provisão de infraestrutura e de redes de suporte a serviços de telecomunicações prestados por empresas privadas, pelos Estados, pelo Distrito Federal, pelos Municípios e por entidades sem fins lucrativos;
Prestação de serviço de conexão à internet em banda larga para usuários finais, apenas em localidades onde inexista oferta adequada daqueles serviços.</t>
  </si>
  <si>
    <t>TLB-TRM-2024/00253</t>
  </si>
  <si>
    <t>TLB-PRO-2024/00576</t>
  </si>
  <si>
    <t>CEMIG Distribuição S.A</t>
  </si>
  <si>
    <t>06.981.180/0001-16</t>
  </si>
  <si>
    <t>Implementação da rede privativa de comunicação da administração pública federal;
Prestação de apoio e suporte às políticas públicas de conexão à internet em banda larga para universidades, centros de pesquisa, escolas, hospitais, postos de atendimento, telecentros comunitários e outros pontos de interesse público;
 Provisão de infraestrutura e de redes de suporte a serviços de telecomunicações prestados por empresas privadas, pelos Estados, pelo Distrito Federal, pelos Municípios e por entidades sem fins lucrativos;
 Prestação de serviço de conexão à internet em banda larga para usuários finais, apenas em localidades onde inexista oferta adequada daqueles serviços.</t>
  </si>
  <si>
    <t>TLB-TRM-2024/00251</t>
  </si>
  <si>
    <t xml:space="preserve">Fornecimento de energia elétrica e CIP (Contribuição de Iluminação Pública). </t>
  </si>
  <si>
    <t xml:space="preserve">GTI </t>
  </si>
  <si>
    <t>TLB-PRO-2023/04125</t>
  </si>
  <si>
    <t>Artigo 29, inciso II, da Lei nº 13.303/2016 e no artigo 112, inciso II, do Regulamento de Licitações e Contratos da Telebras - RELIC.</t>
  </si>
  <si>
    <t>A TELEBRAS tem se empenhado na aquisição de tecnologias compatíveis com a complexidade imposta pela sua área de atuação, para manter uma vantagem competitiva e suprir suas necessidades. Em 2022 a TELEBRAS adquiriu certificados digitais SSL com validade de 2 (dois) anos para os seus serviços, e com isso, no ano de 2024, uma nova aquisição será necessária para manter a validação e segurança dos serviços disponibilizados através da WEB.
O Certificado digital SSL faz parte do escopo desta contratação, ele é o instrumento que possibilita oferecer um serviço de conexão segura, assim provendo um caminho criptografado seguro entre o cliente e os serviços de internet, especialmente aqueles que realizam trânsito de informações sensíveis com os serviços WEB da TELEBRAS.</t>
  </si>
  <si>
    <t>TLB-TRM-2023/01852</t>
  </si>
  <si>
    <t> TLB-CTR-2024/00009</t>
  </si>
  <si>
    <t>Aquisição de certificado digital para os serviços da TELEBRAS e suas necessidades, contemplando todos os materiais necessários para a instalação, configuração e de acordo com as especificações e quantidades estimadas constantes deste instrumento.</t>
  </si>
  <si>
    <t>CERTISIGN CERTIFICADORA DIGITAL S.A.</t>
  </si>
  <si>
    <t>01.554.285/0001-75</t>
  </si>
  <si>
    <t>4400003015</t>
  </si>
  <si>
    <t>Lei nº13.303/2016, Art. 29, Inciso II.</t>
  </si>
  <si>
    <t>TLB-PRO-2023/05332</t>
  </si>
  <si>
    <t>ara o controle físico dos equipamentos de superfície metálica, utiliza-se etiquetas patrimoniais do tipo flag. O estoque existente dessas etiquetas foi distribuído para os Centros de Manutenções da Telebras, para realização do inventário anual de 2023. Por esse motivo, para se manter o controle patrimonial dos equipamentos a serem adquiridos no futuro, é necessário a aquisição de novas etiquetas.</t>
  </si>
  <si>
    <t>TLB-TRM-2024/00150</t>
  </si>
  <si>
    <t>2024NE000661</t>
  </si>
  <si>
    <t xml:space="preserve"> Aquisição de Etiquetas Patrimoniais (Tags) Tipo Flag para ativos fixos de tecnologia RFID (Identificação de Rádio Frequência), com fins de controle patrimonial.</t>
  </si>
  <si>
    <t>SMARTX IMPORTACAO E COMERCIO LTDA</t>
  </si>
  <si>
    <t>39.307.323/0001-68</t>
  </si>
  <si>
    <t>TLB-PRO-2023/06365</t>
  </si>
  <si>
    <t>Lei nº13.303/2016, Art. 29, inciso II da Lei 13.303 e Art. 112, inciso II do RELIC</t>
  </si>
  <si>
    <t>Considerando que os materiais de consumo em estoque são insuficientes para atender a demanda dos colaboradores, faz-se necessário a aquisição de materiais de expediente e escritório para suprir as necessidades de fornecimento interno do almoxarifado sede, tendo em vista tais materiais serem necessários ao desenvolvimento das atividades administrativas e operacionais rotineiras dos setores da TELEBRAS.</t>
  </si>
  <si>
    <t>TLB-TRM-2024/00154</t>
  </si>
  <si>
    <t>2024NE000670</t>
  </si>
  <si>
    <t>Aquisição de materiais de consumo para reabastecer o almoxarifado da TELEBRAS</t>
  </si>
  <si>
    <t>BRASILIA COMERCIO ATACADISTA DE SUPRIMENTOS DE PAPELARIA LTDA</t>
  </si>
  <si>
    <t>34.698.137/0001-83</t>
  </si>
  <si>
    <t>2024NE000669</t>
  </si>
  <si>
    <t>GRAFICA E EDITORA FERNANDES E LIRA LTDA</t>
  </si>
  <si>
    <t>07.736.659/0001-50</t>
  </si>
  <si>
    <t>TLB-PRO-2024/01201</t>
  </si>
  <si>
    <t>Lei nº13.303/2016, Art. 30, inciso II, da Lei 13.303/2016 e Art. 113, inciso II, do RELIC</t>
  </si>
  <si>
    <t>O produto Zênite Fácil é um acervo de informações com matérias relacionadas à contratação pública desde o planejamento e julgamento da licitação até a execução e a fiscalização do contrato, além de temas referentes a concessões e permissões, termos de parceria e contratações do Sistema S, dispostas de forma a possibilitar pesquisa avançada por assunto, edição, seção, palavras ou expressões no período da contratação. O acesso é seguro e as páginas da empresa Zênite contam com certificados de segurança estando protegida da interceptação de terceiros.</t>
  </si>
  <si>
    <t>TLB-TRM-2024/00239</t>
  </si>
  <si>
    <t>2024NE000632</t>
  </si>
  <si>
    <t>Contratação de Assinatura Anual dos Produtos de Suporte Jurídico à Administração referente às Contratações Públicas: Zênite Fácil - Estatais</t>
  </si>
  <si>
    <t>ZENITE INFORMACAO E CONSULTORIA S/A</t>
  </si>
  <si>
    <t>86.781.069/0001-15</t>
  </si>
  <si>
    <t>TLB-PRO-2024/00922</t>
  </si>
  <si>
    <t xml:space="preserve">A participação dos colaboradores da GEOS  na ISSFD é uma oportunidade valiosa para a TELEBRAS. Além de oferecer acesso a novos conhecimentos e tendências em dinâmica de voo espacial, também possibilitará a troca de experiências com profissionais de destaque, trará benefícios tanto em termos de aprendizado quanto de visibilidade e networking. </t>
  </si>
  <si>
    <t>TLB-TRM-2024/00242</t>
  </si>
  <si>
    <t>2024NE000628</t>
  </si>
  <si>
    <t>Contratação para participação no Simpósio Internacional Especializado em Dinâmica de Vôo - International Symposium on Space Flight Dynamics (ISSFD)</t>
  </si>
  <si>
    <t>ATP SPECIALS BV</t>
  </si>
  <si>
    <t>EX2421630</t>
  </si>
  <si>
    <t>TLB-PRO-2024/01475</t>
  </si>
  <si>
    <t>A legislação tributária no Brasil é extremamente complexa, desde a promulgação da Constituição Federal de 1988, foram editadas mais de 377 mil normas, sendo quase 32 mil federais. Somente em 2017, a RFB editou mais de três mil atos com possível impacto na vida dos contribuintes. O quadro revela uma frequente atualização legislativa para alteração de obrigações. 
Em complemento, foi detectada a ausência de um documento único que compile a legislação tributária vigente relativa a cada um dos tributos, conforme exige o art. 212 do Código Tributário Nacional (CTN). A dispersão de normas prejudica o cumprimento das obrigações tributárias.
Assim, a GCONT entende, para mitigar os riscos inerentes à gestão tributária e à apuração de obrigações principais e acessórias, que a capacitação dos colaboradores torna-se necessária, posto que é indiscutível a mudança da legislação pelas diversos entes federados. Há que se observar que a legislação atual já é complicada e que está em andamento a reforma tributária, ainda não internalizada nos estados e municípios.</t>
  </si>
  <si>
    <t>TLB-TRM-2024/00275</t>
  </si>
  <si>
    <t>2024NE000653</t>
  </si>
  <si>
    <t>Contratação da capacitação "Formação em PIS e Cofins".</t>
  </si>
  <si>
    <t>CENOFISCO CENTRO DE CAPACITACAO PROFISSIONAL LTDA</t>
  </si>
  <si>
    <t>07.799.454/0001-13</t>
  </si>
  <si>
    <t>CONTRATOS 2024</t>
  </si>
  <si>
    <t>TLB-AUT-2024/04886</t>
  </si>
  <si>
    <t>01/04/2024</t>
  </si>
  <si>
    <t>TLB-PRO-2023/06327</t>
  </si>
  <si>
    <t>Art. 1º, Lei nº10.520/2002</t>
  </si>
  <si>
    <t>Implementação da rede privativa de comunicação da administração pública federal; Prestação de apoio e suporte às políticas públicas de conexão à internet em banda larga para universidades, centros de pesquisa, escolas, hospitais, postos de atendimento, tele centros comunitários e outros pontos de interesse público; Provisão de infraestrutura e de redes de suporte a serviços de telecomunicações prestados por empresas privadas, pelos Estados, pelo Distrito Federal, pelos Municípios e por entidades sem fins lucrativos; e</t>
  </si>
  <si>
    <t>TLB-NTE-2024/00018</t>
  </si>
  <si>
    <t>TLB-CTR-2024/00006</t>
  </si>
  <si>
    <t>01/03/2024</t>
  </si>
  <si>
    <t>01/03/2026</t>
  </si>
  <si>
    <t>A contratação, mediante o Sistema de Registro de Preços – SRP, de empresa ou consórcio de empresas especializadas no fornecimento de soluções de infraestrutura com o fornecimento de contêineres incluindo todos os materiais, equipamentos e fibras ópticas necessários, de forma a garantir o funcionamento e a proteção dos equipamentos ópticos, DWDM e IP, a serem utilizados na Rede da Telebras, nas Regiões Nordeste.</t>
  </si>
  <si>
    <t>HC COMUNICAÇÃO DE DADOS LTDA.</t>
  </si>
  <si>
    <t>TLB-CTR-2024/00007</t>
  </si>
  <si>
    <t>A contratação, mediante o Sistema de Registro de Preços – SRP, de empresa ou consórcio de empresas especializadas no fornecimento de soluções de infraestrutura com o fornecimento de contêineres incluindo todos os materiais, equipamentos e fibras ópticas necessários, de forma a garantir o funcionamento e a proteção dos equipamentos ópticos, DWDM e IP, a serem utilizados na Rede da Telebras, nas Regiões Centro-Oeste.</t>
  </si>
  <si>
    <t>TLB-PRO-2023/06316</t>
  </si>
  <si>
    <t>TLB-NTE-2024/00021</t>
  </si>
  <si>
    <t> TLB-PRO- 2024/00765</t>
  </si>
  <si>
    <t>Artigo 1º da Lei n° 10.520/2002 e Art. 32, IV, da Lei nº 13.303/2016</t>
  </si>
  <si>
    <t>Consta amplamente explanada no Processo de Aquisição Nº TLB-PRO-2023/00355 a motivação da aquisição e cabe agora a elaboração de Contrato em atendimento ao inicialmente previsto, de forma que a motivação desta Nota Técnica é permitir o prosseguimento da Contratação prevista no Processo inicial.</t>
  </si>
  <si>
    <t>TLB-NTE-2024/00103</t>
  </si>
  <si>
    <t>TLB-CTR-2024/00010</t>
  </si>
  <si>
    <t>01/03/2027</t>
  </si>
  <si>
    <t>A aquisição de sobressalentes compressores para condicionadores de ar de climatização ambiente e acumuladores de energia (baterias) para Nobreaks(UPS)/SDAI,</t>
  </si>
  <si>
    <t>INFOPLAN TECNOLOGIA COMÉRCIO E SERVIÇOS LTDA</t>
  </si>
  <si>
    <t>24.120.157/0001-19</t>
  </si>
  <si>
    <t>TLB-PRO-2024/00764</t>
  </si>
  <si>
    <t> Artigo 1º da Lei n° 10.520/2002 e Art. 32, IV, da Lei nº 13.303/2016</t>
  </si>
  <si>
    <t> Consta amplamente explanada no Processo de Aquisição Nº TLB-PRO-2023/00355 a motivação da aquisição e cabe agora a elaboração de Contrato em atendimento ao inicialmente previsto, de forma que a motivação desta Nota Técnica é permitir o prosseguimento da Contratação prevista no Processo inicial.</t>
  </si>
  <si>
    <t>TLB-NTE-2024/00102</t>
  </si>
  <si>
    <t>TLB-CTR-2024/00011</t>
  </si>
  <si>
    <t>Aquisição de sobressalentes compressores para condicionadores de ar de climatização ambiente e acumuladores de energia (baterias) para Nobreaks(UPS)/SDAI, conforme ARP nº TLB-ARP-2023/00004.</t>
  </si>
  <si>
    <t>SECPOWER COMERCIAL IMPORTADORA EXPORTADORA LTDA.</t>
  </si>
  <si>
    <t>01.938.502/0007-16</t>
  </si>
  <si>
    <t>TLB-PRO-2023/01936</t>
  </si>
  <si>
    <t>artigo 32, IV da Lei nº 13.303/2016, na Lei nº 10.520/2002, no Decreto nº 10.024/2019 e no art. 92, I do Regulamento de Licitações e Contratos da Telebras (RELIC)</t>
  </si>
  <si>
    <t>2.1. A TELEBRAS, vinculada ao Ministério das Comunicações, é a empresa estatal que conecta o serviço público ao cidadão. Somos uma empresa mista, de capital aberto, que fornece soluções de telecomunicações com atuação nacional e o propósito de levar conectividade em alta capacidade a todas as localidades do país, promovendo as políticas públicas de inclusão digital do Estado e atende às demandas de soluções em serviços de conexão para a Administração Pública. Fazemos isso por meio de uma rede óptica de alta resiliência de 32 mil km e da cobertura em todo território nacional do Satélite Geoestacionário de Defesa e Comunicações Estratégicas (SGDC) cujo papel é essencial para a universalização da banda larga no Brasil.
2.2. Além do seu papel social, a TELEBRAS atua também estimulando o desenvolvimento do mercado de telecomunicações ao fornecer infraestrutura para internet banda larga aos provedores regionais, o que estimula as economias regionais e fomenta a concorrência no setor de telecomunicações. A TELEBRAS atua no atendimento aos Provedores Regionais e a Pontos de Interesse Público do Governo Federal.
2.3. Devido a evolução tecnológica existente no mercado de Tecnologia da Informação, os equipamentos de microinformática entram em defasagem de forma muito dinâmica motivo pelo qual foi estabelecido no PDTI a substituição trienal dos equipamentos de forma a não prejudicar a execução dos trabalhos.</t>
  </si>
  <si>
    <t>TLB-AUT-2023/28264</t>
  </si>
  <si>
    <t>TLB-CTR-2024/00020</t>
  </si>
  <si>
    <t>15/04/2024</t>
  </si>
  <si>
    <t>15/04/2027</t>
  </si>
  <si>
    <t> Contratação de empresa para a aquisição de um servidor de rack para o Laboratório de Inovação da TELEBRAS.</t>
  </si>
  <si>
    <t>GLOBAL DISTRIBUIÇÃO DE BENS DE CONSUMO LTDA.</t>
  </si>
  <si>
    <t>89.237.911/0289-08</t>
  </si>
  <si>
    <t>TLB-PRO-2023/05342</t>
  </si>
  <si>
    <t>artigo 29 Inciso II</t>
  </si>
  <si>
    <t>2.1. O Brasil é um dos maiores países em extensão territorial do planeta e ainda é carente no que diz respeito a infraestrutura e redes de comunicações. Diante dessa realidade e com o escopo de atender aos seus objetivos sociais e de defesa, o Governo Federal, por meio do Decreto nº 7.769, de 28 de junho de 2012, dispôs sobre a gestão do planejamento, da construção e do lançamento do SGDC;
2.2. O Projeto SGDC é considerado de alta relevância para o Governo brasileiro, tendo em vista a sua importância para a sociedade, no que diz respeito aos programas de inclusão digital e de universalização do acesso à banda larga, e para o Estado brasileiro, no tocante às comunicações militares;
2.3. O satélite foi construído, lançado e operacionalizado com a aplicação de um elevado investimento público e deve ser preservado ao longo de toda a sua vida útil;</t>
  </si>
  <si>
    <t>TLB-TRM-2024/00220</t>
  </si>
  <si>
    <t>TLB-CTR-2024/00023</t>
  </si>
  <si>
    <t>Contratação de serviço de Reparo para equipamentos do segmento solo do SGDC</t>
  </si>
  <si>
    <t>NEXVIA COMÉRCIO E SERVIÇOS DE EQUIPAMENTOS DE TELECOMUNICAÇÕES LTDA</t>
  </si>
  <si>
    <t>05.741.931/0001-64</t>
  </si>
  <si>
    <t>TLB-PRO-2023/05093</t>
  </si>
  <si>
    <t>1.1 O serviço de recepção é considerado essencial para o bom funcionamento da Telebras, pois visa receber pessoas na entrada principal da empresa. Esta entrada é a primeira medida de controle para monitorar o fluxo de pessoas, assim como, evitar o acesso de terceiros estranhos à empresa. Ademais, são os profissionais da recepção que atendem as chamadas telefônicas externas e repassam aos empregados, anotam recados, orientam e encaminham o público em geral, inclusive autoridades; de modo que a interrupção deste serviço comprometeria o andamento das atividades e a segurança da Telebras.
1.2 Desse modo, tendo em vista a solicitação de rescisão por parte da atual empresa contratada (mediante o ofício nº TLB-AUT-2023/21801), a proximidade do encerramento do atual contrato justifica a pretensa contratação para, assim, garantir a continuidade da prestação desse serviço classificado como essencial.</t>
  </si>
  <si>
    <t>TLB-AUT-2024/06164</t>
  </si>
  <si>
    <t>TLB-CTR-2024/00026</t>
  </si>
  <si>
    <t>Contratação de empresa especializada em serviço de recepção para a sede da Telebras</t>
  </si>
  <si>
    <t>G9 FACILITIES LTDA</t>
  </si>
  <si>
    <t>11.404.230/0001-32</t>
  </si>
  <si>
    <t>TLB-PRO-2021/17104</t>
  </si>
  <si>
    <t>Art. 19, inciso II, art. 21 e art. 22 do Regulamento de Licitações e Contratos da Telebras (RELIC) e Art. 20, inciso II e art. 24, inciso I, da Instrução Normativa 05, de 26 de maio, de 2017 - SEGES/Ministério do Planejamento</t>
  </si>
  <si>
    <t>2.1 A Telebras, sociedade de economia mista vinculada ao Ministério das Comunicações, trabalha para democratizar o acesso à tecnologia da informação e comunicação no Brasil. Com o lançamento do Satélite Geoestacionário de Defesa e Comunicações Estratégicas (SGDC) em 2017 a companhia passou a oferecer cobertura de internet em todo território nacional, sendo a única empresa de telecomunicações brasileira capaz de oferecer banda larga a todos os munícipios do Brasil.
2.2 Para que a empresa consiga fornecer o serviço de internet em todo o território nacional, é necessária uma ampla infraestrutura de solo para processar o sinal de internet e transmiti-lo ao SGDC na banda de frequência Ka (enlace direto). Da mesma forma, os equipamentos de solo devem receber os sinais de RF enviados pelo SGDC e processá-los para completar o enlace reverso de comunicação dos usuários, localizados nas coberturas dos beams do SGDC. A infraestrutura de solo da Telebras, para transmitir e receber os sinais do SGDC, possui 5 antenas gateways, localizadas nas capitais de Brasília, Campo Grande, Florianópolis, Rio de Janeiro e Salvador. Em adição, há 8 estações fixas de monitoração de sinal do SGDC, com capacidade de receber sinais de monitoração e transmitir sinais de teste ao satélite. Estas estão localizadas nos municípios de Assis-SP, Boa Vista-RR, Guarulhos-SP, Piripiri-PI, Rio Branco-AC, São José de Piranhas-PB, São Mateus-ES e Vilhena-RO.</t>
  </si>
  <si>
    <t>TLB-AUT-2024/01286</t>
  </si>
  <si>
    <t>TLB-CTR-2024/00019</t>
  </si>
  <si>
    <t>O presente Contrato tem por objeto a contratação de pessoa jurídica especializada na prestação Serviços de calibração de instrumentos de medição de radiofrequência.</t>
  </si>
  <si>
    <t>INSTITUTO DE PESQUISAS TECNOLOGICAS DO ESTADO DESAO PAULO S/A - IPT.</t>
  </si>
  <si>
    <t>60.633.674/0001-55</t>
  </si>
  <si>
    <t>TLB-PRO-2024/02159</t>
  </si>
  <si>
    <t>Artigo 29, inciso X, da Lei n° 13.303 e artigo 112, inciso X, do Regulamento de Licitações e Contratos da Telebras (RELIC)</t>
  </si>
  <si>
    <t xml:space="preserve"> Implementação da rede privativa de comunicação da administração pública federal;
4.1.2.      Prestação de apoio e suporte às políticas públicas de conexão à internet em banda larga para universidades, centros de pesquisa, escolas, hospitais, postos de atendimento, telecentros comunitários e outros pontos de interesse público;
4.1.3.      Provisão de infraestrutura e de redes de suporte a serviços de telecomunicações prestados por empresas privadas, pelos Estados, pelo Distrito Federal, pelos Municípios e por entidades sem fins lucrativos;
4.1.4.      Prestação de serviço de conexão à internet em banda larga para usuários finais, apenas em localidades onde inexista oferta adequada daqueles serviços.</t>
  </si>
  <si>
    <t>TLB-TRM-2024/00297</t>
  </si>
  <si>
    <t>2024NE000688</t>
  </si>
  <si>
    <t>Contratação de serviço de fornecimento de energia elétrica para alimentação do contêiner Telebras na estação de Padre Fialho, localizada no município de Matipó/MG, a ser prestado pela Energisa Minas Rio - Distribuição de Energia S.A.</t>
  </si>
  <si>
    <t> Energisa Minas-Rio Distribuidora de Energia S.A.</t>
  </si>
  <si>
    <t>19.527.639/0001-58</t>
  </si>
  <si>
    <t>2024NE000689</t>
  </si>
  <si>
    <t>TLB-TRM-2023/02025</t>
  </si>
  <si>
    <t>440000300</t>
  </si>
  <si>
    <t>TLB-PRO-2023/03220</t>
  </si>
  <si>
    <t>Art. 30, Lei nº 13.303</t>
  </si>
  <si>
    <t>De acordo com o artigo 56 do Regimento Interno da Telebras, a Gerência de Integridade, Riscos, Conformidade e Controle Interno tem a responsabilidade de gerir as atividades normativas e operacionais relacionadas à gestão de riscos, ao controle interno, à conformidade, integridade e transparência. Esta gerência é também incumbida de elaborar, propor e coordenar a implementação e atualização de normas destinadas à prevenção da corrupção e à promoção da transparência, da ética e da integridade.
2.2. Além disso, a Gerência de Integridade, Riscos, Conformidade e Controle Interno tem o dever de gerir o Sistema Normativo da Telebras, bem como de acompanhar as alterações na legislação e nas normas vigentes no setor de atuação da Telebras.
2.3. Diante disso, se faz desejável a contratação de um sistema de consulta de normas técnicas brasileiras, com o objetivo de apoiar a Gerência em suas atividades, contribuindo com a conformidade, integridade e a adoção de boas práticas no desempenho de suas funções.</t>
  </si>
  <si>
    <t>TLB-TRM-2024/00075</t>
  </si>
  <si>
    <t>TLB-CTR-2024/00024</t>
  </si>
  <si>
    <t>Contratação do serviço de acesso, via web, ao pacote de Normas Técnicas Brasileiras (NBR's).</t>
  </si>
  <si>
    <t>TARGET ENGENHARIA  E  CONSULTORIA  LTDA.</t>
  </si>
  <si>
    <t>00.000.028/0001-29</t>
  </si>
  <si>
    <t>GIRC</t>
  </si>
  <si>
    <t>O presente Contrato tem por objeto a contratação de empresa para consultoria em recursos humanos para fornecer serviços técnicos especializados na elaboração, implantação e aprovação perante a secretaria de coordenação e governança das estatais - sest do plano de carreiras, cargos e remuneração (pccr) da telebras.</t>
  </si>
  <si>
    <t>QUÂNTICA EMPRESA DE CONSULTORIA E SERVIÇOS LTDA</t>
  </si>
  <si>
    <t>32.908.188/0001-67</t>
  </si>
  <si>
    <t>TLB-PRO-2023/02958</t>
  </si>
  <si>
    <t>TLB-CTR-2024/00032</t>
  </si>
  <si>
    <t> Enfim, destaca-se que esta contratação está alinhada com o Plano Estratégico da companhia, representando uma materialização do valor "valorização do capital humano" previsto no Mapa Estratégico da Companhia disponível em https://www.telebras.com.br/conheca-a-telebras/plano-estrategico/. Destaca-se que o objetivo dessa contratação é promover a transformação do PCR atual da Telebras em um instrumento de valorização dos empregados da empresa, melhorando continuamente a estrutura de carreira e remuneração. Dessa forma, busca-se fortalecer a empresa e prepará-la para enfrentar desafios futuros de maneira mais eficiente.</t>
  </si>
  <si>
    <t>art. 32, inciso IV</t>
  </si>
  <si>
    <t>TLB-AUT-2024/07610</t>
  </si>
  <si>
    <t>TLB-PRO-2024/01101</t>
  </si>
  <si>
    <t>Art. 29, Inciso II.</t>
  </si>
  <si>
    <t xml:space="preserve">3.1. A Telebras é uma sociedade de economia mista exploradora de Serviços de Comunicações Multimídia (SCM). A empresa tem como foco o fornecimento de internet para provedores regionais e governo em geral.
3.2. Como forma de fazer frente aos índices de inadimplência, a Telebras necessita de instrumentos adicionais além dos já disponíveis para possibilitar o recebimento de valores não pagos pelos clientes.
3.3. Desta forma, objetivando municiar a área de arrecadação da Gerência Financeira e Orçamentária de meios para o atendimento às ações de cobrança, faz-se necessária a contratação de uma empresa especializada em serviço de proteção de crédito.
 </t>
  </si>
  <si>
    <t>TLB-TRM-2024/00254</t>
  </si>
  <si>
    <t>TLB-CTR-2024/00036</t>
  </si>
  <si>
    <t>Contratação de serviço de proteção ao crédito, mediante consulta ao banco de dados com informações creditícias sobre PF e PJ; e inclusão e exclusão de clientes inadimplentes em cadastro de devedores (negativação).</t>
  </si>
  <si>
    <t>CÂMARA DE DIRIGENTES LOJISTA DO DISTRITO FEDERAL - CDL(DF)</t>
  </si>
  <si>
    <t>00.114.868/0001-12</t>
  </si>
  <si>
    <t>TLB-PRO-2023/00762</t>
  </si>
  <si>
    <t>artigo 29, § 1º, da Lei nº 13.303/2016</t>
  </si>
  <si>
    <t>2.1.1 Os serviços de limpeza, higienização e conservação diária são considerados essenciais para o bom funcionamento da empresa, uma vez que proporcionam um ambiente de trabalho salubre a todos os colaboradores, de modo que a interrupção desse serviço pode comprometer a saúde de pessoas e a higienização das instalações físicas da sede da TELEBRAS. Ademais, as rotinas limpeza e higienização continuam sendo consideradas como medidas preventivas eficazes contra a disseminação da COVID-19 no ambiente laboral.
2.1.2 Desse modo, tendo em vista a proximidade de encerramento da vigência do contrato atual do referido serviço (31/08/2023), a pretensa contratação justifica-se para garantir a continuidade da prestação desse serviço classificado como essencial.
2.1.3 Os serviços a serem contratados são de natureza continuada e se enquadram nos pressupostos do Decreto 9.507, de 21 de setembro de 2018, constituindo-se em atividades materiais acessórias, instrumentais ou complementares à área de competência legal do órgão licitante, não inerentes às categorias funcionais abrangidas pelo seu respectivo plano de cargos.</t>
  </si>
  <si>
    <t>TLB-NTE-2024/00386</t>
  </si>
  <si>
    <t>TLB-CTR-2024/00035</t>
  </si>
  <si>
    <t>Contratação de empresa especializada na prestação de serviços de limpeza, higienização e conservação diária, com fornecimento de mão de obra, materiais, utensílios e equipamentos, para atender as necessidades da sede da TELEBRAS</t>
  </si>
  <si>
    <t>CENTRAL SERVIÇOS E GESTÃO LTDA</t>
  </si>
  <si>
    <t>26.009.298/0001-94</t>
  </si>
  <si>
    <t>TLB-PRO-2023/04725</t>
  </si>
  <si>
    <t>TLB-ARP-2024/00001</t>
  </si>
  <si>
    <t>Aquisição de mobiliário - cadeira de escritório ergonômica.</t>
  </si>
  <si>
    <t>TECNO 2000 INDUSTRIA E COMERCIO LTDA</t>
  </si>
  <si>
    <t>21.306.287/0001-52</t>
  </si>
  <si>
    <t>01.590.728/0009-30</t>
  </si>
  <si>
    <t>05.202.938/0001-08</t>
  </si>
  <si>
    <t>FISCAL DO CONTRATO</t>
  </si>
  <si>
    <t xml:space="preserve">Pablo Henry Correa </t>
  </si>
  <si>
    <t>Pablo Henry Correa</t>
  </si>
  <si>
    <t>DEG</t>
  </si>
  <si>
    <t>TLB-DEG-2024/00012</t>
  </si>
  <si>
    <t>Fernando Granjeiro de Meneses Junio</t>
  </si>
  <si>
    <t>TLB-DEG-2024/00011</t>
  </si>
  <si>
    <t>Micheli Viera Chervinski</t>
  </si>
  <si>
    <t>TLB-DEG-2024/00010</t>
  </si>
  <si>
    <t>sem fiscal</t>
  </si>
  <si>
    <t>Em 03 de dezembro de 2012,a Telebras iniciou o Processo de Contratação nº509/2012-TB (TLB-PRO-2020/0932), cujo objeto foi definido como “Contrato de compartilhamento de infraestrutura da CEMAR para lançamento de cabos FOda Telebras em Imperatriz/MA”.3.2A Gerência Jurídica (GJ) da Telebras emitiu, em 03/01/2013, o Parecer nº004/2013/GJRL/1200 com as propostas de modificação no contrato encaminhado pela CEMAR. Em março 2013 a Telebras encaminhou à CEMAR e-mail informando as propostas de modificações. Em 21/03/2013 a CEMAR enviou resposta à Telebras, onde informa, em síntese, sobre os itens propostos.</t>
  </si>
  <si>
    <t>Raphael BlancoLombardi</t>
  </si>
  <si>
    <t>TLB-DEG-2024/00015</t>
  </si>
  <si>
    <t>TLB-DEG-2024/00014</t>
  </si>
  <si>
    <t>TLB-DEG-2024/00013</t>
  </si>
  <si>
    <t>TLB-DEG-2024/00016</t>
  </si>
  <si>
    <t>Regina Cássia Montenegro Braz Gomes</t>
  </si>
  <si>
    <t xml:space="preserve">Adriana Ramos de Oliveira </t>
  </si>
  <si>
    <t>TLB-DEG-2024/00018</t>
  </si>
  <si>
    <t>Igor Felipe De Oliveira Araújo</t>
  </si>
  <si>
    <t>Jorge Humberto Martins Lisboa</t>
  </si>
  <si>
    <t>TLB-DEG-2024/00028</t>
  </si>
  <si>
    <t>TLB-DEG-2024/00029</t>
  </si>
  <si>
    <t>Ricardo Luiz Miranda de Souza</t>
  </si>
  <si>
    <t>TLB-DEG-2024/00017</t>
  </si>
  <si>
    <t>Victor Coelho Assunção Carneiro</t>
  </si>
  <si>
    <t>TLB-DEG-2024/00040</t>
  </si>
  <si>
    <t>Nilton César Soares da Silva Lira</t>
  </si>
  <si>
    <t>TLB-DEG-2024/00038</t>
  </si>
  <si>
    <t>Genara Lopes Bühler</t>
  </si>
  <si>
    <t>TLB-DEG-2024/00027</t>
  </si>
  <si>
    <t>TLB-DEG-2024/00025</t>
  </si>
  <si>
    <t>Márcia Manuela Medrado Nunes</t>
  </si>
  <si>
    <t>TLB-DEG-2024/00031</t>
  </si>
  <si>
    <t>Glahicon Rogério Gregório</t>
  </si>
  <si>
    <t>TLB-DEG-2024/00023</t>
  </si>
  <si>
    <t>Ricardo Klein</t>
  </si>
  <si>
    <t>TLB-DEG-2024/00024</t>
  </si>
  <si>
    <t>TLB-DEG-2024/00019</t>
  </si>
  <si>
    <t>TLB-DEG-2024/00020</t>
  </si>
  <si>
    <t>Fernando Márcio Vieira Coutinho</t>
  </si>
  <si>
    <t>Marcelo Guimarães Mendes</t>
  </si>
  <si>
    <t>TLB-DEG-2024/00037</t>
  </si>
  <si>
    <t>Caio Cesar Goulart Bomfim</t>
  </si>
  <si>
    <t>TLB-DEG-2024/00039</t>
  </si>
  <si>
    <t>TLB-DEG-2024/00049</t>
  </si>
  <si>
    <t>Marina Corbucci Campos</t>
  </si>
  <si>
    <t>Antônio Marcelo Oliveira Ribeiro</t>
  </si>
  <si>
    <t>TLB-DEG-2024/00052</t>
  </si>
  <si>
    <t>TLB-DEG-2024/00041</t>
  </si>
  <si>
    <t>Ido Alexandre Rodrigues Alves</t>
  </si>
  <si>
    <t>TLB-DEG-2024/00060</t>
  </si>
  <si>
    <t>Marcel Moreira Viriato</t>
  </si>
  <si>
    <t>TMP-628024</t>
  </si>
  <si>
    <t>TLB-DEG-2024/00058</t>
  </si>
  <si>
    <t>Danilo Pereira de Freitas Quaresma</t>
  </si>
  <si>
    <t>Regina Cassia Montenegro Braz Gomes</t>
  </si>
  <si>
    <t>TMP-635999</t>
  </si>
  <si>
    <t>Rótulos de Linha</t>
  </si>
  <si>
    <t>TLB-AUT-2024/02815</t>
  </si>
  <si>
    <t>TLB-CTR-2024/00015</t>
  </si>
  <si>
    <t>GNN</t>
  </si>
  <si>
    <t>TLB-CTR-2024/00040</t>
  </si>
  <si>
    <t>TLB-CTR-2024/00027</t>
  </si>
  <si>
    <t>TLB-CTR-2024/00033</t>
  </si>
  <si>
    <t>TLB-CTR-2024/00021</t>
  </si>
  <si>
    <t>TLB-CTR-2024/00030</t>
  </si>
  <si>
    <t>TLB-CTR-2024/00031</t>
  </si>
  <si>
    <t>TLB-CTR-2024/00017</t>
  </si>
  <si>
    <t>GCONT-TRIBUT</t>
  </si>
  <si>
    <t>TLB-CTR-2024/00014</t>
  </si>
  <si>
    <t>TLB-CTR-2024/00018</t>
  </si>
  <si>
    <t>TLB-CTR-2024/00039</t>
  </si>
  <si>
    <t>TLB-CTR-2024/00009</t>
  </si>
  <si>
    <t>TLB-CTR-2024/00034</t>
  </si>
  <si>
    <t>TLB-CTR-2024/00042</t>
  </si>
  <si>
    <t>TLB-CTR-2024/00001</t>
  </si>
  <si>
    <t>ARI</t>
  </si>
  <si>
    <t>TLB-CTR-2024/00022</t>
  </si>
  <si>
    <t>GOC</t>
  </si>
  <si>
    <t>TLB-CTR-2024/00016</t>
  </si>
  <si>
    <t>TLB-CTR-2024/00041</t>
  </si>
  <si>
    <t>TLB-CTR-2024/00013</t>
  </si>
  <si>
    <t>Unidade</t>
  </si>
  <si>
    <t>Número</t>
  </si>
  <si>
    <t>TLB-CTR-2024/00003</t>
  </si>
  <si>
    <t>TLB-CTR-2024/00038</t>
  </si>
  <si>
    <t>TLB-CTR-2024/00037</t>
  </si>
  <si>
    <t>TLB-CTR-2024/00025</t>
  </si>
  <si>
    <t>TLB-CTR-2024/00029</t>
  </si>
  <si>
    <t>TLB-CTR-2024/00028</t>
  </si>
  <si>
    <t>TLB-CTR-2024/00012</t>
  </si>
  <si>
    <t>TLB-CTR-2024/00008</t>
  </si>
  <si>
    <t>-</t>
  </si>
  <si>
    <t>FISCAL</t>
  </si>
  <si>
    <t>TLB-PRO-2024/00728</t>
  </si>
  <si>
    <t>Art. 30, II, c, da Lei nº 13.3030/2016 c/c art. 113, II do RELIC</t>
  </si>
  <si>
    <t>Diante do reduzido quadro de pessoal na Telebras e da relevância de se alcançar os resultados almejados no Programa de Gestão do Conhecimento, a contratação de uma empresa de consultoria se torna essencial. O conhecimento especializado e a experiência que uma consultoria pode oferecer  são fundamentais para orientar e impulsionar o desenvolvimento e evolução das ações do programa, visando alcançar resultados estratégicos da Telebras. Ao trazer uma perspectiva externa e imparcial, a consultoria pode identificar lacunas, propor soluções inovadoras e implementar melhores práticas de gestão do conhecimento de forma ágil e eficiente. Essa contratação não apenas otimizará os recursos existentes, mas também acelerará a obtenção de resultados tangíveis, garantindo o sucesso a longo prazo do programa.</t>
  </si>
  <si>
    <t>TLB-TRM-2024/00397</t>
  </si>
  <si>
    <t> TLB-DEG-2024/00062-A</t>
  </si>
  <si>
    <t>Camila Daniela Lima de Souza Gomes</t>
  </si>
  <si>
    <t>Contratação de empresa para prestar consultoria ao desenvolvimento e evolução das ações do Programa de Gestão do Conhecimento da Telebras, conforme especificações do Termo de Referência.</t>
  </si>
  <si>
    <t>IMPAKT CONSULTORIA S/S LIMITADA</t>
  </si>
  <si>
    <t>08.170.564/0001-84</t>
  </si>
  <si>
    <t>TLB-PRO-2024/01130</t>
  </si>
  <si>
    <t>Art. 30, inciso II, da Lei nº 13.303/2016 c/c o art. 113, inciso II, do Regulamento de Licitações e Contratos da TELEBRAS</t>
  </si>
  <si>
    <t>A governança corporativa busca gerar valor de forma sustentável para a organização, seus acionistas e a sociedade, baseando-se em princípios, normas, estruturas e processos que promovem a direção e o controle das atividades da organização. A incorporação de boas práticas de governança corporativa na administração pública favorece transparência, equidade, accountability e responsabilidade social, além de harmonizar os interesses de todos os envolvidos.</t>
  </si>
  <si>
    <t> TLB-CTR-2024/00045</t>
  </si>
  <si>
    <t>Associação da telebras ao instituto brasileiro de governança corporativa - ibgc.</t>
  </si>
  <si>
    <t>INSTITUTO BRASILEIRO DE GOVERNANÇA CORPORATIVA - IBGC</t>
  </si>
  <si>
    <t>01.082.331/0001-80</t>
  </si>
  <si>
    <t>TLB-PRO-2023/04328</t>
  </si>
  <si>
    <t>TLB-PRO-2023/06205</t>
  </si>
  <si>
    <t>art. 28 da Lei nº 13.303, de 30 de junho de 2016, corroborada e combinada com as disposições constantes do CAPÍTULO III – DA CONTRATAÇÃO DIRETA, constantes do inciso I, do art. 114 do Regulamento de Licitações e Contratos – RELIC</t>
  </si>
  <si>
    <t>TLB-CTR-2024/00044</t>
  </si>
  <si>
    <t>A ELABORAÇÃO DE DOCUMENTOS DE ENGENHARIA, FORNECIMENTO DE MATERIAIS E CONSTRUÇÃO EXTRAORDINÁRIA DE REDE METROPOLITANA AÉREA E/OU SUBTERRÂNEA NO MUNICÍPIO DE GOIÂNIA GO.</t>
  </si>
  <si>
    <t>n/d</t>
  </si>
  <si>
    <t>MEGA INFRA SOLUÇÕES EM INFRAESTRUTURA LTDA</t>
  </si>
  <si>
    <t>07.525.262/0001-19</t>
  </si>
  <si>
    <t>inciso IV, do art. 32 da Lei nº 13.303, de 30 de junho de 2016, corroborada e combinada com as disposições constantes do Capítulo II – DAS LICITAÇÕES, art. 93 e seguintes do Regulamento de Licitações e Contratos – RELIC TELEBRAS, da Lei nº 14.133, de 1º de abril de 2021, do Decreto nº 10.024, de 20 de setembro de 2019; do Decreto nº 8.945, de 27 de dezembro de 2016, e legislação complementar</t>
  </si>
  <si>
    <t>TLB-CTR-2024/00048</t>
  </si>
  <si>
    <t>EMPRESA REI DE OURO MUDANÇAS E TRANSPORTE</t>
  </si>
  <si>
    <t>A CONTRATAÇÃO DE EMPRESA ESPECIALIZADA EM SERVIÇOS DE LOGÍSTICA DE TRANSPORTE RODOVIÁRIO DE CARGA FRACIONADA, POR DEMANDA, INCLUINDO COLETA E REMESSA EM ÂMBITO NACIONAL, DE ENCOMENDAS, CARGAS (EQUIPAMENTOS E DEMAIS MATERIAIS) E MUDANÇAS, INCLUINDO O MAQUINÁRIO EVENTUALMENTE NECESSÁRIO PARA A MOVIMENTAÇÃO DE CARGA E DESCARGA (EMPILHADEIRA, PALLET, MUNCK), COM FORNECIMENTO DE EMBALAGENS, POR MEIO DO SISTEMA PORTA-A-PORTA, COM POSSIBILIDADE DE INTEGRAÇÃO ENTRE MODAIS, COM SEGURO OBRIGATÓRIO</t>
  </si>
  <si>
    <t>TLBPRO-2023/05847</t>
  </si>
  <si>
    <t xml:space="preserve"> Artigo 29, inciso II, da Lei nº 13.303/2016 e no artigo 112, inciso II, do Regulamento de Licitações e Contratos da Telebras - RELIC.</t>
  </si>
  <si>
    <t>Para manter os equipamentos em condições de operação seguindo as especificações do fabricante é necessária a atuação das equipes de operação e manutenção do Segmento Solo do SGDC. Eventualmente essas atuações resultam na troca de equipamentos e/ou componentes.
 A fim de alcançar e manter os níveis de serviços comprometidos com seus clientes e parceiros, bem como manter a alta qualidade dos serviços prestados pelo SGDC, a Gerência Engenharia e Operações de Satélite (GEOS) identificou a necessidade de adequação da quantidade de unidades sobressalentes com o objetivo de evitar a descontinuidade dos serviços de comunicação satelital, por meio das estações terrestres de acesso (gateways) do SGDC.</t>
  </si>
  <si>
    <t>TLB-TRM-2024/00422</t>
  </si>
  <si>
    <t>2024NE000831</t>
  </si>
  <si>
    <t>TLB-DEG-2024/00061</t>
  </si>
  <si>
    <t>Samara Bittencourt Amui De Oliveira</t>
  </si>
  <si>
    <t>Aquisição de periféricos para segmento solo do SGDC - Cartuchos de memória para servidores.</t>
  </si>
  <si>
    <t>LEGACY DISTRIBUIDORA DE INFORMATICA E ELETROELETRONICOS LTDA</t>
  </si>
  <si>
    <t>52.504.817/0001-09</t>
  </si>
  <si>
    <t>2024NE000840</t>
  </si>
  <si>
    <t>CALCAM COMERCIAL DE SUPRIMENTOS DE INFORMATICA LTDA</t>
  </si>
  <si>
    <t>09.666.095/0001-51</t>
  </si>
  <si>
    <t>TLB-PRO-2024/01473</t>
  </si>
  <si>
    <t>Art. 30, inciso II, letra "f", da Lei 13.303/2016 e Art. 113, inciso II, letra "f" do RELIC</t>
  </si>
  <si>
    <t>A GCONT entende, para mitigar os riscos inerentes à gestão tributária e à apuração de obrigações principais e acessórias, que a capacitação dos colaboradores torna-se necessária, posto que é indiscutível a mudança da legislação pelas diversos entes federados. Há que se observar que a legislação atual já é complicada e que está em andamento a reforma tributária, ainda não internalizada nos estados e municípios.</t>
  </si>
  <si>
    <t>TLB-TRM-2024/00311</t>
  </si>
  <si>
    <t>2024NE000684</t>
  </si>
  <si>
    <t>TLB-DEG-2024/00044</t>
  </si>
  <si>
    <t>Adryana Ramos de Oliveira</t>
  </si>
  <si>
    <t>Contratação de empresa para inscrição de 03 empregado(s) da Gerencia de Contabilidade - GCONT, no Curso de ICMS - Teoria e Prática.</t>
  </si>
  <si>
    <t>IBET INSTITUTO BRASILEIRO DE ESTUDOS TRIBUTARIOS</t>
  </si>
  <si>
    <t>63.104.475/0001-48</t>
  </si>
  <si>
    <t>TLB-PRO-2024/01992</t>
  </si>
  <si>
    <t xml:space="preserve"> Art. 30, inciso II, letra "f", da Lei 13.303/2016 e Art. 113, inciso II, letra "f" do RELIC</t>
  </si>
  <si>
    <t>O Plano Estratégico da Telebras, na perspectiva Aprendizado e Crescimento, tem como Objetivo Estratégico 2 - Dispor das Competências Requeridas, visando contribuir para o alcance o presente objetivo, bem como, contribuir para alavancar o processo de Treinamento e Desenvolvimento da Telebras justifica-se a contratação do presente treinamento. 
2.2. A contratação do curso de formação em Treinamento e Desenvolvimento é essencial para desenvolver as competências exigidas do profissional de T&amp;D</t>
  </si>
  <si>
    <t>TLB-TRM-2024/00335</t>
  </si>
  <si>
    <t>2024NE000711</t>
  </si>
  <si>
    <t>TLB-DEG-2024/00051</t>
  </si>
  <si>
    <t>Contratação de empresa para inscrição  inscrição de 01 colaboradora da Gerência de Gestão de Pessoas, no curso  Formação do Profissional de Treinamento e Desenvolvimento (T&amp;D).</t>
  </si>
  <si>
    <t>INTEGRACAO - ESCOLA DE NEGOCIOS LTDA</t>
  </si>
  <si>
    <t>03.493.782/0001-36</t>
  </si>
  <si>
    <t>TLB-PRO-2024/03100</t>
  </si>
  <si>
    <t xml:space="preserve"> Artigo 29, inciso XV, da Lei nº 13.303/2016 e no artigo 112, inciso XV, do Regulamento de Licitações e Contratos da Telebras - RELIC.</t>
  </si>
  <si>
    <t>A demanda tem caráter imediata devido à necessidade de disponibilidade para pronto atendimento de potenciais falhas dos produtos instalados para atendimento de emergência de calamidade no RS onde há 54 terminais T3SAT disponíveis para uso, com quase sua totalidade já instalada e as demais unidades aguardando disponibilidade de transporte para instalação.</t>
  </si>
  <si>
    <t>TLB-TRM-2024/00449</t>
  </si>
  <si>
    <t>2024NE000869</t>
  </si>
  <si>
    <t>TLB-DEG-2024/00067</t>
  </si>
  <si>
    <t>PABLO HENRY CORREA</t>
  </si>
  <si>
    <t>PROCESSO DE CONTRATAÇÃO EMERGENCIAL DE BATERIAS T3SAT PARA ATENDIMENTO DE DEMANDA POR CALAMIDADE PÚBLICA NO RS</t>
  </si>
  <si>
    <t>SEC POWER COMERCIAL, IMPORTADORA E EXPORTADORA LTDA</t>
  </si>
  <si>
    <t>TLB-PRO-2023/03855</t>
  </si>
  <si>
    <t>O presente contrato tem por objeto a contratação de empresa especializada na prestação de serviços de Copeiragem e Garçonaria, com fornecimento de materiais, equipamentos e utensílios de copa, para atender as necessidades da sede da TELEBRAS, mediante o fornecimento de mão de obra exclusiva.</t>
  </si>
  <si>
    <t>inciso IV, do art. 32 da Lei nº 13.303</t>
  </si>
  <si>
    <t>TLB-TRM-2023/01884</t>
  </si>
  <si>
    <t>TLB-CTR-2024/00049</t>
  </si>
  <si>
    <t>TLB-DEG-2024/00076</t>
  </si>
  <si>
    <t>REAL JG FACILITIES S/A</t>
  </si>
  <si>
    <t> 08.247.960/0001-62</t>
  </si>
  <si>
    <t>Atendimento das demandas oriundas do Decreto nº 9.612, de 17/12/2018, que instituiu em seu art. 12 as atribuições da Telebras como sendo: Implementação da rede privativa de comunicação da administração pública federal.</t>
  </si>
  <si>
    <t xml:space="preserve">A contratação justifica-se pelo atendimento ao Decreto n° 9.612/18 que dispõe sobre políticas públicas de telecomunicações, onde a Telebras tem o papel de apoiar às políticas públicas de conexão à Internet em banda larga, prover a infraestrutura de redes de suporte a serviços de telecomunicações prestados por empresas privadas, pelos Estados, pelo Distrito Federal, pelos Municípios e por entidades sem fins lucrativos, prestar serviço de conexão à internet em banda larga para usuários finais em localidades onde inexista oferta adequada daqueles serviços, além de outras atribuições. </t>
  </si>
  <si>
    <t xml:space="preserve">José Matias de Santana </t>
  </si>
  <si>
    <t>TLB-DEG-2024/00071</t>
  </si>
  <si>
    <t>Raphael Blanco Lombardi</t>
  </si>
  <si>
    <t>TLB-DEG-2024/00074</t>
  </si>
  <si>
    <t> TLB-TRM-2024/00363 </t>
  </si>
  <si>
    <t>Antônio Celson de Jesus Neris</t>
  </si>
  <si>
    <t>TLB-DEG-2024/00070</t>
  </si>
  <si>
    <t>TLB-PRO-2024/03035</t>
  </si>
  <si>
    <t>Conforme o Regimento Interno da TELEBRAS, art. 25, inciso XII, compete à Gerência de Logística fornecer atividade de suporte e de infraestrutura física necessária à realização das atribuições da TELEBRAS.
As películas protetoras proporcionam maior controle na filtragem de raios ultravioleta e consequente auxílio no equilíbrio térmico, redução de energia do uso de ar condicionado, aumento da resistência dos vidros, evitando que se despedace e espalhe diversos fragmentos., maior segurança, conforto, climatização e privacidade para colaboradores e clientes.
Nesse sentido, há a necessidade da prestação desse serviço uma vez que irá atender demandas da TELEBRAS, contribuindo para conservação do local de trabalho, conforto térmico, economia de energia e conferir mais privacidade ao ambiente.</t>
  </si>
  <si>
    <t>TLB-TRM-2024/00496</t>
  </si>
  <si>
    <t>2024NE000893</t>
  </si>
  <si>
    <t>TLB-DEG-2024/00078</t>
  </si>
  <si>
    <t xml:space="preserve">Nilton César Soares Da Silva Lira  </t>
  </si>
  <si>
    <t>Contratação de empresa especializada para o fornecimento e a instalação de películas protetoras Window Blue Fumê 5%, 20% ou 35%, com filtragem de 100% raios e 97% infravermelhos, na sede da Telebras.</t>
  </si>
  <si>
    <t>ROBSON O DE SOUZA</t>
  </si>
  <si>
    <t>31.659.740/0001-68</t>
  </si>
  <si>
    <t>TLB-PRO-2024/03684</t>
  </si>
  <si>
    <t>TLB-TRM-2024/00520</t>
  </si>
  <si>
    <t>2024NE000909</t>
  </si>
  <si>
    <t>TLB-DEG-2024/00085</t>
  </si>
  <si>
    <t>Rosilda Ferreira da Cunha</t>
  </si>
  <si>
    <t>Bioseg Brasília Soluções em Segurança e Medicina do Trabalho Ltda</t>
  </si>
  <si>
    <t>46.590.489/0001-08</t>
  </si>
  <si>
    <t>TELEBRAS</t>
  </si>
  <si>
    <t>TLB-PRO-2024/03371</t>
  </si>
  <si>
    <t xml:space="preserve">Evento para atualização profissional em relação às novas tendências, tecnologias e melhores práticas nos campos de gestão de dados, documentos e informações. </t>
  </si>
  <si>
    <t>TLB-TRM-2024/00467</t>
  </si>
  <si>
    <t>2024NE000885</t>
  </si>
  <si>
    <t>TLB-DEG-2024/00075</t>
  </si>
  <si>
    <t xml:space="preserve">Contratação de empresa para inscrição de 01 empregada(s) da GLOG, no evento GDI Connect 2024. </t>
  </si>
  <si>
    <t>PS Treinamento Profissional e Consultoria Empresarial Ltda</t>
  </si>
  <si>
    <t>38.593.731/0001-60</t>
  </si>
  <si>
    <t>TLB-PRO-2024/02467</t>
  </si>
  <si>
    <t>art. 30 da Lei n° 13.303 de 2016 c/c art. 113, inciso III, do Regulamento de Licitações e Contratos da Telebras ? RELIC;</t>
  </si>
  <si>
    <t>O Seminário Nacional de TIC para a Gestão Pública – SECOP – é o principal encontro de tecnologia para Governo do País, com presença maciça de representantes de TIC das esferas Federal, Estadual e Municipal e principalmente com as Empresas de Processamento de Dados de todo o país (conhecidas como PRODs) – com cerca de 700 participantes por edição, o SECOP se posiciona como gerador de tendências e discussões sobre TIC pública: são 2 dias inteiros de networking, novas ideias e produtos, com foco na qualidade do serviço prestado ao cidadão, que é um dos focos da Telebras.</t>
  </si>
  <si>
    <t>TLB-TRM-2024/00503</t>
  </si>
  <si>
    <t>2024NE000896</t>
  </si>
  <si>
    <t>TLB-DEG-2024/00080</t>
  </si>
  <si>
    <t>Mariana Rodrigues Boavista Leite</t>
  </si>
  <si>
    <t>Participação da Telebras, por meio de ação promocional, no Seminário Nacional de TIC para a Gestão Pública ? SECOP 2024, evento organizado exclusivamente pela Associação Brasileira de Entidades Estaduais de Tecnologia da Informação e Comunicação ? ABEP.</t>
  </si>
  <si>
    <t>ASSOCIACAO BRASILEIRA DE ENTIDADES ESTADUAIS</t>
  </si>
  <si>
    <t>77.639.433/0001-16</t>
  </si>
  <si>
    <t>TLB-PRO-2024/02951</t>
  </si>
  <si>
    <t>O CONARH 2024, promovido pela ABRH - Associação Brasileira de Recursos Humanos, considerada uma instituição representativa e mobilizadora, é um congresso de referência no Brasil e no mundo. A participação no Congresso, que abordará temas como enfrentamento de crises, perspectivas do futuro do trabalho, educação, criatividade, diversidade, entre outros, será crucial para o desenvolvimento de ações de gestão de pessoas na Telebras, focadas na superação dos desafios do trabalho e na utilização das competências emergentes no cenário atual. Espera-se que a aquisição desses conhecimentos contribua para a proposição de práticas de gestão de pessoas alinhadas com os desafios contemporâneos.</t>
  </si>
  <si>
    <t>TLB-TRM-2024/00505</t>
  </si>
  <si>
    <t>2024NE000895</t>
  </si>
  <si>
    <t>TLB-DEG-2024/00082</t>
  </si>
  <si>
    <t>Contratação da participação no evento "CONARH 2024 - Congresso Nacional de Gestão de Pessoas"</t>
  </si>
  <si>
    <t>ASSOCIACAO BRASILEIRA DE RECURSOS HUMANOS</t>
  </si>
  <si>
    <t>43.456.425/0001-12</t>
  </si>
  <si>
    <t>TLB-PRO-2024/04037</t>
  </si>
  <si>
    <t xml:space="preserve">O curso visa qualificar profissionais para liderarem as áreas de governança corporativa, capazes de assegurar a adoção das melhores práticas nas organizações e, desta forma, também contribuir para um ambiente de negócios mais ético e sustentável.
O curso permitirá uma imersão em temas de governança corporativa e instigará os participantes a solucionar problemas e desafios comuns ao cotidiano dos Governance Officers por meio de atividades práticas, cujas vivências em aula demandarão habilidades não só técnicas como comportamentais. </t>
  </si>
  <si>
    <t>TLB-TRM-2024/00546</t>
  </si>
  <si>
    <t>2024NE000915</t>
  </si>
  <si>
    <t>TLB-DEG-2024/00088</t>
  </si>
  <si>
    <t>Allyne Cunha de Oliveira</t>
  </si>
  <si>
    <t>Contratação da capacitação "Governance Officer" oferecido pelo Instituto Brasileiro de Governança Corporativa.</t>
  </si>
  <si>
    <t>INSTITUTO BRASILEIRO DE GOVERNANCA CORPORATIVA</t>
  </si>
  <si>
    <t>Dispensa Eletrônica</t>
  </si>
  <si>
    <t>Bioseg Brasília Soluções em Segurança e Medicina do Trabalho Ltda.</t>
  </si>
  <si>
    <t>Contratação de empresa especializada na prestação deserviços de treinamento para o curso de NR5 aos novos membros da Comissão Interna de Prevenção de Acidentes e de Assédio (CIPAA) - Gestão 2024/2025</t>
  </si>
  <si>
    <t>O treinamento tem  como objetivo capacitar, atualizar e certificar os novos membros indicados e eleitos  nas ações de formação e/ou condução de trabalhos da CIPAA (Gestão 2024/2025), em atendimento ao currículo básico dos componentes da referida comissão,  previsto pela Norma Regulamentadora nº 05</t>
  </si>
  <si>
    <t>2024NE000682</t>
  </si>
  <si>
    <t>TLB-PRO-2024/01620</t>
  </si>
  <si>
    <t>Aquisição extraordinária de materiais de limpeza para garantir a continuidade da limpeza, higienização e conservação da sede da TELEBRAS.</t>
  </si>
  <si>
    <t>COMERCIAL ALVORADA DE PRODUTOS PARA LIMPEZA E DESCARTÁVEIS LTDA</t>
  </si>
  <si>
    <t>07.888.247/0001-35</t>
  </si>
  <si>
    <t>2024NE000817</t>
  </si>
  <si>
    <t>TLB-PRO-2024/00714</t>
  </si>
  <si>
    <t>TLB-DEG-2024/00047</t>
  </si>
  <si>
    <t>Aquisição de Objetos de Divulgação Mercadológica e Institucional - sacolas - para o ano de 2024</t>
  </si>
  <si>
    <t>SUBLIMA BOLSAS LTDA</t>
  </si>
  <si>
    <t>28.581.587/0001-99</t>
  </si>
  <si>
    <t>TLB-DEG-2024/00054</t>
  </si>
  <si>
    <t>28/02/2024</t>
  </si>
  <si>
    <t>31/12/2024</t>
  </si>
  <si>
    <t>31/12/0000</t>
  </si>
  <si>
    <t>22/03/2024</t>
  </si>
  <si>
    <t>MODALIDADE</t>
  </si>
  <si>
    <t>Nº PROCESSO</t>
  </si>
  <si>
    <t>EMPRESA VENCEDORA</t>
  </si>
  <si>
    <t xml:space="preserve">CNPJ </t>
  </si>
  <si>
    <t xml:space="preserve"> VALOR  FINAL</t>
  </si>
  <si>
    <t>RELAÇÃO CONTRATOS, NOTAS DE EMPENHO E ATA DE REGISTRO DE PREÇOS 2024 - TELEBRAS</t>
  </si>
  <si>
    <t>Nº no COMPRAS.GOV</t>
  </si>
  <si>
    <t>00018/2023</t>
  </si>
  <si>
    <t>00023/2023</t>
  </si>
  <si>
    <t>00017/2023</t>
  </si>
  <si>
    <t>00019/2023</t>
  </si>
  <si>
    <t>00021/2023</t>
  </si>
  <si>
    <t> TLB-PRO-2024/00765</t>
  </si>
  <si>
    <t>90006/2024</t>
  </si>
  <si>
    <t>00025/2023</t>
  </si>
  <si>
    <t>00026/2023</t>
  </si>
  <si>
    <t>90002/2024</t>
  </si>
  <si>
    <t>90001/2024</t>
  </si>
  <si>
    <t>90004/2024</t>
  </si>
  <si>
    <t xml:space="preserve"> TLB-PRO-2023/00682</t>
  </si>
  <si>
    <t xml:space="preserve"> TLB-PRO-2023/06864</t>
  </si>
  <si>
    <t xml:space="preserve"> TLB-PRO-2024/01417</t>
  </si>
  <si>
    <t xml:space="preserve"> TLB-PRO-2024/00769</t>
  </si>
  <si>
    <t xml:space="preserve"> TLB-PRO-2024/00521</t>
  </si>
  <si>
    <t xml:space="preserve"> TLB-PRO-2024/01936</t>
  </si>
  <si>
    <t>TLB-CTR-2024/00051</t>
  </si>
  <si>
    <t>TLB-CTR-2024/00053</t>
  </si>
  <si>
    <t>TLB-CTR-2024/00056</t>
  </si>
  <si>
    <t>TLB-CTR-2024/00057</t>
  </si>
  <si>
    <t>TLB-CTR-2024/00060</t>
  </si>
  <si>
    <t>TLB-CTR-2024/00063</t>
  </si>
  <si>
    <t>TLB-CTR-2024/00064</t>
  </si>
  <si>
    <t xml:space="preserve"> TLB-PRO-2024/02467</t>
  </si>
  <si>
    <t>TLB-TRM-2023/01332</t>
  </si>
  <si>
    <t>TLB-DEG-2024/00073</t>
  </si>
  <si>
    <t>Tiago Carneiro de Lima</t>
  </si>
  <si>
    <t>Aquisição de instrumentos de medida para as estações de controle e acesso do satélite geoestacionário de defesa e comunicações estratégicas - SGDC.</t>
  </si>
  <si>
    <t>KEYSIGHT TECHNOLOGIES MEDIÇÃO BRASIL LTDA</t>
  </si>
  <si>
    <t>19.651.511/0001-00</t>
  </si>
  <si>
    <t>TLB-TRM-2023/00047</t>
  </si>
  <si>
    <t>TLB-DEG-2024/00077</t>
  </si>
  <si>
    <t>Walfrido Rodrigues Melo</t>
  </si>
  <si>
    <t>A contratação de empresa seguradora para prestação de serviços de cobertura securitária na modalidade de Responsabilidade  Civil  D&amp;O  (Directors  and  Officers)  para  membros  do  Conselho  de  Administração,  do Conselho  Fiscal  e  da  Diretoria  Executiva  da  Telebras,  com  emissão  de  apólice  à  base  de  reclamações  com notificação, conforme disposto na Circular SUSEP nº 637, de 27 de julho de 2021.</t>
  </si>
  <si>
    <t>KOVR SEGURADORA S.A.</t>
  </si>
  <si>
    <t>42.366.302/0001-28</t>
  </si>
  <si>
    <t>ASSOCIAÇÃO BRASILEIRA DE ENTIDADES ESTADUAIS E PÚBLICAS DE TECNOLOGIA DA INFORMAÇÃO E COMUNICAÇÕES – ABEP</t>
  </si>
  <si>
    <t>A participação da TELEBRAS no Seminário Nacional de TIC para a Gestão Pública – SECOP 2024, por meiode ação promocional. O evento é organizado exclusivamente pela Associação Brasileira de Entidades Estaduais de Tecnologia da Informação e Comunicação – ABEP e será realizado nos dias 08 e 09 de agosto de 2024 no Hotel Windsor Barra – Rio de Janeiro - RJ.</t>
  </si>
  <si>
    <t xml:space="preserve">TLB-TRM-2024/00320
</t>
  </si>
  <si>
    <t>Raphael Laurindo Bonini</t>
  </si>
  <si>
    <t>TLB-DEG-2024/00081</t>
  </si>
  <si>
    <t>REDE NACIONAL DE APRENDIZAGEM, PROMOÇÃO SOCIAL E INTEGRAÇÃO - RENAPSI</t>
  </si>
  <si>
    <t>37.381.902/0001-25</t>
  </si>
  <si>
    <t>TLB-TRM-2024/00284</t>
  </si>
  <si>
    <t>Rodney Gomes Filipe</t>
  </si>
  <si>
    <t>TLB-DEG-2024/00104</t>
  </si>
  <si>
    <t>A contratação de seguro contra danos e perdas durante 12 (doze) meses para o SGDC em órbita, observadas as disposições técnicas do Anexo 1 - Wording do Seguro do Satélite em Órbita.</t>
  </si>
  <si>
    <t>MAPFRE SEGUROS GERAIS S.A,</t>
  </si>
  <si>
    <t>61.074.175/0001-38</t>
  </si>
  <si>
    <t>TLB-TRM-2024/00511</t>
  </si>
  <si>
    <t>TLB-DEG-2024/00111</t>
  </si>
  <si>
    <t>Hudson Lean da Costa Façanha</t>
  </si>
  <si>
    <t xml:space="preserve">A contratação de empresa especializada para construção  de  rede  metropolitana  aérea  e/ou  subterrânea  no município  de  Brasília  –  DF  trecho  EPIG,  incluindo  além  da  construção  elaboração  de  documentos  de  engenharia  e fornecimento de  materiais,  que  irá  substituir a rede atualmente implantada pela  Telebras  devido às obras do GDF em curso e a serem executadas por toda extensão da Estrada Parque Indústrias Gráficas (EPIG), conforme especificações do Termo de Referência.
 </t>
  </si>
  <si>
    <t>NACIONAL ELETRONICA E TELECOMUNICACOES LTDA</t>
  </si>
  <si>
    <t>44.444.375/0001-16</t>
  </si>
  <si>
    <t>TLB-TRM-2024/00295</t>
  </si>
  <si>
    <t>TLB-DEG-2024/00109</t>
  </si>
  <si>
    <t>Gilson Souza dos Santos</t>
  </si>
  <si>
    <t>A contratação de Consultoria especializada em avaliação patrimonial, com vistas a adequação dos prazos de vida útil e do valor residual e aplicação do teste de recuperabilidade (impairment test).</t>
  </si>
  <si>
    <t>A contratação de Entidade Sem Fins Lucrativos-ESFL que, simultaneamente ao desenvolvimento do programa de aprendizagem, assumirá a condição de empregador, com todos os ônus dela decorrentes, conforme legislação vigente; e, a obrigação de proporcionar ao aprendiz a experiência prática da formação técnico-profissional metódica, necessária para ingresso no mercado de trabalho, segundo as condições do Termo de Referência.</t>
  </si>
  <si>
    <t>CONVERGY SERVIÇOS E CONTABILIDADE LTDA</t>
  </si>
  <si>
    <t>16.935.205/0001-07</t>
  </si>
  <si>
    <t>TLB-CTR-2024/00065</t>
  </si>
  <si>
    <t>GJ</t>
  </si>
  <si>
    <t>TLB-PRO-2024/03711</t>
  </si>
  <si>
    <t>TLB-TRM-2024/00619</t>
  </si>
  <si>
    <t>TLB-DEG-2024/00115</t>
  </si>
  <si>
    <t>Luiz Gabriel Xavier dos Santos</t>
  </si>
  <si>
    <t>a contratação de empresa especializada para prestar os serviços de acompanhamento, por meio de leitura, em nível nacional, dos Diários de Justiça (DJ) de todas as Unidades da Federação e do Diário Oficial da União (DOU), nas formas impressa e eletrônica, bem como de entrega diária, via e-mail, das publicações realizadas em nome da TELECOMUNICAÇÕES BRASILEIRAS S/A - TELEBRAS (e suas derivações) e em nome dos advogados por ela indicados (empregados públicos antigos e atuais).</t>
  </si>
  <si>
    <t>GRIFON DIGITAL SERVICOS LTDA</t>
  </si>
  <si>
    <t>26.579.777/0003-08</t>
  </si>
  <si>
    <t>Art. 28, § 3º, inciso I, da Lei 13.303/2016</t>
  </si>
  <si>
    <t>TLB-PRO-2024/04850</t>
  </si>
  <si>
    <t>A controladoria é um apoio essencial no processo decisório das empresas, permitindo uma visão clara das operações financeiras e seu impacto no desempenho empresarial. Desenvolvido por professores e pesquisadores da FGV, o curso alia tradição acadêmica e práticas de mercado, preparando profissionais para enfrentar os desafios contemporâneos.</t>
  </si>
  <si>
    <t>TLB-TRM-2024/00640</t>
  </si>
  <si>
    <t>2024NE000971</t>
  </si>
  <si>
    <t>TLB-DEG-2024/00117</t>
  </si>
  <si>
    <t>Hugo Portieri Pignatti</t>
  </si>
  <si>
    <t>Contratação de empresa para inscrição  de 03 empregados da Gerencia de Gestão Empresarial (GGE), no curso Controladoria.</t>
  </si>
  <si>
    <t>FUNDACAO GETULIO VARGAS</t>
  </si>
  <si>
    <t>33.641.663/0001-44</t>
  </si>
  <si>
    <t>GPR</t>
  </si>
  <si>
    <t>TLB-PRO-2024/05179</t>
  </si>
  <si>
    <t>O 25º Congresso IBGC - Cultura de Governança e os Desafios do Brasil representa uma valiosa  oportunidade para para a Telebras,  tendo vista que os indicados para participarem do congresso IBGC são Conselheiros de Administração, Conselheiros Fiscais e Membros do Comitê de Auditoria Estatutário (COAUD) da Telebras, que atuam nos respectivos conselhos da empresa. Esses profissionais poderão aprofundar seus conhecimentos em Governança Corporativa, além de participar de um ambiente de debate e troca de experiências com especialistas renomados e demais participantes, contribuindo para o fortalecimento das práticas de governança na Telebras.</t>
  </si>
  <si>
    <t>TLB-TRM-2024/00651</t>
  </si>
  <si>
    <t>2024NE000972</t>
  </si>
  <si>
    <t>TLB-DEG-2024/00116</t>
  </si>
  <si>
    <t>Contratação de empresa para inscrição de 08 representantes dos conselhos Fiscal, de Administração e COAUD no  25º Congresso IBGC - Cultura de Governança e os Desafios do Brasil.</t>
  </si>
  <si>
    <t>TLB-CTR-2024/00072</t>
  </si>
  <si>
    <t>TLB-PRO-2024/03124</t>
  </si>
  <si>
    <t>TLB-TRM-2024/00479</t>
  </si>
  <si>
    <t>O Programa de Estágio, por meio da contratação de Agente de Integração de Estágio, é ato educativo que visa à preparação para o trabalho produtivo do estudante, agregando-lhe complementação do ensino, experiência, vivência em grupo, como também, no âmbito da TELEBRAS, o exercício de colaborar na formação do futuro profissional, integrando conhecimento e prática, dando efetividade à política pública de inserção social, estabelecida pela Lei nº 11.788/2008, em seu 1º artigo:
Art. 1º (...) § 2º O estágio visa ao aprendizado de competências próprias da atividade profissional e à contextualização curricular, objetivando o desenvolvimento do educando para a vida cidadã e para o trabalho.</t>
  </si>
  <si>
    <t>TLB-DEG-2024/00120</t>
  </si>
  <si>
    <t xml:space="preserve">ELAYNE CRISTINA RAMALHO DE SOUSA </t>
  </si>
  <si>
    <t>Contratação de empresa especializada em prestação de serviços de Agente de Integração para intermediar o recrutamento de candidatos, pré-seleção, encaminhamento, acompanhamento e pagamento de bolsa-estágio a estudantes de nível superior, que estejam frequentando o ensino regular em instituições de educação superior, conforme Lei nº 11.788, de 25 de setembro de 2008, para atender às necessidades da Telecomunicações Brasileiras S.A – TELEBRAS, segundo especificações do Termo de Referência.</t>
  </si>
  <si>
    <t xml:space="preserve">AGÊNCIA DE INTEGRAÇÃO EMPRESA ESCOLA - AGIEL </t>
  </si>
  <si>
    <t>01.406.617/0001-74</t>
  </si>
  <si>
    <t>TLB-PRO-2024/04517</t>
  </si>
  <si>
    <t>Art. 30, inciso II, letra "f", da Lei 13.303/2016 e Art. 113, inciso II, letra "f" do Regulamento de Licitações e Contratos da Telebras.</t>
  </si>
  <si>
    <t>Amparados pela legislação trabalhista, os empregados que desempenham atividades com exposição a riscos específicos foram designados para este pedido de capacitação estão lotados na GEOS e GMP e, conforme análise de documentos ocupacionais emitidos pela empresa de Segurança do Trabalho contratada pela TELEBRAS, é imprescindível que realizem os treinamentos relacionados às NRs 06, 10, 12, 20 e 35.</t>
  </si>
  <si>
    <t>TLB-TRM-2024/00671</t>
  </si>
  <si>
    <t>2024NE000985</t>
  </si>
  <si>
    <t>TLB-DEG-2024/00118</t>
  </si>
  <si>
    <t xml:space="preserve">Adryana Ramos de Oliveira </t>
  </si>
  <si>
    <t>Contratação de empresa para inscrição de 27 do(s) empregado(s) lotados na GEOS e GMP designados para os os treinamentos relacionados às NRs 06, 10, 12, 20 e 35.</t>
  </si>
  <si>
    <t>TLB-PRO-2024/05477</t>
  </si>
  <si>
    <t>TLB-TRM-2024/00700</t>
  </si>
  <si>
    <t>2024NE001046</t>
  </si>
  <si>
    <t xml:space="preserve">TLB-DEG-2024/00125 </t>
  </si>
  <si>
    <t>Rosilda Abreu da Silva</t>
  </si>
  <si>
    <t>Contratação da ferramenta de pesquisa e comparação de preços praticados pela administração pública, denominada Banco de Preços</t>
  </si>
  <si>
    <t>NP Tecnologia e Gestão de Dados Ltda</t>
  </si>
  <si>
    <t>07.797.967/0001-95</t>
  </si>
  <si>
    <t>CONTRATOS FORMALIZADOS EM 2024</t>
  </si>
  <si>
    <t xml:space="preserve">INÍCIO DA VIGÊNCIA </t>
  </si>
  <si>
    <t>Serviços de logística de transporte aéreo de carga fracionada.</t>
  </si>
  <si>
    <t>Serviço de recepção para a sede da Telebras.</t>
  </si>
  <si>
    <t>Serviços de logística de transporte rodoviário de carga fracionada.</t>
  </si>
  <si>
    <t>Serviços de Copeiragem e Garçonaria.</t>
  </si>
  <si>
    <t>Aquisição de instrumentos de medida para as estações de controle e acesso do SGDC.</t>
  </si>
  <si>
    <t>Seguro SGDC.</t>
  </si>
  <si>
    <t>Serviços de Agente de Integração - Estágio.</t>
  </si>
  <si>
    <t>1TELECOM SERVIÇOS DE TECNOLOGIAEM INTERNET LTDA (LPU)</t>
  </si>
  <si>
    <t>Contratação dos serviços prestados pela 1Telecom de soluções de Beckup As a Service-Bass, composta pelos serviços de Cloud UM backup, Cloud UM Pro, Cloud UM Storage e Videocloud Um, além dos serviços profissionais e gerenciados UM, objeto. (LPU)</t>
  </si>
  <si>
    <t>Backup as a Service (BaaS)</t>
  </si>
  <si>
    <t>TLB-PRO-2023/00714</t>
  </si>
  <si>
    <t>Fornecimento de soluções de infraestrutura com o fornecimento de contêinere- DWDM e I - Nordeste.</t>
  </si>
  <si>
    <t xml:space="preserve">AGIEL </t>
  </si>
  <si>
    <t>MAPFRE SEGUROS</t>
  </si>
  <si>
    <t>HC COMUNICAÇÃO</t>
  </si>
  <si>
    <t>Fornecimento de soluções de infraestrutura com o fornecimento de contêinere- DWDM e I - Centro Oeste.</t>
  </si>
  <si>
    <t>Serviços de limpeza, higienização e conservação.</t>
  </si>
  <si>
    <t>REI DE OURO MUDANÇAS E TRANSPORTE</t>
  </si>
  <si>
    <t>TLB-CTR-2024/00081</t>
  </si>
  <si>
    <t>TLB-PRO-2024/05280</t>
  </si>
  <si>
    <t>artigo 29, inciso II, da Lei no 13.303 e artigo 112, inciso II</t>
  </si>
  <si>
    <t>contratação de empresa, para fazer recrutamento e seleção de 1 (um) candidato para compor o Comitê de Auditoria Estatutário (COAUD), tendo em vista o término do mandato da senhora Glauben Teixeira de Carvalho</t>
  </si>
  <si>
    <t>TLB-TRM-2024/00734</t>
  </si>
  <si>
    <t>TLB-DEG-2024/00127</t>
  </si>
  <si>
    <t xml:space="preserve">Sarah Lima Moreira Moura </t>
  </si>
  <si>
    <t>O presente Contrato tem por objeto a contratação de contratação de empresa especializada em recrutamento e seleção de profissional, objetivando a seleção de profissional qualificado para integrar o comitê de auditoria estatutário (couad) da telebras.</t>
  </si>
  <si>
    <t>DINÂMICA CONSULTORIA E SOLUÇÕES EMPRESARIAIS LTDA</t>
  </si>
  <si>
    <t>40.828.623/0001-71</t>
  </si>
  <si>
    <t>TLB-CTR-2024/00045</t>
  </si>
  <si>
    <t>TLB-CTR-2024/00084</t>
  </si>
  <si>
    <t>TLB-CTR-2024/00083</t>
  </si>
  <si>
    <t>TLB-PRO-2024/03255</t>
  </si>
  <si>
    <t>TLB-TRM-2024/00576</t>
  </si>
  <si>
    <t>TLB-TRM-2023/01502</t>
  </si>
  <si>
    <t>A aquisição em questão justifica-se pela necessidade de substituição das cadeiras que compõem o mobiliário atual da sede da TELEBRAS, as quais estão em uso há aproximadamente dez anos e apresentam desgastes e danos naturais do uso.</t>
  </si>
  <si>
    <t>A impressão de documentos ainda é uma atividade necessária para o bom andamento das atividades da TELEBRAS, portanto é importantíssimo que a sede, COPE-S e COPE-P disponham de equipamentos sempre em boas condições de funcionamento, buscando assim a economicidade de recursos orçamentários na aquisição de peças e insumos que poderiam não ser utilizados, e evitar o desperdício de recursos humanos na realização de diversas licitações especificas para cada peça ou insumos a serem utilizados.</t>
  </si>
  <si>
    <t xml:space="preserve">Aquisição de 75 (setenta e cinco) cadeiras de escritório ergonômicas a serem utilizadas pelos colaboradores que exercem suas atividades funcionais na sede da Telebras e no COPE, conforme especificações técnicas do Termo de Referência TLB-REF-2023/00157, e da Ata de Registro de Preços TLB-ARP-2024/00001.
 </t>
  </si>
  <si>
    <t>TECNO2000 INDUSTRIA E COMERCIO LTDA</t>
  </si>
  <si>
    <t>O presente Contrato tem por objeto a contratação de empresa especializada para prestação de serviços de locação de equipamentos multifuncionais com impressão, cópia e scanner, para atender as necessidades da TELEBRAS.</t>
  </si>
  <si>
    <t>AMIGGO BRASIL IMPORTACAO LTDA</t>
  </si>
  <si>
    <t>34.787.540/0003-40</t>
  </si>
  <si>
    <t>Em elaboração</t>
  </si>
  <si>
    <t>TLB-DEG-2024/00131</t>
  </si>
  <si>
    <t>Matheus Augusto Sartorio Alves</t>
  </si>
  <si>
    <t>TLB-DEG-2024/00146</t>
  </si>
  <si>
    <t>Fernando Granjeiro de Meneses Junior</t>
  </si>
  <si>
    <t>TLB-CTR-2024/00086</t>
  </si>
  <si>
    <t>TLB-CTR-2024/00090</t>
  </si>
  <si>
    <t>Protocolo</t>
  </si>
  <si>
    <t>TLB-PRO-2024/04046</t>
  </si>
  <si>
    <t>A utilização de cartões visita com logotipo e demais dados que identificam o profissional e o departamento em que trabalha, promovem a presença e o consequente fortalecimento da imagem daquele nos diversos ambientes em que são utilizados. A aquisição de cartões de visita para uso pelos representantes dos colaboradores da Telebras, reflete uma maior eficácia na comunicação com os interessados que com eles contatam, ou desejam contatar, seja por meio telefônico, ou virtual, proporcionando resultados positivos nas relações interpessoais. Assim sendo, faz-se necessária a contratação de serviço especializada na confecção de cartões de visita físicos, uma vez que a Telebras não dispõe dos equipamentos e materiais adequados para realização da produção in loco.</t>
  </si>
  <si>
    <t>TLB-TRM-2024/00758</t>
  </si>
  <si>
    <t>10/12/2024</t>
  </si>
  <si>
    <t>10/12/2025</t>
  </si>
  <si>
    <t>O presente Contrato tem por objeto a contratação de Contratação de serviços para a confecção e fornecimento de cartões de visitas personalizados, sob demanda, para atender as diretorias, as gerências e demais departamentos da sede da Telebras.</t>
  </si>
  <si>
    <t>OTT SERVIÇOES GRÁFICOS LTDA</t>
  </si>
  <si>
    <t>54.064.037/0001-02</t>
  </si>
  <si>
    <t>TLB-PRO-2024/03665</t>
  </si>
  <si>
    <t>Estes serviços visam manter em perfeitas condições de uso os equipamentos que integram o sistema de prevenção de incêndio da Telebras, em atendimento às normas vigentes, atentando-se apara as especificações e quantidades instaladas na sede desta Sociedade e, para a validade dos procedimentos de recarga constantes de suas etiquetas.</t>
  </si>
  <si>
    <t>TLB-TRM-2024/00676</t>
  </si>
  <si>
    <t>17/12/2024</t>
  </si>
  <si>
    <t>17/12/2029</t>
  </si>
  <si>
    <t>O presente Contrato tem por objeto a contratação de empresa especializada na prestação de serviços de inspeção e recarga de extintores para atender as necessidades da sede da telebras.</t>
  </si>
  <si>
    <t>PRIME COMÉRCIO E SERVIÇOS DE EXTINTORES</t>
  </si>
  <si>
    <t>09.098.197/0001-18</t>
  </si>
  <si>
    <t>TLB-DEG-2024/00151</t>
  </si>
  <si>
    <t>TLB-DEG-2024/00152</t>
  </si>
  <si>
    <t>Luiza de Albuquerque Thees Ribeiro</t>
  </si>
  <si>
    <t>TLB-CTR-2024/00091</t>
  </si>
  <si>
    <t>TLB-CTR-2024/00092</t>
  </si>
  <si>
    <t>TLB-CTR-2024/00093</t>
  </si>
  <si>
    <t>TLB-CTR-2024/00095</t>
  </si>
  <si>
    <t>TLB-CTR-2024/00096</t>
  </si>
  <si>
    <t>TLB-PRO-2024/06032</t>
  </si>
  <si>
    <t>O objetivo deste documento é detalhar o estudo técnico realizado pela Gerência de Planejamento e Controle e registrado nas Notas Técnicas de Planejamento (NTP), preparando para o processo licitatório, desenvolvendo o documento PROJETO BÁSICO e seus anexos, que irão compor o processo licitatório.</t>
  </si>
  <si>
    <t>TLB-TRM-2024/00749</t>
  </si>
  <si>
    <t xml:space="preserve">Em elaboralção </t>
  </si>
  <si>
    <t>18/12/2024</t>
  </si>
  <si>
    <t>18/12/2028</t>
  </si>
  <si>
    <t>19/12/2024</t>
  </si>
  <si>
    <t>19/12/2028</t>
  </si>
  <si>
    <t>O presente Contrato tem por objeto a contratação de Contratação, mediante afastamento licitatório, da construção de backhaul e rede metropolitana aérea e/ou subterrânea.</t>
  </si>
  <si>
    <t>O presente Contrato tem por objeto a contratação, mediante afastamento licitatório, da construção de backhaul e rede metropolitana aérea e/ou subterrânea.</t>
  </si>
  <si>
    <t>CLEMAR ENGENHARIA LTDA</t>
  </si>
  <si>
    <t>ADTK COMERCIO E SERVIÇOS DE INFORMÁTICA E TELECOMUNICAÇÕES S.A</t>
  </si>
  <si>
    <t>3CORP TECHNOLOGY INFRAESTRUTURA DE TELECOM LTDA</t>
  </si>
  <si>
    <t>04.238.297/0004-21</t>
  </si>
  <si>
    <t>08.157.504/0001-21</t>
  </si>
  <si>
    <t>83.932.418/0001-64</t>
  </si>
  <si>
    <t>TLB-PRO-2024/06802</t>
  </si>
  <si>
    <t>Esta  contrataÁ„o  est·  alinhada  ao  Plano Plurianual  (PPA)  2024 – 2027  do  Governo  Federal  que  estabelece,  de  forma regionalizada, as diretrizes, os objetivos e as metas da administraÁ„o p ̇blica para as despesas de capital e outras delas decorrentes, e para as relativas aos programas de duraÁ„o continuada.</t>
  </si>
  <si>
    <t>TLB-TRM-2024/01250</t>
  </si>
  <si>
    <t>27/12/2024</t>
  </si>
  <si>
    <t>27/12/2028</t>
  </si>
  <si>
    <t>O presente Contrato tem por objeto a contratação, mediante afastamento licitatório, da construção de backhaul e rede metropolitana aérea e/ou subterrânea, INFOVIA – MA, fase 2.</t>
  </si>
  <si>
    <t>HC COMUNICAÇÃO DE DADOS LTDA</t>
  </si>
  <si>
    <t>07.436.280/001-87</t>
  </si>
  <si>
    <t>O presente Contrato tem por objeto a contratação, mediante afastamento licitatório, da construção de backhaul e rede metropolitana aérea e/ou subterrânea, INFOVIA - MA, 2ª Fase.</t>
  </si>
  <si>
    <t>(%)
QTD CONTRATOS</t>
  </si>
  <si>
    <t>VALOR CONTRATADO</t>
  </si>
  <si>
    <t>( % )
VALOR CONTRATADO</t>
  </si>
  <si>
    <t>QTD CONTRATOS</t>
  </si>
  <si>
    <t>28.1</t>
  </si>
  <si>
    <t>TLB-DEG-2025/00001</t>
  </si>
  <si>
    <t>TLB-DEG-2025/00003</t>
  </si>
  <si>
    <t>TLB-DEG-2025/00002</t>
  </si>
  <si>
    <t>Andrei Tunes Claro de Oliveira</t>
  </si>
  <si>
    <t>TLB-DEG-2025/00005</t>
  </si>
  <si>
    <t>TLB-DEG-2025/00004</t>
  </si>
  <si>
    <t>David Bernardes de Andrade Passos</t>
  </si>
  <si>
    <t>TLB-CTR-2025/00003</t>
  </si>
  <si>
    <t>TLB-PRO-2024/01946</t>
  </si>
  <si>
    <t>O objeto da contratação, qual seja: Contratação de empresa especializada para fornecimento de solução de ampliação da maturidade de ambiente computacional, envolvendo operação de Central de Suporte Técnico (Service Desk), com registro e acompanhamento de serviços especializados, aferidos e remunerados exclusivamente por Acordos de Nível de Serviço (ANS), visando prover a TELEBRAS de manutenção e evolução da saúde operacional de sua infraestrutura, conforme especificação do termo de referência, enquadra-se na categoria de bens e serviços comuns, de que trata a Lei nº 14.133/2021, o Decreto nº 3.555/2000 e o art. 93, § 1° do Regulamento de Licitações da Telebras por possuir padrões de desempenho e características gerais e específicas usualmente encontradas no mercado, podendo ser licitado por meio da modalidade Pregão, conforme item 5 do Termo de Referência nº TLB-REF-2024/00114-A, de 23 de setembro de 2024.</t>
  </si>
  <si>
    <t>TLB-TRM-2024/00637</t>
  </si>
  <si>
    <t>24/01/2025</t>
  </si>
  <si>
    <t>24/01/2030</t>
  </si>
  <si>
    <t>O presente Contrato tem por objeto a contratação de empresa especializada para fornecimento de solução de ampliação da maturidade de ambiente computacional, envolvendo operação de Central de Suporte Técnico (Service Desk), com registro e acompanhamento de serviços especializados, aferidas e remunerados exclusivamente por Acordos de Nível de Serviço (ANS), visando prover a TELEBRAS de manutenção e evolução da saúde operacional de sua infraestrutura.</t>
  </si>
  <si>
    <t>G4F SOLUÇÕES CORPORATIVAS LTDA</t>
  </si>
  <si>
    <t>07.094.346/0001-45</t>
  </si>
  <si>
    <t>TLB-PRO-2024/04040</t>
  </si>
  <si>
    <t>TLB-PRO-2024/05723</t>
  </si>
  <si>
    <t>TLB-PRO-2024/06064</t>
  </si>
  <si>
    <t>TLB-PRO-2024/06203</t>
  </si>
  <si>
    <t>TLB-PRO-2024/06226</t>
  </si>
  <si>
    <t>TLB-PRO-2024/06217</t>
  </si>
  <si>
    <t>TLB-PRO-2024/06221</t>
  </si>
  <si>
    <t>TLB-PRO-2024/06280</t>
  </si>
  <si>
    <t>TLB-PRO-2024/06285</t>
  </si>
  <si>
    <t>TLB-PRO-2024/06308</t>
  </si>
  <si>
    <t>TLB-PRO-2024/06369</t>
  </si>
  <si>
    <t>TLB-PRO-2024/06355</t>
  </si>
  <si>
    <t>TLB-PRO-2024/06358</t>
  </si>
  <si>
    <t>TLB-PRO-2024/06390</t>
  </si>
  <si>
    <t>TLB-PRO-2024/06363</t>
  </si>
  <si>
    <t>TLB-PRO-2024/06341</t>
  </si>
  <si>
    <t>2024NE000946</t>
  </si>
  <si>
    <t>2024NE001059</t>
  </si>
  <si>
    <t>2024NE001078</t>
  </si>
  <si>
    <t>2024NE001081</t>
  </si>
  <si>
    <t>2024NE001084</t>
  </si>
  <si>
    <t>2024NE001085</t>
  </si>
  <si>
    <t>2024NE001082</t>
  </si>
  <si>
    <t>2024NE001088</t>
  </si>
  <si>
    <t>2024NE001105</t>
  </si>
  <si>
    <t>2024NE001098</t>
  </si>
  <si>
    <t>2024NE001103</t>
  </si>
  <si>
    <t>2024NE001108</t>
  </si>
  <si>
    <t>2024NE001104</t>
  </si>
  <si>
    <t>2024NE001110</t>
  </si>
  <si>
    <t>2024NE001109</t>
  </si>
  <si>
    <t>2024NE001137</t>
  </si>
  <si>
    <t>Capacitação Controladoria</t>
  </si>
  <si>
    <t>Contratação de empresa especializada em assessoria esportiva, organização, apoio técnico, logístico e estrutural para participação da equipe de colaboradores da Telebras, em caminhada (3km) e corrida (5km e 10km) no evento MARATONA MONUMENTAL DE BRASÍLIA em comemoração ao aniversário de 52 anos da empresa e a Semana Interna de Prevenção de Acidentes do Trabalho (SIPAT), no dia 23/11/2024, com largada prevista às 18h, na Esplanada dos Ministérios, em Brasília/DF.</t>
  </si>
  <si>
    <t>Capacitação Credenciamento</t>
  </si>
  <si>
    <t>Curso Governança Corporativa para Empresas Estatais</t>
  </si>
  <si>
    <t>Treinamento na Trilha: Tecnologia celular 4G – LTE</t>
  </si>
  <si>
    <t>Formação de Facilitadores em Modelagem da Cultura Organizacional</t>
  </si>
  <si>
    <t>Capacitação Técnica em Comunicação e Produção de Conteúdo para Gestão do Conhecimento.</t>
  </si>
  <si>
    <t>Desenvolvimento de Talentos e Gestão de Carreiras</t>
  </si>
  <si>
    <t>Curso de COBIT®️ 2019 Foundation para profissionais lotados na GTI</t>
  </si>
  <si>
    <t>Curso básico de DevOps, identificado como DevOps Fundamentos, na TRAINNING Education Center para os colaboradores da GTI</t>
  </si>
  <si>
    <t>Curso/Treinamento: Relações com Investidores na prática: Completo</t>
  </si>
  <si>
    <t>Capacitação GID Análise de dados</t>
  </si>
  <si>
    <t>Capacitação em modelagem de dados e Automação</t>
  </si>
  <si>
    <t>Treinamento Executivo - Risk University Imersão</t>
  </si>
  <si>
    <t>Treinamento: Habilidades de T&amp;D</t>
  </si>
  <si>
    <t>Treinamento e Certificação CISSP - Certified Information Systems Security Professional</t>
  </si>
  <si>
    <t>Rafael de Carvalho Paniago</t>
  </si>
  <si>
    <t>TLB-DEG-2025/00006</t>
  </si>
  <si>
    <t>TLB-CTR-2025/00004</t>
  </si>
  <si>
    <t>TLB-CTR-2025/00007</t>
  </si>
  <si>
    <t>TLB-PRO-2024/02695</t>
  </si>
  <si>
    <t>TLB-TRM-2024/00614</t>
  </si>
  <si>
    <t>Em um cenário empresarial cada vez mais competitivo, a realização de eventos corporativos de sucesso é fundamental para fortalecer a marca, engajar colaboradores e prospectar novos clientes. No entanto, a organização de um evento demanda tempo, expertise e recursos que muitas vezes as empresas não possuem internamente. É nesse contexto que a contratação de uma empresa especializada em eventos corporativos se torna uma solução estratégica.</t>
  </si>
  <si>
    <t>07/02/2025</t>
  </si>
  <si>
    <t>07/02/2026</t>
  </si>
  <si>
    <t>O presente Contrato tem por objeto a contratação de empresa especializada na prestação de serviços de apoio logístico na produção de eventos, sob demanda, compreendendo o planejamento, a organização, a promoção, a execução e o acompanhamento de organização de eventos e serviços correlatos, para atender demanda da telebras.</t>
  </si>
  <si>
    <t>EXEMPLUS COMUNICAÇÃO E MARKETING LTDA</t>
  </si>
  <si>
    <t>72.638.372/0001-59</t>
  </si>
  <si>
    <t>Diante do exposto, ficou comprovado que a contratação em tela irá auxiliar no desenvolvimento da área de Controladoria, e trará inúmeros benefícios para a Telebras. Esta capacitação será realizada pela Fundação Getúlio Vargas, que é uma referência em educação executiva no país, com profissionais de notória especialização, especialistas em suas respectivas áreas de atuação, em face de suas formações técnicas</t>
  </si>
  <si>
    <t>TLB-TRM-2024/00586</t>
  </si>
  <si>
    <t>TLB-DEG-2024/00106</t>
  </si>
  <si>
    <t>29/08/2024</t>
  </si>
  <si>
    <t>29/08/2025</t>
  </si>
  <si>
    <t>Fundação Getulio Vargas</t>
  </si>
  <si>
    <t xml:space="preserve"> 33.641.663/0001-44</t>
  </si>
  <si>
    <t>TLB-TRM-2024/00740</t>
  </si>
  <si>
    <t>Contratação de empresa especializada em assessoria esportiva, organização, apoio técnico, logístico e estrutural para participação da equipe de colaboradores da Telebras, em caminhada (3km) e corrida (5km e  10km), em comemoração ao aniversário de 52 anos da empresa e a Semana Interna de Prevenção de Acidentes do Trabalho (SIPAT). A participação dos colaboradores será no evento Maratona Monumental de Brasília/DF, no dia 23 de novembro de 2024, com largada prevista para às 18h,  na Esplanada dos Ministérios, em Brasília/DF.</t>
  </si>
  <si>
    <t>TLB-DEG-2024/00126</t>
  </si>
  <si>
    <t>08/11/2024</t>
  </si>
  <si>
    <t>08/11/2025</t>
  </si>
  <si>
    <t>MARCIA GONCALVES FARIA ROSA</t>
  </si>
  <si>
    <t>16.454.959/0001-37</t>
  </si>
  <si>
    <t>TLB-TRM-2024/00773</t>
  </si>
  <si>
    <t>Visando atender a despesa com a contratação da capacitação "Credenciamento na lei N° 14.133/2021 e na Lei N ° 13.303/2016 - Com enfoque aplicado"</t>
  </si>
  <si>
    <t>TLB-DEG-2024/00129</t>
  </si>
  <si>
    <t>27/11/2024</t>
  </si>
  <si>
    <t>27/11/2025</t>
  </si>
  <si>
    <t>TLB-TRM-2024/00857</t>
  </si>
  <si>
    <t>TLB-DEG-2024/00130</t>
  </si>
  <si>
    <t>29/11/2024</t>
  </si>
  <si>
    <t>29/11/2025</t>
  </si>
  <si>
    <t>INSTITUTO BRASILEIRO DE GOVERNANCA CORPORATIV</t>
  </si>
  <si>
    <t>GPEI</t>
  </si>
  <si>
    <t>TLB-TRM-2024/00917</t>
  </si>
  <si>
    <t>Visando atender a despesa com a contratação da capacitação “Governança Corporativa para Empresas Estatais”</t>
  </si>
  <si>
    <t>Visando atender a despesa com a Contratação do treinamento na “Trilha: Tecnologia celular 4G – LTE”</t>
  </si>
  <si>
    <t>TLB-DEG-2024/00134</t>
  </si>
  <si>
    <t>02/12/2024</t>
  </si>
  <si>
    <t>02/12/2025</t>
  </si>
  <si>
    <t>FUNDACAO INSTITUTO NACIONAL DE TELECOMUNICACO</t>
  </si>
  <si>
    <t>24.492.886/0001-04</t>
  </si>
  <si>
    <t>Visando atender a despesa com a contratação da capacitação “Formação de Facilitadores em Modelagem da Cultura Organizacional”</t>
  </si>
  <si>
    <t>TLB-TRM-2024/00922</t>
  </si>
  <si>
    <t>TLB-DEG-2024/00135</t>
  </si>
  <si>
    <t>Madalene Menezes Vertelo</t>
  </si>
  <si>
    <t>AKADEMIA DE TRANSFORMACAO ORGANIZACIONAL LTDA</t>
  </si>
  <si>
    <t>29.484.585/0001-44</t>
  </si>
  <si>
    <t>Visando atender a despesa com a contratação da capacitação "Técnica em Comunicação e Produção de Conteúdo para Gestão do Conhecimento"</t>
  </si>
  <si>
    <t>TLB-TRM-2024/00918</t>
  </si>
  <si>
    <t>TLB-DEG-2024/00136</t>
  </si>
  <si>
    <t>Camila Daniela Lima De Souza Gomes</t>
  </si>
  <si>
    <t>MARIANA RODRIGUES DE LIMA</t>
  </si>
  <si>
    <t>52.552.337/0001-05</t>
  </si>
  <si>
    <t>Visando atender a despesa com a contratação da capacitação “Desenvolvimento de Talentos e Gestão de Carreiras”</t>
  </si>
  <si>
    <t>TLB-TRM-2024/00973</t>
  </si>
  <si>
    <t>TLB-DEG-2024/00138</t>
  </si>
  <si>
    <t>04/12/2024</t>
  </si>
  <si>
    <t>04/12/2025</t>
  </si>
  <si>
    <t>BMEC EDUCACIONAL LTDA</t>
  </si>
  <si>
    <t>04.298.309/0007-56</t>
  </si>
  <si>
    <t>Visando atender a despesa com a contratação da capacitação "COBIT® 2019 Foundation"</t>
  </si>
  <si>
    <t>TLB-TRM-2024/01035</t>
  </si>
  <si>
    <t>TLB-DEG-2024/00145</t>
  </si>
  <si>
    <t>SINGULARES TECNOLOGIA DA INFORMACAO LTDA</t>
  </si>
  <si>
    <t>23.992.391/0001-73</t>
  </si>
  <si>
    <t>05/12/2024</t>
  </si>
  <si>
    <t>05/12/2025</t>
  </si>
  <si>
    <t>TLB-TRM-2024/00993</t>
  </si>
  <si>
    <t>TLB-DEG-2024/00139</t>
  </si>
  <si>
    <t>MINDWORKS - TECNOLOGIA E TREINAMENTO LTDA</t>
  </si>
  <si>
    <t>48.933.398/0001-45</t>
  </si>
  <si>
    <t>Visando atender a despesa com a contratação do Curso Relações com Investidores na prática: Completo, promovido pela Faculdade FIPECAFI, realizado no formato on-line, totalizando 40h/a</t>
  </si>
  <si>
    <t>Visando atender a despesa com a contratação empresa para inscrição de 10 empregados, da GTI no curso "DevOps Fundamentos". O curso será promovido pela TRAINNING Education Center (ornecedor:MINDWORKS -TECNOLOGIA E TREINAMENTO LTDA)</t>
  </si>
  <si>
    <t>TLB-TRM-2024/01030</t>
  </si>
  <si>
    <t>TLB-DEG-2024/00140</t>
  </si>
  <si>
    <t>FUNDACAO INSTITUTO DE PESQUISAS CONTABEIS, AT</t>
  </si>
  <si>
    <t>46.359.865/0001-40</t>
  </si>
  <si>
    <t>Visando atender a despesa com a contratação da capacitação "Business Intelligence usando o Microsoft Power BI - Analyzing Data with Power BI - MS - PL-300 (Power BI)"</t>
  </si>
  <si>
    <t>TLB-TRM-2024/01047</t>
  </si>
  <si>
    <t>TLB-DEG-2024/00142</t>
  </si>
  <si>
    <t>GID</t>
  </si>
  <si>
    <t>TLB-TRM-2024/01024</t>
  </si>
  <si>
    <t>TLB-DEG-2024/00143</t>
  </si>
  <si>
    <t>Visando atender a despesa com a contratação da capacitação “Formação Cientista de Dados com Big Data - Data Science &amp; Analytics - Python Foundation + Python Aplicado a Big Data + Big Data Hadoop + Business Intelligence usando o Microsoft Power BI”</t>
  </si>
  <si>
    <t>Visando atender a despesa com a contratação da capacitação "Treinamento Executivo Risk University Imersão"</t>
  </si>
  <si>
    <t>TLB-TRM-2024/01048</t>
  </si>
  <si>
    <t>TLB-DEG-2024/00144</t>
  </si>
  <si>
    <t>KPMG ASSURANCE SERVICES LTDA</t>
  </si>
  <si>
    <t>06.240.429/0007-28</t>
  </si>
  <si>
    <t>TLB-TRM-2024/01049</t>
  </si>
  <si>
    <t>TLB-DEG-2024/00147</t>
  </si>
  <si>
    <t>ABTD ASSOCIACAO BRASILEIRA DE TREINAMENTO</t>
  </si>
  <si>
    <t>43.730.787/0001-50</t>
  </si>
  <si>
    <t>Visando atender a despesa com a contratação do treinamento e certificação CISSP - Certified Information Systems Security Professional</t>
  </si>
  <si>
    <t>TLB-TRM-2024/01180</t>
  </si>
  <si>
    <t>TLB-DEG-2024/00150</t>
  </si>
  <si>
    <t>17/12/2025</t>
  </si>
  <si>
    <t>KA SOLUTION INFORMATICA LTDA</t>
  </si>
  <si>
    <t>04.527.228/0001-95</t>
  </si>
  <si>
    <t>TLB-PRO-2024/02577</t>
  </si>
  <si>
    <t>Visando implantação, integração, treinamento e suporte técnico de plataforma DNS (Domain Name Service), a fim de ampliar o sistema atualmente existente na Rede da Telebras aproveitando as licenças perpetua atualmente existentes</t>
  </si>
  <si>
    <t>TLB-TRM-2024/00677</t>
  </si>
  <si>
    <t>06/02/2025</t>
  </si>
  <si>
    <t>06/02/2030</t>
  </si>
  <si>
    <t>O presente Contrato tem por objeto a contratação de empresa ou consórcio no fornecimento, para implantação, integração, treinamento e suporte técnico de plataforma DNS (Domain Name Service), a fim de ampliar o sistema atualmente existente na Rede da Telebras aproveitando as licenças perpetua atualmente existentes.</t>
  </si>
  <si>
    <t>CONSÓRCIO INBLOKO</t>
  </si>
  <si>
    <t>57.687.613/0001-66</t>
  </si>
  <si>
    <t>2025</t>
  </si>
  <si>
    <t>TLB-DEG-2025/00012</t>
  </si>
  <si>
    <t>TLB-CTR-2025/00011</t>
  </si>
  <si>
    <t>TLB-PRO-2024/03168</t>
  </si>
  <si>
    <t>Contratação de soluções de infraestrutura de rede de dados e telecomunicações, serviços de conectividade de rede local com fio (LAN) e sem fio (WLAN), proteção de redes com equipamentos do tipo Firewall UTM NGFW, solução de controle de acesso à rede, solução de identificação e autenticação centralizada, solução de plataforma SD-WAN, além de solução de múltiplo fator de autenticação (Token MFA), bem como os serviços necessários para sua implementação e operação,</t>
  </si>
  <si>
    <t>TLB-TRM-2025/00113</t>
  </si>
  <si>
    <t>19/02/2025</t>
  </si>
  <si>
    <t>19/02/2028</t>
  </si>
  <si>
    <t>O presente Contrato tem por objeto a contratação de soluções de infraestrutura de rede de dados e telecomunicações, serviços de conectividade de rede local com fio (LAN) e sem fio (WLAN), proteção de redes com equipamentos do tipo Firewall UTM NGFW, solução de controle de acesso à rede, solução de identificação e autenticação centralizada, solução de plataforma SD-WAN, além de solução de múltiplo fator de autenticação (Token MFA), bem como os serviços necessários para sua implementação e operação.</t>
  </si>
  <si>
    <t xml:space="preserve"> ALLTECH SOLUÇÕES EM TECNOLOGIA LTDA</t>
  </si>
  <si>
    <t>CONTRATAÇÃO DE EMPRESA ESPECIALIZADA EM SERVIÇOS DE LOGÍSTICA DE TRANSPORTE RODOVIÁRIO DE CARGA FRACIONADA, POR DEMANDA, INCLUINDO COLETA E REMESSA EM ÂMBITO NACIONAL, DE ENCOMENDAS, CARGAS (EQUIPAMENTOS E DEMAIS MATERIAIS) E MUDANÇAS, INCLUINDO O MAQUINÁRIO EVENTUALMENTE NECESSÁRIO PARA A MOVIMENTAÇÃO DE CARGA E DESCARGA (EMPILHADEIRA, PALLET, MUNCK), COM FORNECIMENTO DE EMBALAGENS, POR MEIO DO SISTEMA PORTA-A-PORTA, COM POSSIBILIDADE DE INTEGRAÇÃO ENTRE MODAIS.</t>
  </si>
  <si>
    <t>Contratação de empresa especializada para prestar os serviços de acompanhamento, por meio de leitura, em nível nacional, dos Diários de Justiça (DJ) de todas as Unidades da Federação e do Diário Oficial da União (DOU), nas formas impressa e eletrônica, bem como de entrega diária, via e-mail, das publicações realizadas em nome da TELECOMUNICAÇÕES BRASILEIRAS S/A - TELEBRAS (e suas derivações) e em nome dos advogados por ela indicados (empregados públicos antigos e atuais).</t>
  </si>
  <si>
    <t>Mirele de Almeida Mencari</t>
  </si>
  <si>
    <t>TLB-DEG-2025/00018</t>
  </si>
  <si>
    <t>TLB-PRO-2025/01026</t>
  </si>
  <si>
    <t>Art. 30, inciso II, da Lei nº 13.303/2016</t>
  </si>
  <si>
    <t>TLB-ASS-2024/11008</t>
  </si>
  <si>
    <t>TLB-DEG-2024/00098</t>
  </si>
  <si>
    <t>Janine Oliveira</t>
  </si>
  <si>
    <t>30/07/2024</t>
  </si>
  <si>
    <t>31/07/2025</t>
  </si>
  <si>
    <t>Filiação da Telebras à Fundação Nacional da Qualidade - FNQ</t>
  </si>
  <si>
    <t>Fundação Nacional da Qualidade (FNQ)</t>
  </si>
  <si>
    <t>07.704.559/0001-89</t>
  </si>
  <si>
    <t>TLB-PRO-2024/02177</t>
  </si>
  <si>
    <t>A contratação de empresa especializada para prestação de serviços continuados de transporte, com fornecimento de veículos e mão de obra de motoristas habilitados, por possuir padrões de desempenho e características gerais e específicas, usualmente encontradas no mercado.</t>
  </si>
  <si>
    <t>TLB-TRM-2024/00514</t>
  </si>
  <si>
    <t>TLB-CTR-2025/00013</t>
  </si>
  <si>
    <t>28/02/2025</t>
  </si>
  <si>
    <t>28/02/2030</t>
  </si>
  <si>
    <t>O presente contrato tem por objeto a contratação de  empresa  especializada  para  a  prestação  de serviços continuados de transporte, com fornecimento de veículos e mão de obra de motoristas habilitados, para o  transporte  de  pessoas  para  atender  a  demanda  da  Telebras  em  deslocamentos,  com  franquia  de  1700  km  por veículo por mês, conforme especificações técnicas e operacionais constantes do Termo de Referência TLB-REF-2024/00148-A , e mediante o fornecimento de mão de obra exclusiva.</t>
  </si>
  <si>
    <t>BR 22 ALUGUEL DE CARROS</t>
  </si>
  <si>
    <t>06.177.379/0001-96</t>
  </si>
  <si>
    <t>TLB-CTR-2025/00014</t>
  </si>
  <si>
    <t>TLB-PRO-2024/04607</t>
  </si>
  <si>
    <t>A contratação de empresa especializada para prestação de serviços continuados de serviço de carregadores na Sede da Telebras, por possuir padrões de desempenho e características gerais e específicas, usualmente encontradas no mercado</t>
  </si>
  <si>
    <t>TLB-TRM-2024/00754</t>
  </si>
  <si>
    <t>07/03/2025</t>
  </si>
  <si>
    <t>07/03/2030</t>
  </si>
  <si>
    <t>O presente contrato tem por objeto a contratação de empresa para prestação de serviço de carregadores na sede da telebras com fornecimento de todos os equipamentos necessários à perfeita execução do objeto, com mão de obra exclusiva.</t>
  </si>
  <si>
    <t>SAARA OBRAS E SERVICOS LTDA</t>
  </si>
  <si>
    <t>05.228.723/0001-66</t>
  </si>
  <si>
    <t xml:space="preserve">O presente contrato tem por objeto a contratação de  empresa  especializada  para  a  prestação  de serviços continuados de transporte, com fornecimento de veículos e mão de obra de motoristas habilitados, para o  transporte  de  pessoas  para  atender  </t>
  </si>
  <si>
    <t>Aquisição de cadeiras de escritório para a sede da Telebras.</t>
  </si>
  <si>
    <t>Nº ARP</t>
  </si>
  <si>
    <t>NATUREZA DA ARP (Gestão)</t>
  </si>
  <si>
    <t>ANO ARP</t>
  </si>
  <si>
    <t>VALOR DA ARP</t>
  </si>
  <si>
    <t>Nº RC ATA</t>
  </si>
  <si>
    <t>10014630</t>
  </si>
  <si>
    <t>Soma de VALOR DA ARP</t>
  </si>
  <si>
    <t>TLB-ARP-2025/00002</t>
  </si>
  <si>
    <t>TLB-ARP-2025/00003</t>
  </si>
  <si>
    <t>TLB-ARP-2025/00004</t>
  </si>
  <si>
    <t>TLB-ARP-2025/00005</t>
  </si>
  <si>
    <t>TLB-ARP-2025/00006</t>
  </si>
  <si>
    <t>TLB-ARP-2025/00007</t>
  </si>
  <si>
    <t>PE SRP nº 90004/2025</t>
  </si>
  <si>
    <t>BRASOFTWARE INFORMATICA LTDA</t>
  </si>
  <si>
    <t>57.142.978/0001-05</t>
  </si>
  <si>
    <t>TLB-PRO-2024/00975</t>
  </si>
  <si>
    <t>Pregão Eletrônico SRP</t>
  </si>
  <si>
    <t>Contratação de serviços de direito de uso de softwares Microsoft para prover solução de colaboração corporativa, bem como atualização tecnológica das soluções autenticação e servidores de arquivos para atendimento das demandas da Telebras.</t>
  </si>
  <si>
    <t>10/03/2025</t>
  </si>
  <si>
    <t>10/03/2026</t>
  </si>
  <si>
    <t>TLB-PRO-2024/04862</t>
  </si>
  <si>
    <t>PE SRP nº 90003/2025</t>
  </si>
  <si>
    <t>Aquisição de EPI - LOTE III</t>
  </si>
  <si>
    <t>Aquisição de EPI - LOTE II</t>
  </si>
  <si>
    <t>Aquisição de EPI - LOTE IV; LOTE V; e LOTE VI</t>
  </si>
  <si>
    <t>TLB-PRO-2023/06619</t>
  </si>
  <si>
    <t>PE SRP nº 90011/2024</t>
  </si>
  <si>
    <t>Contratação de serviço de aquisição de locais, licenciamento e renovação de licenças para sites da Telebras - Site Acquisition -  GRUPO III e GRUPO V.</t>
  </si>
  <si>
    <t>Contratos assinados por período</t>
  </si>
  <si>
    <t>Contratos assinados por período - 2025</t>
  </si>
  <si>
    <t>Contratações acima de 500 mil</t>
  </si>
  <si>
    <t>TOTAL</t>
  </si>
  <si>
    <t>Contratos de afastamento formalizados -  2024</t>
  </si>
  <si>
    <t>ATAS DE REGISTROS DE PREÇOS (ARPs) 2024</t>
  </si>
  <si>
    <t>Contratação, mediante afastamento licitatório, da construção de rede metropolitana aérea e/ou subterrânea no estado do Maranhão. GRUPOS 3, 4, 5, 6 e 7</t>
  </si>
  <si>
    <t>Contratação, mediante afastamento licitatório, da construção de rede metropolitana aérea e/ou subterrânea no estado do Maranhão. GRUPO 2</t>
  </si>
  <si>
    <t xml:space="preserve">Contratação, mediante afastamento licitatório, da construção de rede metropolitana aérea e/ou subterrânea no estado do Maranhão. GRUPO 1 </t>
  </si>
  <si>
    <t>Contratação, mediante afastamento licitatório, da construção de backhaul e rede metropolitana aérea e/ou subterrânea, INFOVIA - MA, 2ª Fase. BLOCOS: 1, 2, 3, 4, 6, 7, 8 e 9.</t>
  </si>
  <si>
    <t>Contratação, mediante afastamento licitatório, da construção de backhaul e rede metropolitana aérea e/ou subterrânea, INFOVIA - MA, 2ª Fase. BLOCO: 5</t>
  </si>
  <si>
    <t>00027/2023</t>
  </si>
  <si>
    <t>00014/2023</t>
  </si>
  <si>
    <t>TLB-DEG-2025/00036</t>
  </si>
  <si>
    <t>TLB-DEG-2025/00040</t>
  </si>
  <si>
    <t>TLB-DEG-2025/00037</t>
  </si>
  <si>
    <t>Matheus Augusto Sartório Alves</t>
  </si>
  <si>
    <t>TLB-CTR-2025/00017</t>
  </si>
  <si>
    <t>TLB-CTR-2025/00021</t>
  </si>
  <si>
    <t>TLB-CTR-2025/00022</t>
  </si>
  <si>
    <t>TLB-CTR-2025/00023</t>
  </si>
  <si>
    <t>TLB-CTR-2025/00024</t>
  </si>
  <si>
    <t>TLB-PRO-2024/05944</t>
  </si>
  <si>
    <t>TLB-TRM-2025/00119</t>
  </si>
  <si>
    <t xml:space="preserve"> A contratação dos serviços descritos no objeto se faz necessária para tornar mais eficientes as atualizações e as pesquisas feitas pelos colaboradores da Gerência de Contabilidade (13 usuários), Gerência de Gestão de Pessoas (2 usuários), Gerência Jurídica (2 usuários), Gerência Jurídica (2 usuários), Gerência de Integridade, Riscos, Conformidade e Controle Interno (2 usuários), Gerência de Auditoria Interna (3 usuários) e Assessoria de Relações com Investidores (2 usuários) sobre temas de natureza fiscal, trabalhista/previdenciária, contábil/auditoria e societária.</t>
  </si>
  <si>
    <t>TLB-DEG-2025/00048</t>
  </si>
  <si>
    <t xml:space="preserve">Anna Paula Pedrosa Vieira </t>
  </si>
  <si>
    <t>01/04/2025</t>
  </si>
  <si>
    <t>01/04/2028</t>
  </si>
  <si>
    <t>O presente Contrato tem por objeto a contratação de empresa especializada na prestação de serviços de informações e pesquisa no âmbito fiscal, trabalhista, previdenciário, contábil, auditoria e societário.</t>
  </si>
  <si>
    <t>LEGIS JET LTDA</t>
  </si>
  <si>
    <t>27.188.971/0001-63</t>
  </si>
  <si>
    <t>TLB-PRO-2025/01180</t>
  </si>
  <si>
    <t>Faz-se imprescindível relembrar que, toda a suíte de softwares de produtividade instaladas em máquinas da Telebras hoje, Office 2016, está atingindo seu fim de suporte (End-of-Support ou End-of-Life – EOL). O primeiro marco do término de suporte da Microsoft para tais ferramentas ocorre em 2025, momento em que serão encerradas quaisquer atualizações, momento em que o conjunto de softwares, Microsoft Word, Excel, PowerPoint, Outlook, na versão adquirida pela Telebras deixarão de receber também atualizações de segurança. Pelos riscos associados a segurança da informação de se manter softwares instalados na rede de TI da Telebras que não tenham atualizações de segurança, recomenda-se, tecnicamente, que a partir da referida data seja realizada a desinstalação definitiva dos softwares.</t>
  </si>
  <si>
    <t>TLB-DEG-2025/00044</t>
  </si>
  <si>
    <t>O presente Contrato tem por objeto a contratação, mediante o sistema de registro de preços – srp, de empresa especializada na prestação do serviço de subscrição de licenças de uso de softwares para prover solução de colaboração, comunicação e produtividade corporativa, bem como atualização tecnológica das soluções atuais para atendimento das demandas da telebras incluindo suporte e treinamento.</t>
  </si>
  <si>
    <t>21/03/2025</t>
  </si>
  <si>
    <t>21/03/2028</t>
  </si>
  <si>
    <t>TLB-PRO-2024/05271</t>
  </si>
  <si>
    <t xml:space="preserve">As contratações propostas nos itens 2.1 a 2.9 visam dotar a Telebras de suporte preventivo e corretivo, prevendo a reposição de peças e atendimento de forma on-site/remota, tanto para falhas como para informações de suporte da operação. Ao contratar os serviços, a empresa manterá as características atuais dos equipamentos, com a consequente extensão de sua vida útil, substituição de hardwares defeituosos e atualização de softwares. Naqueles casos em a solução  </t>
  </si>
  <si>
    <t>TLB-TRM-2025/00058</t>
  </si>
  <si>
    <t>27/03/2025</t>
  </si>
  <si>
    <t>O presente contrato tem por objeto a contratação de empresa especializada para fornecimento de suporte e garantia dos servidores Dell da TELEBRAS, com fornecimento integral de peças de reposição, por um período até o fim de vida de suporte, dia 17 de outubro de 2025, de acordo com as especificações do Termo de Referência nº TLB-REF-2025/00020 e seus anexos.</t>
  </si>
  <si>
    <t>DELL COMPUTADORES DO BRASIL LTDA</t>
  </si>
  <si>
    <t>72.381.189/0001-10</t>
  </si>
  <si>
    <t>TLB-PRO-2024/06558</t>
  </si>
  <si>
    <t>TLB-TRM-2025/00047</t>
  </si>
  <si>
    <t>O presente contrato tem por objeto a contratação de empresa especializada para fornecimento de suporte e garantia dos switches Dell da TELEBRAS, com fornecimento integral de peças de reposição e de acordo com as especificações do Termo de Referência e seus anexos.</t>
  </si>
  <si>
    <t>O presente Contrato tem por objeto a aquisição de uma impressora de cartão pvc/crachá.</t>
  </si>
  <si>
    <t>SC BRASIL GROUP SOLUÇÕES TECNOLÓGICAS LTDA</t>
  </si>
  <si>
    <t>43.478.505.0001-79</t>
  </si>
  <si>
    <t>TLB-PRO-2024/06151</t>
  </si>
  <si>
    <t>TLB-TRM-2025/00064</t>
  </si>
  <si>
    <t>Aquisição de impressora de cartão PVC/crachá para a Telebras.Aquisição de impressora de cartão PVC/crachá para a Telebras.</t>
  </si>
  <si>
    <t>28/03/2025</t>
  </si>
  <si>
    <t>28/03/2026</t>
  </si>
  <si>
    <t>TLB-DEG-2025/00038</t>
  </si>
  <si>
    <t>MARIA JOSÉ QUINTAS</t>
  </si>
  <si>
    <t>Elias Rodrigues da Silva</t>
  </si>
  <si>
    <t>27.652.639/0001-08</t>
  </si>
  <si>
    <t>GUARDA VIDA EPI  EIRELI</t>
  </si>
  <si>
    <t>ASG BROTHERS LICITAÇÕES &amp; COMERCIAL    LTDA,</t>
  </si>
  <si>
    <t>51.409.836/0001-85</t>
  </si>
  <si>
    <t>14/03/2025</t>
  </si>
  <si>
    <t>26/03/2026</t>
  </si>
  <si>
    <t>25/03/2025</t>
  </si>
  <si>
    <t>CREATIVE THINGS COMÉRCIO E DISTRIBUIÇÃO LTDA</t>
  </si>
  <si>
    <t>10.206.542/0001-79</t>
  </si>
  <si>
    <t>A definir</t>
  </si>
  <si>
    <t>TLB-ARP-2025/00001</t>
  </si>
  <si>
    <t>CANCELADO</t>
  </si>
  <si>
    <t>TLB-ARP-2025/00008</t>
  </si>
  <si>
    <t>90013/2024</t>
  </si>
  <si>
    <t>90012/2024</t>
  </si>
  <si>
    <t>90010/2024</t>
  </si>
  <si>
    <t>90001/2025</t>
  </si>
  <si>
    <t>90004/2025</t>
  </si>
  <si>
    <t>90002/2025</t>
  </si>
  <si>
    <t>PUBLICAÇÃO DOS CONTRATOS FORMALIZADOS EM 2025 - SITE TELEBRAS</t>
  </si>
  <si>
    <t>TABELA - PUBLICAÇÃO DOS CONTRATOS FORMALIZADOS EM 2025 - SITE TELEBRAS</t>
  </si>
  <si>
    <t>(*) Atualizar dinâmica</t>
  </si>
  <si>
    <t>PUBLICAÇÃO DOS CONTRATOS FORMALIZADOS EM 2025 - PNCP</t>
  </si>
  <si>
    <t>TABELA - ATAS DE REGISTRO DE PREÇO (ARP) - 2025</t>
  </si>
  <si>
    <t>PUBLICAÇÃO ARPs FORMALIZADOS EM 2025 - SITE TELEBRAS</t>
  </si>
  <si>
    <t>TLB-DEG-2025/00057</t>
  </si>
  <si>
    <t>TLB-DEG-2025/00058</t>
  </si>
  <si>
    <t>TLB-CTR-2025/00026</t>
  </si>
  <si>
    <t>TLB-DEG-2025/00064</t>
  </si>
  <si>
    <t>EZIELMA BRAZ FERREIRA</t>
  </si>
  <si>
    <t>O presente contrato tem por objeto a contratação de escritório de advocacia de notória especialização em matéria tributária em atendimento à deliberação da 1786ª reunião ordinária da diretoria executiva da telebras.</t>
  </si>
  <si>
    <t>SACHA CALMON - MISABEL DERZI, CONSULTORES E ADVOGADOS</t>
  </si>
  <si>
    <t>00.140.626/0001-01</t>
  </si>
  <si>
    <t>TLB-PRO-2025/01491</t>
  </si>
  <si>
    <t xml:space="preserve">GJ </t>
  </si>
  <si>
    <t>TLB-TRM-2025/00209</t>
  </si>
  <si>
    <t>para a contratação de escritório de advocacia de notória especialização em matéria tributária em atendimento à deliberação da 1786ª Reunião Ordinária da Diretoria Executiva da Telebras</t>
  </si>
  <si>
    <t>17/03/2025</t>
  </si>
  <si>
    <t>17/03/2026</t>
  </si>
  <si>
    <t>38.063.287/0001-71</t>
  </si>
  <si>
    <t>27/03/2026</t>
  </si>
  <si>
    <t>Contratação de serviço de aquisição de locais, licenciamento e renovação de licenças para sites da Telebras - Site Acquisition -  GRUPO I, II e V.</t>
  </si>
  <si>
    <t>OTTONI SERVIÇO DE ENGENHARIA LTDA</t>
  </si>
  <si>
    <t>37753638000103-2-000015/2025</t>
  </si>
  <si>
    <t>SIM</t>
  </si>
  <si>
    <t>37753638000103-2-000006/2025</t>
  </si>
  <si>
    <t>NA</t>
  </si>
  <si>
    <t>37753638000103-1-000027/2025</t>
  </si>
  <si>
    <t xml:space="preserve">37753638000103-1-000028/2025
</t>
  </si>
  <si>
    <t>925150 - 9/2025</t>
  </si>
  <si>
    <t>925150 - 10/2025</t>
  </si>
  <si>
    <t>17/10/2025</t>
  </si>
  <si>
    <t>37753638000103-1-000070/2024</t>
  </si>
  <si>
    <t>37753638000103-1-000002/2025</t>
  </si>
  <si>
    <t>37753638000103-1-000007/2025</t>
  </si>
  <si>
    <t>37753638000103-1-000008/2025</t>
  </si>
  <si>
    <t>925150 - 11/2025</t>
  </si>
  <si>
    <t>37753638000103-2-000022/2025</t>
  </si>
  <si>
    <t>TLB-PRO-2023/05476</t>
  </si>
  <si>
    <t>TLB-TRM-2024/00032</t>
  </si>
  <si>
    <t>A contratação justifica-se pela necessidade de garantir aos colaboradores da TELEBRAS a possibilidade de deslocamento a serviço da empresa, para que possam exercer suas funções institucionais, no âmbito do DF e entorno.</t>
  </si>
  <si>
    <t>TLB-CTR-2025/00029</t>
  </si>
  <si>
    <t>O presente Contrato tem por objeto a contratação de empresa ou cooperativa especializada na prestação de serviços de intermediação e agenciamento de transporte terrestre de empregados e colaboradores da telebras a serviço.</t>
  </si>
  <si>
    <t>I9 SOLUTIONS - SOLUÇÕES COMERCIAIS E GESTÃO DE TRANSPORTE LTDA</t>
  </si>
  <si>
    <t>11.735.329/0001-17</t>
  </si>
  <si>
    <t>Data inicio processo</t>
  </si>
  <si>
    <t>DADOS DO PROCESSO</t>
  </si>
  <si>
    <t>DADOS DO CONTRATO</t>
  </si>
  <si>
    <t>LANÇAMENTO PNCP</t>
  </si>
  <si>
    <t>dfd</t>
  </si>
  <si>
    <t>Obras e Serviço de Engenharia</t>
  </si>
  <si>
    <t>AVISO 06/2024</t>
  </si>
  <si>
    <t>AVISO 08/2024</t>
  </si>
  <si>
    <t>AVISO 09/2024</t>
  </si>
  <si>
    <t>AVISO 10/2024</t>
  </si>
  <si>
    <t>AVISO 11/2024</t>
  </si>
  <si>
    <t>AVISO 04/2023</t>
  </si>
  <si>
    <t>AVISO 08/2023</t>
  </si>
  <si>
    <t>AVISO 09/2023</t>
  </si>
  <si>
    <t>DIAS ÚTEIS TMP</t>
  </si>
  <si>
    <t>quinta-feira</t>
  </si>
  <si>
    <t>sábado</t>
  </si>
  <si>
    <t>domingo</t>
  </si>
  <si>
    <t>segunda-feira</t>
  </si>
  <si>
    <t>sexta-feira</t>
  </si>
  <si>
    <t>terça-feira</t>
  </si>
  <si>
    <t>quarta-feira</t>
  </si>
  <si>
    <t>FERIADOS 2024</t>
  </si>
  <si>
    <t>90005/2025</t>
  </si>
  <si>
    <t xml:space="preserve"> DIAS ÚTEIS TMP</t>
  </si>
  <si>
    <t>TLB-DEG-2025/00073</t>
  </si>
  <si>
    <t>37753638000103-2-000028/2025</t>
  </si>
  <si>
    <t>TLB-CTR-2025/00034</t>
  </si>
  <si>
    <t>TLB-CTR-2025/00037</t>
  </si>
  <si>
    <t>TLB-CTR-2025/00039</t>
  </si>
  <si>
    <t>TLB-PRO-2025/00927</t>
  </si>
  <si>
    <t>Desde o mês de agosto de 2024 foram verificadas manchas escuras e úmidas nas lajes da Cabine de Medição e da Subestação (Anexo 1).
Após as constatações das manchas escuras e úmidas nas lajes, a empresa de manutenção especializada contratada pela Telebras realizou algumas intervenções pontuais nas estruturas com o intuito de inibir e minimizar as infiltrações, entretanto, desde janeiro de 2025, foram verificados pontos de infiltrações próximos ao Painel de Média Tensão e Transformador da Cabine de Medição.</t>
  </si>
  <si>
    <t>TLB-TRM-2025/00252</t>
  </si>
  <si>
    <t>O presente Contrato tem por objeto a contratação de empresa especializada para a recuperação da impermeabilização da Cabine de Medição, Subestação e Câmara de Manobra da Estação de Acesso/Gateway de Salvador, Bahia.</t>
  </si>
  <si>
    <t>G3 SERVIÇOS DE CONSTRUÇÕES HIDRÁULICA E IMPERMEABILIZAÇÃO LTDA</t>
  </si>
  <si>
    <t>21.811.048/0001-50</t>
  </si>
  <si>
    <t>TLB-PRO-2024/02538</t>
  </si>
  <si>
    <t>Diante dessa realidade e com o compromisso em atender aos seus objetivos sociais e institucionais, a TELEBRAS, sociedade de economia mista vinculada ao Ministério das Comunicações, incumbida de implementar o Programa Nacional de Banda Larga - PNBL, verificou que a comunicação por meio de satélites mostrou-se vantajosa, certamente a única possibilidade de integração de vasta parcela da população aos meios de comunicações, com qualidade e modicidade.</t>
  </si>
  <si>
    <t>TLB-TRM-2025/00032</t>
  </si>
  <si>
    <t>O presente Contrato tem por objeto a contratação de aquisição de solução de video wall (Servidor, Rack, Telas) com serviços de montagem e instalação para o Centro de Operação de Serviços da Rede Via Satélite (COS-VSAT) e do Centro de Operação de Serviços de Rede Terrestre (COS-REDE).</t>
  </si>
  <si>
    <t>DIGITAL SERVIÇOS EM TECNOLOGIA LTDA</t>
  </si>
  <si>
    <t>37.111.778/0001-88</t>
  </si>
  <si>
    <t>LENDA INDÚSTRIA DE ÁGUA MINERAL LTDA</t>
  </si>
  <si>
    <t>00.868.963/0001-01</t>
  </si>
  <si>
    <t>O presente Contrato tem por objeto a aquisição de garrafões de água mineral para COPE-P em regime emergencial.</t>
  </si>
  <si>
    <t>TLB-PRO-2025/02012</t>
  </si>
  <si>
    <t>TLB-DEG-2025/00081</t>
  </si>
  <si>
    <t>Henrique Soares Ebert</t>
  </si>
  <si>
    <t>TLB-TRM-2025/00337</t>
  </si>
  <si>
    <t>TLB-TRM-2025/00290</t>
  </si>
  <si>
    <t>TLB-DEG-2025/00083</t>
  </si>
  <si>
    <t>FLÁVIA ELISABETH CARDOSO PIRES</t>
  </si>
  <si>
    <t>TLB-DEG-2025/00084</t>
  </si>
  <si>
    <t xml:space="preserve">Fernando Granjeiro de Meneses Junior </t>
  </si>
  <si>
    <t>Nº  COMPRAS.GOV</t>
  </si>
  <si>
    <t>Telebras não utiliza o sistema PGC (Não SISG).</t>
  </si>
  <si>
    <t>925150 - 17/2025</t>
  </si>
  <si>
    <t>37753638000103-1-000046/2025</t>
  </si>
  <si>
    <t>925150 - 18/2025</t>
  </si>
  <si>
    <t>37753638000103-1-000047/2025</t>
  </si>
  <si>
    <t>90006/2025</t>
  </si>
  <si>
    <t>37753638000103-1-000012/2025</t>
  </si>
  <si>
    <t>TLB-ARP-2022/00001</t>
  </si>
  <si>
    <t>TLB-PRO-2020/00379</t>
  </si>
  <si>
    <t>Contratação de empresa ou consórcio de empresas especializadas, para o fornecimento,implantação, integração, treinamento e suporte técnico de solução de defesa contra ataques de negação de serviço (Anti-DDoS), a fimde ampliar e substituir o sistema atualmente existente na Rede da Telebras.</t>
  </si>
  <si>
    <t>iNB Tecnologia LTDA</t>
  </si>
  <si>
    <t>09.024.896/0001-13</t>
  </si>
  <si>
    <t>TLB-ARP-2022/00002</t>
  </si>
  <si>
    <t>TLB-PRO-2021/16398</t>
  </si>
  <si>
    <t>PE SRP nº 00007/2021</t>
  </si>
  <si>
    <t xml:space="preserve">PE SRP nº 00017/2022 </t>
  </si>
  <si>
    <t>Contratação, mediante registro de preços, de empresa ou consórcio de empresas especializadas no fornecimento de materiais e serviços para remanejamento e instalação de equipamentos DWDM do fabricante PADTEC</t>
  </si>
  <si>
    <t>30/08/2022</t>
  </si>
  <si>
    <t>PADTEC S/A</t>
  </si>
  <si>
    <t>03.549.807/0001-76</t>
  </si>
  <si>
    <t>TLB-ARP-2022/00003</t>
  </si>
  <si>
    <t>TLB-ARP-2022/00004</t>
  </si>
  <si>
    <t>TLB-PRO-2020/04985</t>
  </si>
  <si>
    <t>PE SRP nº 00012/2022</t>
  </si>
  <si>
    <t>Contratação de serviços   de   desinstalação,   transporte   e   instalação   de   equipamentos   de propriedade da Telebras para atendimento de demandas</t>
  </si>
  <si>
    <t xml:space="preserve">27/10/2022 </t>
  </si>
  <si>
    <t>TLB-ARP-2022/00005</t>
  </si>
  <si>
    <t>TLB-PRO-2022/02311</t>
  </si>
  <si>
    <t>TLB-ARP-2022/00006</t>
  </si>
  <si>
    <t>Aquisição, mediante registro de preços, de 970 (novecentas e setenta) cadeiras ergonômicas a serem utilizadas pelos colaboradores que exercem suas atividades funcionais na sede da TELEBRAS.</t>
  </si>
  <si>
    <t>14/11/2022</t>
  </si>
  <si>
    <t>FK GRUPO S/A</t>
  </si>
  <si>
    <t>55.088.157/0010-01</t>
  </si>
  <si>
    <t>TLB-ARP-2023/00001</t>
  </si>
  <si>
    <t>TLB-PRO-2022/02555</t>
  </si>
  <si>
    <t>PE SRP nº 00031/2022</t>
  </si>
  <si>
    <t>PE SRP nº 00032/2022</t>
  </si>
  <si>
    <t>Contratação de serviço de aquisição de locais, licenciamento e renovação de licenças para sites da Telebras - Site Acquisition.</t>
  </si>
  <si>
    <t>12/01/2023</t>
  </si>
  <si>
    <t>TLB-ARP-2023/00002</t>
  </si>
  <si>
    <t>TLB-ARP-2023/00003</t>
  </si>
  <si>
    <t>TLB-PRO-2023/00355</t>
  </si>
  <si>
    <t>PE SRP nº 00021/2023</t>
  </si>
  <si>
    <t>TLB-ARP-2023/00004</t>
  </si>
  <si>
    <t>Contratação  de  empresa  ou  consórcio  de  empresas especializadas  para  o  fornecimento  de  compressores  para  condicionadores  de  ar  de climatização  ambiente  e  acumuladores  de  energia  (baterias)  para  Nobreaks  (UPS -Uninterruptible Power Supply) / SDAI (Sistema de Detecção e Alarme de Incêndio)</t>
  </si>
  <si>
    <t>13/12/2023</t>
  </si>
  <si>
    <t>SECPOWER COMERCIAL IMPORTADORA EXPORTADORA LTDA</t>
  </si>
  <si>
    <t>TLB-ARP-2023/00005</t>
  </si>
  <si>
    <t>Contratação de empresa ou consórcio de empresas especializadas para o fornecimento de compressores para condicionadores de ar de climatização ambiente e acumuladores de energia (baterias) para Nobreaks (UPS -Uninterruptible Power Supply) / SDAI (Sistema de Detecção e Alarme de Incêndio).</t>
  </si>
  <si>
    <t>12/12/2023</t>
  </si>
  <si>
    <t>INFOPLAN TECNOLOGIA COMÉRCIO E SERVIÇOS LTDA-EPP</t>
  </si>
  <si>
    <t>TLB-ARP-2023/00006</t>
  </si>
  <si>
    <t>TLB-PRO-2023/00737</t>
  </si>
  <si>
    <t>Contratação  de  empresa  ou  consórcio  de  empresas especializadas  no  fornecimento  de  soluções de  infraestrutura  com  o  fornecimento de contêineres para a região Nordeste.</t>
  </si>
  <si>
    <t>20/12/2023</t>
  </si>
  <si>
    <t>TLB-ARP-2023/00007</t>
  </si>
  <si>
    <t>TLB-PRO-2023/00738</t>
  </si>
  <si>
    <t>PE SRP nº 00019/2023</t>
  </si>
  <si>
    <t>PE SRP nº 00017/2023</t>
  </si>
  <si>
    <t>Contratação  de  empresa  ou  consórcio  de empresas   especializadas   no   fornecimento   de   soluções   de   infraestrutura   com   o fornecimento  de  contêineres  incluindo  todos  os  materiais,  equipamentos  e  fibras ópticas   necessários,   de   forma   a   garantir   o   funcionamento   e   a   proteção   dos equipamentos ópticos, DWDM e IP,</t>
  </si>
  <si>
    <t>PE SRP nº  0008/2023</t>
  </si>
  <si>
    <t>10014889</t>
  </si>
  <si>
    <t>4400003068</t>
  </si>
  <si>
    <t>10014954</t>
  </si>
  <si>
    <t>4400003069</t>
  </si>
  <si>
    <t>10015547</t>
  </si>
  <si>
    <t>4400003071</t>
  </si>
  <si>
    <t>10015239</t>
  </si>
  <si>
    <t>4400003077</t>
  </si>
  <si>
    <t>TLB-CTR-2025/00047</t>
  </si>
  <si>
    <t>TLB-CTR-2025/00048</t>
  </si>
  <si>
    <t>TLB-CTR-2025/00049</t>
  </si>
  <si>
    <t>3F LTDA</t>
  </si>
  <si>
    <t>23.484.444/0001-45</t>
  </si>
  <si>
    <t>O presente Contrato tem por objeto a contratação de Assinatura de Plataforma de Sistema para Orçamentação baseada em tabelas SINAPI e SICRO com suporte e treinamento por um período de 60 (sessenta) meses, em que a licença estiver ativa.</t>
  </si>
  <si>
    <t>TLB-DEG-2025/00089</t>
  </si>
  <si>
    <t>Iaracy Nayara Machado Braz</t>
  </si>
  <si>
    <t>TLB-PRO-2024/01832</t>
  </si>
  <si>
    <t xml:space="preserve"> A TELEBRAS, vinculada ao Ministério das Comunicações, é a empresa estatal que conecta o serviço público ao cidadão. Somos uma empresa mista, de capital aberto, que fornece soluções de telecomunicações com atuação nacional e o propósito de levar conectividade em alta capacidade a todas as localidades do país, promovendo as políticas públicas de inclusão digital do Estado e atende às demandas de soluções em serviços de conexão para a Administração Pública. Fazemos isso por meio de uma rede óptica de alta resiliência de 32 mil km e cobertura em todo território nacional do Satélite Geoestacionário de Defesa e Comunicações Estratégicas (SGDC), cujo papel é essencial para a universalização da banda larga no Brasil.</t>
  </si>
  <si>
    <t>TLB-TRM-2025/00341</t>
  </si>
  <si>
    <t>TLB-PRO-2025/03118</t>
  </si>
  <si>
    <t>TLB-TRM-2025/00373</t>
  </si>
  <si>
    <t>O presente contrato tem por objeto a Participação da TELEBRAS no Seminário Nacional de TIC para a Gestão Pública – SECOP 2025, por meio de ação promocional. O evento é organizado exclusivamente pela Associação Brasileira de Entidades Estaduais e Públicas de Tecnologia da Informação e Comunicação – ABEP-TIC e será realizado nos dias 06 e 07 de agosto de 2025 no CICB – Centro Internacional de Convenções do Brasil em Brasília –DF.</t>
  </si>
  <si>
    <t>ASSOCIAÇÃO BRASILEIRA DE ENTIDADES ESTADUAIS E PÚBLICAS DE TECNOLOGIA DA INFORMAÇÃO E COMUNICAÇÃO – ABEP-TIC</t>
  </si>
  <si>
    <t>O presente Contrato tem por objeto a contratação de seguro contra danos e perdas durante 12 (doze) meses para o SGDC em órbita, observadas as disposições técnicas do Anexo 1 - Wording do Seguro do Satélite em Órbita.</t>
  </si>
  <si>
    <t>MAPFRE SEGUROS GERAIS S/A</t>
  </si>
  <si>
    <t>TLB-PRO-2025/00533</t>
  </si>
  <si>
    <t>Este projeto foi executado com vultosos recursos públicos a título de investimento, o qual necessita ser preservado ao longo da vida útil do satélite</t>
  </si>
  <si>
    <t>Para alcançar esse objetivo, uma das estratégias da Diretoria Comercial, através da Gerência de Planejamento e Marketing (GPM), se alicerçou, ao longo desses anos, na gestão de ações promocionais em eventos, seguidos de estratégias segmentadas de marketing para vendas, percebendo benefícios insubstituíveis da interação humana à sua marca e ao seu negócio que só os eventos presenciais permitem, tais como: iniciativas de natureza negocial e consolidação da ampliação de vendas; estabelecimento de confiança; construção de relacionamentos com públicos de interesse; promoção de networking; divulgação de produtos e serviços; consolidação de valor à marca institucional; refinamento de seu mailing de prospecção sobre potenciais clientes e fornecedores, público influenciador e formador de opinião; intercâmbio de ideias e parcerias.</t>
  </si>
  <si>
    <t>TLB-TRM-2025/00340</t>
  </si>
  <si>
    <t>TLB-ARP-2025/00010</t>
  </si>
  <si>
    <t>Contratação, mediante registro de preços, de empresa especializada para atualização, aquisição e instalação de equipamentos Firewall compatível e serviços de suporte on-site e manutenção de hardware e software, de acordo com o Termo de Referência e seus Anexos, Anexo A deste Edital.</t>
  </si>
  <si>
    <t>TLB-PRO-2023/02890</t>
  </si>
  <si>
    <t xml:space="preserve">06/08/2025	</t>
  </si>
  <si>
    <t>06/08/2026</t>
  </si>
  <si>
    <t>NTSEC SOLUÇÕES EM TELEINFORMÁTICA LTDA</t>
  </si>
  <si>
    <t>09.137.728/0001-34</t>
  </si>
  <si>
    <t>90009/2025</t>
  </si>
  <si>
    <t>PE SRP nº 90010/2025</t>
  </si>
  <si>
    <t>FERNANDA</t>
  </si>
  <si>
    <t>TATIANA</t>
  </si>
  <si>
    <t>510.391.332-15</t>
  </si>
  <si>
    <t>967.144.251-04</t>
  </si>
  <si>
    <t>tatiana.miranda@telebras.com.br</t>
  </si>
  <si>
    <t>fernanda.elias@telebras.com.br</t>
  </si>
  <si>
    <t>925150 - 20/2025</t>
  </si>
  <si>
    <t>925150 - 21/2025</t>
  </si>
  <si>
    <t xml:space="preserve"> 37753638000103-2-000042/2025</t>
  </si>
  <si>
    <t>37753638000103-2-000043/2025</t>
  </si>
  <si>
    <t>37753638000103-2-000044/2025</t>
  </si>
  <si>
    <t>TLB-DEG-2025/00100</t>
  </si>
  <si>
    <t>TLB-CTR-2025/00042</t>
  </si>
  <si>
    <t>TLB-CTR-2025/00041</t>
  </si>
  <si>
    <t>TED desenvolvido pelo MinistÈrio das ComunicaÁıes para atendimento ao Projeto Infovia Maranh„o, com o atendimento a 18 municÌpios, levando conectividade ‡s prefeituras e outros Ûrg„os destes locais;</t>
  </si>
  <si>
    <t>O presente Contrato tem por objeto a contratação de Contratação, mediante afastamento licitatório, da construção de backhaul e rede metropolitana aérea e/ou subterrânea, projeto INFOVIA – MA fase 1 (TLB-PRO-2024/06032).</t>
  </si>
  <si>
    <t xml:space="preserve">TED desenvolvido pelo Ministério das Comunicações para atendimento ao Projeto Infovia Maranhão, com o atendimento a 7 municípios, levando conectividade às prefeituras e outros órgãos destes locais; </t>
  </si>
  <si>
    <t>O presente Contrato tem por objeto a contratação de Contratação, mediante afastamento licitatório, da construção de backhaul e rede metropolitana aérea e/ou subterrânea, projeto INFOVIA – MA fase 2 (Processo TLB-PRO-2024/06802).</t>
  </si>
  <si>
    <t>TLB-CTR-2025/00057</t>
  </si>
  <si>
    <t>TLB-PRO-2025/02807</t>
  </si>
  <si>
    <t>O contrato de manutenção pretendido visa mitigar riscos e manter o alinhamento com o negócio, além de observar boas práticas, recomendações e normativos nacionais. De modo a manter o nível requerido do uso, se faz necessário que os equipamentos possuam ampla cobertura contra falhas e desgastes normais ao uso, além de possuir cobertura para upgrades de software lançados pelo fabricante. Isso garantirá ainda a continuidade das operações em casos de defeito neste hardware.</t>
  </si>
  <si>
    <t>TLB-TRM-2025/00485</t>
  </si>
  <si>
    <t>O  presente  Contrato  tem  por  objeto  a  contratação  de  serviços  demanutenção  preventiva  e  corretiva  de  registrador  eletrônico  de  ponto  Biométrico,  modeloREP IDCLASS da CONTROLID e sistemas de controle de acesso biométrico</t>
  </si>
  <si>
    <t>INVITEC  SERVIÇO  DE SEGURANÇA   E   TECNOLOGIA   LTDA</t>
  </si>
  <si>
    <t>31.974.592/0001-76</t>
  </si>
  <si>
    <t>TLB-CTR-2025/00058</t>
  </si>
  <si>
    <t>TLB-CTR-2025/00059</t>
  </si>
  <si>
    <t>TLB-PRO-2024/04999</t>
  </si>
  <si>
    <t>O Conselho de Administração da Telebras, em sua 514ª reunião ordinária, bem como a Diretoria executiva, em sua 1806ª REDIR, aprovaram a contratação de escritório de advocacia para, em face do resultado adverso do processo Administrativo Sancionador nº RJ2018/5158 (Processo Eletrônico SEI19957.007825/2018-11), instaurado pela Comissão de Valores Mobiliários (CVM), ingressar com processo na esfera civil, a fim de obter a reversão da decisão proferida, limitado o valor máximo de até R$ 50.000,00(cinquenta mil reais)</t>
  </si>
  <si>
    <t>TLB-TRM-2025/00414</t>
  </si>
  <si>
    <t>O presente contrato tem por objeto acontratação de escritório de Badia eQuartim  Advogados  –  BQA  para  defesa  judicial  do  ex-Diretor  da  Telebras,  o  Sr.  PauloFerreira,  contra  decisão  proferida  no  Processo  Administrativo  Sancionador  nº  RJ2018/5158(Processo  Eletrônico  SEI  19957.007825/2018  11),  instaurado  pela  Comissão  de  ValoresMobiliários (CVM)</t>
  </si>
  <si>
    <t>BADIA  EQUARTIM  ADVOGADOS  -  BQA</t>
  </si>
  <si>
    <t>60.525.730/0001-38</t>
  </si>
  <si>
    <t>TLB-PRO-2025/00760</t>
  </si>
  <si>
    <t>O seguro de responsabilidade civil para administradores (Seguro D&amp;O - Director and Officers) é um instrumento capaz de resguardar diretores e conselheiros de eventuais perdas financeiras pessoais decorrentes de atos, não dolosos,  por estes praticados quando da administração da empresa. Trata-se de boa prática de mercado com a adesão de várias empresas estatais, estas sujeitas ao regramento legal Civil, mais especificamente o Direito Administrativo, vez que busca proteger os administradores em processos movidos em seu desfavor, em razão de atos regulares de sua gestão.</t>
  </si>
  <si>
    <t>TLB-TRM-2025/00228</t>
  </si>
  <si>
    <t>O  presente  Contrato  tem  por  objeto  a  contratação  de  empresa  seguradorapara prestação de serviços de cobertura securitária na modalidade de Responsabilidade CivilD&amp;O  (Directors  and  Officers),  para  membros  do  Conselho  de  Administração,  do  ConselhoFiscal  e  da  Diretoria  Executiva  da  Telebras,  com  emissão  de  apólice  à  base  de  reclamaçõescom notificação, conforme disposto na Circular SUSEP nº 637, de 27 de julho de 2021.</t>
  </si>
  <si>
    <t>TLB-CTR-2025/00061</t>
  </si>
  <si>
    <t>TLB-CTR-2025/00062</t>
  </si>
  <si>
    <t>TLB-CTR-2025/00064</t>
  </si>
  <si>
    <t>TLB-CTR-2025/00066</t>
  </si>
  <si>
    <t>TLB-PRO-2025/01337</t>
  </si>
  <si>
    <t>Atendimento às demandas oriundas do projeto ao SGDC (Satélite Geoestacionário de Defesa e Comunicações Estratégicas) cujo objetivo é: Prover comunicações seguras para o sistema de defesa nacional e para as comunicações estratégicas do Governo; Promover o desenvolvimento socioeconômico do Brasil, proporcionando a todos os brasileiros um país conectado por meio da massificação da banda larga; Em 20 de julho de 2020 a TELEBRAS assinou com a NTT BRASIL COMÉRCIO E SERVIÇOS DE TECNOLOGIA LTDA a Ata de Registro de Preço nº TLB-ARP-2020/00010 para contratação de solução de rede de comunicação de dados baseada no Protocolo IP e MPLS, necessários ao processo de ampliação da capacidade de escoamento de tráfego dos roteadores de Edge, Outer, Peering e Reflector, suportando a expansão do tráfego IP atual e a demanda comercial prospectada.Os roteadores começaram a ser instalados na virada de 2020 para 2021. E juntamente com eles foram instalados os materiais de necessários a implantação do roteador como cabos Breakout que interligam as portas de 40Gbps dos roteadores Cisco ao DIO de Topo de RACK. Após quatro anos de sua instalação dos primeiros roteadores alguns destes cabos apresentaram problemas e precisam ser trocados pela equipe de manutenção da Telebras que não possuiu este material em estoque. Sendo necessário a aquisição destes cabos para compor o estoque da engenharia e dos centros de manutenção como sobressalente.</t>
  </si>
  <si>
    <t>TLB-TRM-2025/00437</t>
  </si>
  <si>
    <t>O presente Contrato tem por objeto a contratação de empresa ou consórciode empresas especializadas no fornecimento de cabos breakout (fanout), para uso na Rede daTelebras como sobressalente.</t>
  </si>
  <si>
    <t>FONNET COMÉRCIO DE EQUIPAMENTOS DE TELECOMUNICAÇÕES LTDA</t>
  </si>
  <si>
    <t>11.035.558/0001-29</t>
  </si>
  <si>
    <t>TLB-PRO-2025/05108</t>
  </si>
  <si>
    <t>TLB-DEG-2025/00139</t>
  </si>
  <si>
    <t>Com o crescimento exponencial de novas formas e ferramentas para a prática de cibercrimes, a necessidade de continuidade do negócio e a evolução de ameaças das mais variadas espécies criam a necessidade de contratação de uma solução que proteja as informações dos órgãos e diminua os riscos de acesso indevido às mesmas. Dentro do contexto analisado, o firewall, o antivírus, a anti-bot, o IPS e o anti-spam são quesitos de segurança fundamentais, uma vez que regula o tráfego de dados entre redes distintas e impede a transmissão e recepção de informações a partir de acessos nocivos e impedem ataques de malware. A solução tecnológica objeto da contratação representa a camada de proteção de perímetro da rede de comunicação da Telebras. O atual cenário da Telebras tem como objetivo, a atualização com suporte e manutenção da solução de firewall existente da Telebras a fim de viabilizar o pleno exercício das atribuições estabelecidas no que se refere às demandas encaminhadas.</t>
  </si>
  <si>
    <t>TLB-TRM-2025/00201</t>
  </si>
  <si>
    <t>O presente Contrato tem por objeto a contratação de empresa especializada para atualização, aquisição e instalação de equipamentos firewall compatível e serviços de suporte on-site e manutenção de hardware e software.</t>
  </si>
  <si>
    <t>TLB-PRO-2023/02862</t>
  </si>
  <si>
    <t>A fim de alcançar e manter os níveis de serviços comprometidos com seus clientes e parceiros, bem como manter a alta qualidade dos serviços prestados pelo SGDC, as Gerências de Tecnologia e Soluções de Satélites (GTSS) e de Engenharia e Operações de Satélite (GEOS) identificaram a necessidade de adequação da quantidade de unidades sobressalentes com o objetivo de reduzir riscos de descontinuidades dos serviços de comunicação via satélite, por meio das estações terrestres de acesso (gateways) do SGDC.</t>
  </si>
  <si>
    <t>TLB-PRB-2023/00022</t>
  </si>
  <si>
    <t>O presente Contrato tem por objeto a aquisição de equipamentos sobressalentes para as Estações de Controle e Acesso do SGDC - Low Noise Amplifier (LNA) Redundant System.</t>
  </si>
  <si>
    <t>MASTER SERVIÇOS E COMÉRCIO LTDA</t>
  </si>
  <si>
    <t>97.547.019/0001-94</t>
  </si>
  <si>
    <t>TLB-DEG-2025/00135</t>
  </si>
  <si>
    <t>Mauricio Gagliardi Diniz de Paiva</t>
  </si>
  <si>
    <t>TLB-DEG-2025/00137</t>
  </si>
  <si>
    <t>TLB-DEG-2025/00129</t>
  </si>
  <si>
    <t>Walfrido Rodrigues de Melo</t>
  </si>
  <si>
    <t>90013/2025</t>
  </si>
  <si>
    <t>90010/2025</t>
  </si>
  <si>
    <t>TLB-DEG-2025/00143</t>
  </si>
  <si>
    <t>Nº DEG</t>
  </si>
  <si>
    <t>Daniel Siqueira</t>
  </si>
  <si>
    <t>70610-440</t>
  </si>
  <si>
    <t>925150 - 26/2025</t>
  </si>
  <si>
    <t>COMPRA GERADA NO DC?</t>
  </si>
  <si>
    <t>37753638000103-1-000065/2025</t>
  </si>
  <si>
    <t>CONTRATO LANÇADO NO PNCP?</t>
  </si>
  <si>
    <t>37753638000103-1-000066/2025</t>
  </si>
  <si>
    <t>925150 - 27/2025</t>
  </si>
  <si>
    <t>925150 - 28/2025</t>
  </si>
  <si>
    <t>37753638000103-1-000067/2025</t>
  </si>
  <si>
    <t>AVISO 06/2023</t>
  </si>
  <si>
    <t>37753638000103-1-000054/2025</t>
  </si>
  <si>
    <t>SRP</t>
  </si>
  <si>
    <t>AFASTAMENTO</t>
  </si>
  <si>
    <t>TLB-PRO-2025/01231</t>
  </si>
  <si>
    <t xml:space="preserve">A contratação dos serviços de tradução da Telebras a requisitos legais e normativos, e traz benefícios em termos de eficácia, eficiência, efetividade, economicidade. Trazendo recursos humanos capacitados técnicos, diminuindo o tempo de atendimento e melhorando a qualidade na prestação do serviço. </t>
  </si>
  <si>
    <t>TLB-TRM-2025/00258</t>
  </si>
  <si>
    <t>TLB-DEG-2025/00138</t>
  </si>
  <si>
    <t>Dalva Helena Rosa Ferreira</t>
  </si>
  <si>
    <t>O presente Contrato tem por objeto a contratação de serviços de sustentação e manutenção de sistemas na modalidade fábrica de software.</t>
  </si>
  <si>
    <t>LGK SERVICOS EM TECNOLOGIA DA INFORMACAO LTDA</t>
  </si>
  <si>
    <t>16.509.591/0001-67</t>
  </si>
  <si>
    <t>06/08/2025</t>
  </si>
  <si>
    <t>TLB-PRO-2024/05564</t>
  </si>
  <si>
    <t>PE SRP n° 90011/2025</t>
  </si>
  <si>
    <t>TLB-ARP-2025/00011</t>
  </si>
  <si>
    <t>Contratação, mediante registro de preços, de empresa ou consórcio de empresas especializadas no fornecimento de soluções de infraestrutura para implantação de UPS para o Ar-Condicionado nas Estações de Acesso do SGDC de Campo Grande, Florianópolis e Salvador, incluindo garantia e assistência técnica</t>
  </si>
  <si>
    <t>16/10/2025</t>
  </si>
  <si>
    <t>PLANEJE TECNOLOGIA E SERVIÇOS LTDA</t>
  </si>
  <si>
    <t>28.482.916/0001-44</t>
  </si>
  <si>
    <t>TLB-CTR-2025/00089</t>
  </si>
  <si>
    <t>TLB-PRO-2025/01043</t>
  </si>
  <si>
    <t>Diante da relevância da temática e da limitação de recursos humanos disponíveis, a contratação de uma consultoria especializada permitirá acelerar a implementação dessas práticas, com base em metodologias consolidadas e experiências bem-sucedidas em outros contextos organizacionais. Trata-se de uma iniciativa estratégica que reafirma o compromisso da Telebras com a melhoria contínua, a inovação e a valorização do conhecimento como ativo essencial à sua missão institucional.</t>
  </si>
  <si>
    <t>TLB-TRM-2025/00705</t>
  </si>
  <si>
    <t>TLB-DEG-2025/00178</t>
  </si>
  <si>
    <t xml:space="preserve">Camila Daniela Lima de Souza Gomes
</t>
  </si>
  <si>
    <t>O presente contrato tem por objeto a contratação de consultoria para orientar e implantar Práticas de Gestão do Conhecimento a fim de evoluir a maturidade da GC na Telebras.</t>
  </si>
  <si>
    <t>IMPAKT CONSULTORIA SS LIMITADA</t>
  </si>
  <si>
    <t>TLB-CTR-2025/00100</t>
  </si>
  <si>
    <t>TLB-PRO-2024/05136</t>
  </si>
  <si>
    <t>A infraestrutura de satélites HTS (High Throughput Satellite) é bastante complexa, envolvendo montante elevado de investimentos e alto grau de especialização - o que é demonstrado pelo reduzido número de empresas que fabricam, integram, lançam e operam satélites e seus equipamentos. O uso da banda Ka é muito recente no mundo e o SGDC, por enquanto, é o único satélite brasileiro que opera nessa banda com tecnologia HTS, com cobertura total do território nacional. Essa solução tecnológica é aceita mundialmente como uma das soluções mais apropriadas para a transmissão satelital em banda larga.Para garantir a operação continuada e integrada da Rede Satelital em Banda Ka, de modo a evitar falhas ou interrupções não programadas, restaurar rapidamente o sistema ou o equipamento defeituoso para o seu estado de funcionamento normal, é imprescindível que as ações de reparo dos equipamentos não sejam descontinuadas, mantendo a disponibilidade de pessoal especializado, instrumental, ferramental e itens sobressalentes, com as características e quantidades adequadas. Desta maneira, é necessária a contratação de empresa especializada para a execução de serviço de reparo dos equipamentos das Estações do SGDC;Assim sendo, para garantir a operação continuada e integrada da Rede Satelital para suporte às políticas públicas do governo federal, faz-se necessária a contratação de empresa especializada no atendimento do objeto definido neste Projeto Básico</t>
  </si>
  <si>
    <t>TLB-TRM-2025/00785</t>
  </si>
  <si>
    <t>O presente Contrato tem por objeto a contratação de empresa especializada para a execução de serviços de reparo de equipamentos das Estações de Acesso do Satélite Geoestacionário de Defesa e Comunicações Estratégicas (SGDC).</t>
  </si>
  <si>
    <t>TLB-CTR-2025/00044</t>
  </si>
  <si>
    <t>TLB-CTR-2025/00043</t>
  </si>
  <si>
    <t>TLB-DEG-2025/00176</t>
  </si>
  <si>
    <t>Thiago da Silva Santana
Mirele de Almeida Mencari</t>
  </si>
  <si>
    <t>ADTK  COMERCIO  E  SERVIÇOS  DE  INFOR-MÁTICA E TELECOMUNICAÇÕES S.A</t>
  </si>
  <si>
    <t>TLB-CTR-2025/00090</t>
  </si>
  <si>
    <t>TLB-CTR-2025/00099</t>
  </si>
  <si>
    <t>O presente Contrato tem por objeto a contratação de Contratação, mediante afastamento licitatório, da construção de backhaul e rede metropolitana aérea e/ou subterrânea, projeto INFOVIA – MA (fase 2). GRUPOS 1, 2 e 3</t>
  </si>
  <si>
    <t>Contratação,  mediante  afastamento  licitató-rio,  da  construção  de  backhaul  e  rede  metropolitana aérea e/ou subterrânea, projeto INFOVIA –MA  (fase 1). GRUPO 3.</t>
  </si>
  <si>
    <t>TLB-DEG-2025/00165</t>
  </si>
  <si>
    <t>TLB-CTR-2025/00103</t>
  </si>
  <si>
    <t>O presente Contrato tem por objeto a contratação de entidade especializada para prestação de serviços técnicos de realização do 4º Concurso Público da Telebras.</t>
  </si>
  <si>
    <t>CENTRO BRASILEIRO DE PESQUISA EM AVALIAÇÃO E SELEÇÃO E DE PROMOÇÃO DE EVENTOS (CEBRASPE)</t>
  </si>
  <si>
    <t>18.284.407/0001-53</t>
  </si>
  <si>
    <t>ANNA CLÁUDIA AMORIM DA SILVA</t>
  </si>
  <si>
    <t>TLB-PRO-2025/03416</t>
  </si>
  <si>
    <t>Dessa forma, é imperiosa a previsão de cadastro reserva de colaboradores para os 04 (quatro) anos seguintes ao vencimento do Concurso 2021, tendo em vista a impossibilidade de reposição de empregados após o prazo fatal ou o fim do cadastro reserva de aprovados no Concurso vigente, visando evitar a evasão de conhecimento, o atraso ou a impossibilidade de atendimento às políticas públicas demandadas à Telebras, bem como o risco da continuidade do negócio.</t>
  </si>
  <si>
    <t>TLB-TRM-2025/00831</t>
  </si>
  <si>
    <t>A infraestrutura de satélites HTS (High Throughput Satellite) é bastante complexa, envolvendo montante elevado de investimentos e alto grau de especialização - o que é demonstrado pelo reduzido número de empresas que fabricam, integram, lançam e operam satélites e seus equipamentos. O uso da banda Ka é muito recente no mundo e o SGDC, por enquanto, é o único satélite brasileiro que opera nessa banda com tecnologia HTS, com cobertura total do território nacional. Essa solução tecnológica é aceita mundialmente como uma das soluções mais apropriadas para a transmissão satelital em banda larga.
2.7. Para garantir a operação continuada e integrada da Rede Satelital em Banda Ka, de modo a evitar falhas ou interrupções não programadas, restaurar rapidamente o sistema ou o equipamento defeituoso para o seu estado de funcionamento normal, é imprescindível que as ações de reparo dos equipamentos não sejam descontinuadas, mantendo a disponibilidade de pessoal especializado, instrumental, ferramental e itens sobressalentes, com as características e quantidades adequadas. Desta maneira, é necessária a contratação de empresa especializada para a execução de serviço de reparo dos equipamentos das Estações do SGDC;
2.8 Assim sendo, para garantir a operação continuada e integrada da Rede Satelital para suporte às políticas públicas do governo federal, faz-se necessária a contratação de empresa especializada no atendimento do objeto definido neste Projeto Básico</t>
  </si>
  <si>
    <t>TLB-DEG-2025/00186</t>
  </si>
  <si>
    <t>CAIO CESAR GOULART BOMFIM</t>
  </si>
  <si>
    <t>TLB-DEG-2025/00191</t>
  </si>
  <si>
    <t>x</t>
  </si>
  <si>
    <t>AVISO 02/2025</t>
  </si>
  <si>
    <t>925150 - 34/2025</t>
  </si>
  <si>
    <t> 925150 - 35/2025</t>
  </si>
  <si>
    <t>90012/2025</t>
  </si>
  <si>
    <t>37753638000103-1-000049/2025</t>
  </si>
  <si>
    <t>37753638000103-1-000090/2025</t>
  </si>
  <si>
    <t>37753638000103-1-000089/2025</t>
  </si>
  <si>
    <r>
      <t xml:space="preserve">Contratação,  mediante  afastamento  licitató-rio,  da  construção  de  backhaul  e  rede  metropolitana aérea e/ou subterrânea, projeto INFOVIA –MA  (fase 1). </t>
    </r>
    <r>
      <rPr>
        <b/>
        <sz val="12"/>
        <color rgb="FF002060"/>
        <rFont val="Calibri"/>
        <family val="2"/>
        <scheme val="minor"/>
      </rPr>
      <t>GRUPO 3.</t>
    </r>
  </si>
  <si>
    <r>
      <t xml:space="preserve">O presente Contrato tem por objeto a contratação de Contratação, mediante afastamento licitatório, da construção de backhaul e rede metropolitana aérea e/ou subterrânea, projeto INFOVIA – MA (fase 2). </t>
    </r>
    <r>
      <rPr>
        <b/>
        <sz val="12"/>
        <color rgb="FF002060"/>
        <rFont val="Calibri"/>
        <family val="2"/>
        <scheme val="minor"/>
      </rPr>
      <t>GRUPOS 1, 2 e 3</t>
    </r>
  </si>
  <si>
    <t>37753638000103-1-000042/2025</t>
  </si>
  <si>
    <t>NÃO</t>
  </si>
  <si>
    <t>TLB-CTR-2025/00112</t>
  </si>
  <si>
    <t>TLB-CTR-2025/00114</t>
  </si>
  <si>
    <t>TLB-PRO-2025/04031</t>
  </si>
  <si>
    <t>Por força da sua atuação em todas as unidades da federação a manutenção dos endereços fiscais atualizados nas citadas Unidades Federadas, é condição indispensável para que sejam mantidas as inscrições estaduais nos Cadastros Fiscais dos respectivos estados e Capitais. Além disso, a Telebras tem outras obrigações com os fiscos estaduais, tais como: cadastro fiscal, entrega de documentos fiscais, recebimento notificações e outras exigências.
Diante disso, resta claro que a Telebras necessita cumprir as exigências das Secretarias de Fazenda Estaduais, no sentido de manter um domicilio fiscal, com o mínimo de infraestrutura, para receber notificações, entregar as obrigações fiscais acessórias nos prazos legais e demais atos inerentes ao bom desempenho das funções correlatas.</t>
  </si>
  <si>
    <t>TLB-TRM-2025/00514</t>
  </si>
  <si>
    <t>O presente Contrato tem por objeto a contratação de empresa especializada na prestação de serviços de locação de escritório empresarial, com serviço de mensageria e recepção em 19 (dezenove) Estados da Federação.</t>
  </si>
  <si>
    <t>BLS COMPANY ASSESSORIA CONTÁBIL LTDA</t>
  </si>
  <si>
    <t>17.465.523/0001-06</t>
  </si>
  <si>
    <t>TLB-PRO-2025/00611</t>
  </si>
  <si>
    <t>A presente necessidade se apresenta para possuir acesso a ferramental que permita o desempenho das atividades de produção de peças publicitárias de comunicação interna e de comunicação externa, bem como a manutenção do portal da Telebras na internet/intranet e as atividades de produção de materiais que comporão os eventos internos das áreas conforme documento de oficialização TLB-NTE-2025/00086 encaminhado pela Assessoria de Comunicação da Telebras (ASCOM).</t>
  </si>
  <si>
    <t>TLB-TRM-2025/00394</t>
  </si>
  <si>
    <t>04.198.254/0001-17</t>
  </si>
  <si>
    <t>TLB-CTR-2025/00115</t>
  </si>
  <si>
    <t>TLB-CTR-2025/00116</t>
  </si>
  <si>
    <t>TLB-CTR-2025/00111</t>
  </si>
  <si>
    <t>TLB-CTR-2025/00113</t>
  </si>
  <si>
    <t>TLB-CTR-2025/00117</t>
  </si>
  <si>
    <t>TLB-CTR-2025/00020</t>
  </si>
  <si>
    <t>TLB-PRO-2024/06004</t>
  </si>
  <si>
    <t>TLB-TRM-2025/00098</t>
  </si>
  <si>
    <t>TLB-DEG-2025/00041</t>
  </si>
  <si>
    <t>TLB-CTR-2026/00009</t>
  </si>
  <si>
    <t>TLB-CTR-2026/00010</t>
  </si>
  <si>
    <t>TLB-CTR-2026/00005</t>
  </si>
  <si>
    <t>O acesso a informações atualizadas sobre os temas afetos à governança corporativa é essencial para que a GIRC e a Diretoria de Governança possam realizar com competência suas atribuições institucionais. O IBGC, como maior referência em governança corporativa no país, permite, por meio da  associação, acesso ao conhecimento atualizado e a troca de experiências e boas práticas entre empresas que estão buscando, como a Telebras, elevar sua capacidade geração de valor por meio da governança, valorizando a ética, a sustentabilidade e a transparência.</t>
  </si>
  <si>
    <t>Associação  da  Telebras  ao  Instituto Brasileiro de Governança Corporativa -IBGC para o ano de 2025.</t>
  </si>
  <si>
    <t>INSTITUTO BRASILEIRO DE GOVERNANÇA CORPORATIVA -IBGC</t>
  </si>
  <si>
    <t>TLB-PRO-2025/01134</t>
  </si>
  <si>
    <t>As estações gateways / teleportos de Florianópolis e Salvador estão em operação oficial desde maio de 2018, localizadas nos seguintes logradouros:  Gateway (Data Center) / Teleporto de Florianópolis - SC, situada no Destacamento do Controle do Espaço Aéreo (DCEA-FL), no Aeroporto Hercílio Luz, Avenida Santos Dumont S/No - Florianópolis - SC;  Gateway (Data Center) / Teleporto de Salvador - BA, situada na Área Militar da Base Aérea de Salvador, na Avenida Tenente Frederico Gustavo dos Santos S/No - São Cristóvão - Salvador - BA.
As infraestruturas críticas implantadas nas Estações de Acesso (Gateways) compõem um Data Center de nível TIER III que engloba: sistema de geração de energia, sistema de energia ininterrupta (Uninterruptible Power Supply - UPS), bancos de baterias, chaves estáticas (STS), chaves de transição automáticas (ATS), subestação de média tensão, painéis de média e baixa tensão, sistema de ar condicionado com condicionadores de precisão - Self Contained (SCP) -, controle de acesso, circuito fechado de televisão (CFTV), cabeamento estruturado, dentre outros. Esses equipamentos são essenciais para a manutenção da alta confiabilidade e disponibilidade exigida pelos equipamentos satelitais que atendem ao projeto SGDC e equipamentos terrestres das salas Point of Presence (PoP).</t>
  </si>
  <si>
    <t>TLB-RMS-2025/00179</t>
  </si>
  <si>
    <t>TLB-DEG-2025/00194</t>
  </si>
  <si>
    <t>Isac Pires Moraes Filho</t>
  </si>
  <si>
    <t>O presente contrato tem por objeto a aquisição de condensadoras adequadas aos equipamentos de Climatização de Precisão / Ar Condicionado / Self Contained das estações gateways / teleportos de Florianópolis e Salvador.</t>
  </si>
  <si>
    <t>VERTIV TECNOLOGIA DO BRASIL LTDA</t>
  </si>
  <si>
    <t>03.698.870/0008-40</t>
  </si>
  <si>
    <t>TLB-PRO-2025/01607</t>
  </si>
  <si>
    <t>TLB-TRM-2025/00417</t>
  </si>
  <si>
    <t>Atualmente, o serviço de Central de Atendimento-Contact Center da TELEBRAS é executado pela empresa TELLUS INFORMÁTICA E TELECOMUNICAÇÕES LTDA, vencedora do processo licitatório TLB-PRO-2022/00164, detentora do Contrato nº 2022/00064, de 27/10/2022.
No momento da renovação contratual para o período de 30 meses, o fornecedor Tellus manifestou que não havia interesse na renovação, pois deixará de atuar no segmento de Contact Center, propondo uma renovação para o período de apenas seis meses.
 Na 1814ª Reunião de Diretoria-REDIR, realizada em 19/03/2025 foi apresentado pela GOC o pleito de renovação para o prazo apontado pelo fornecedor  e determinado o início de licitação para a contratação de novo fornecedor.</t>
  </si>
  <si>
    <t>TLB-DEG-2026/00001</t>
  </si>
  <si>
    <t>Sibele Grasiela Guedes Godinho</t>
  </si>
  <si>
    <t>O presente Contrato tem por objeto a contratação de serviço especializado de Central de Atendimento Multimeios no modelo Contact Center Omnichannel, incluindo infraestrutura, mão de obra, tecnologias e serviço de STFC, mediante o fornecimento de mão de obra exclusiva.</t>
  </si>
  <si>
    <t>ST SERVIÇOS EMPRESARIAIS LTDA</t>
  </si>
  <si>
    <t>18.502.465/0001-06</t>
  </si>
  <si>
    <t>A Telebras tem se empenhado em atender o princípio da eficiência para que a atividade administrativa sejaexercida com presteza, primando pela adoção dos critérios legais e morais necessários para a melhor utilizaçãopossível dos recursos já adquiridos, de maneira a evitar-se desperdícios e garantir-se a melhor e mais eficienteutilização de tecnologias compatíveis com a complexidade imposta por sua área de atuação.</t>
  </si>
  <si>
    <t>TLB-DEG-2026/00029</t>
  </si>
  <si>
    <t>VALDO ORNA DE GUSMÃO JÚNIOR</t>
  </si>
  <si>
    <t>MCR SISTEMAS E CONSULTORIA LTDA</t>
  </si>
  <si>
    <t>TLB-PRO-2025/06493</t>
  </si>
  <si>
    <t>O presente Contrato tem por objeto a contratação de empresa especializada na prestação de serviços de saúde do trabalho, visando à execução do Programa de Controle Médico de Saúde Ocupacional (PCMSO) e demais atividades correlatas, em atendimento à SEDE e COPE-P (DF), COPE-S (RJ) e Escritório Regional de Belém (PA).</t>
  </si>
  <si>
    <t>TLB-TRM-2025/00858</t>
  </si>
  <si>
    <t>TLB-DEG-2026/00002</t>
  </si>
  <si>
    <t>SARAH LIMA MOREIRA MOURA</t>
  </si>
  <si>
    <t>MPV - SERVICOS DE CLÍNICA MÉDICA, CARDIOLOGIA E CIRURGIA GERAL LTDA</t>
  </si>
  <si>
    <t>15.471.958/0001-38</t>
  </si>
  <si>
    <t>TLB-PRO-2025/07019</t>
  </si>
  <si>
    <t>TLB-DEG-2026/00028</t>
  </si>
  <si>
    <t>Atendimento das demandas oriundas do Decreto nº 9.612, de 17 de dezembro de 2018, que instituiu em seu art.12 as atribuições da Telebras como sendo: Implementação da rede privativa de comunicação da administração pública federal;Prestação de apoio e suporte às políticas públicas de conexão à internet em banda larga para universidades, centros de pesquisa, escolas, hospitais, postos de atendimento, tele centros comunitários e outros pontos de interesse público;Provisão de infraestrutura e de redes de suporte a serviços de telecomunicações prestados por empresas privadas, pelos Estados, pelo Distrito Federal, pelos Municípios e por entidades sem fins lucrativos; e  Prestação de serviço de conexão à internet em banda larga para usuários finais, apenas em localidades onde inexista oferta adequada daqueles serviços.</t>
  </si>
  <si>
    <t>O presente Contrato tem por objeto a contratação, mediante o Sistema de Registro de Preços – SRP, de empresa ou consórcio de empresas especializadas em soluções de infraestrutura com o fornecimento e Implantação de UPS para Ar-Condicionado nas Estações de Acesso do SGDC de Campo Grande.</t>
  </si>
  <si>
    <t>TLB-PRO-2025/07285</t>
  </si>
  <si>
    <t>Os constantes ataques cibernéticos, a necessidade de continuidade do negócio e a evolução de ameaças das mais variadas espécies criam a necessidade de contratação de uma solução que proteja as informações da Telebras e diminua os riscos de acesso indevido às mesmas.4.2 A solução que deverá ser adquirida será responsável pela proteção de perímetro, controle e inspeção do tráfego da rede de DCN (Data Control Network) e rede da Sede da Telebras, supervisionando tanto o tráfego externo, entre redes, quanto o tráfego interno, que flui entre usuários, dispositivos e aplicações. Adicionalmente, o Firewall de DCN é responsável por viabilizar a segurança do acesso ao plano de controle da rede de telecomunicaçõe</t>
  </si>
  <si>
    <t>TLB-DEG-2026/00003</t>
  </si>
  <si>
    <t>O presente Contrato tem por objeto a contratação, mediante o sistema de registro de preços – srp, de empresa especializada para atualização, aquisição e instalação de equipamentos firewall compatível e serviços de suporte on-site e manutenção de hardware e software.</t>
  </si>
  <si>
    <t>TLB-PRO-2025/05495</t>
  </si>
  <si>
    <t>Com o fim do contrato de locação TLB-PRO-2020 / 00827, definido para 17/03/2026, a Telebras é obrigada a efetuar a manutenção da sala deixando as mesmas condições de aquisição.  O Plano de Cargas e Salários da TELEBRAS não prevê a atividade de Eletricista e Pintor no quadro de funcionários da empresa e por essa razão a contratação em tela se faz necessária. </t>
  </si>
  <si>
    <t>TLB-TRM-2026/00033</t>
  </si>
  <si>
    <t>2026</t>
  </si>
  <si>
    <t>TLB-DEG-2026/00034</t>
  </si>
  <si>
    <t>Mauro Antonio Pereira da Silva</t>
  </si>
  <si>
    <t>O presente Contrato tem por objeto a contratação de empresa especializada em manutenção predial, pintura, revisão de parte elétrica na sala do Escritório Regional de São Paulo/SP – ER/SP.</t>
  </si>
  <si>
    <t>ROL SOLUÇÕES PREDIAIS LTDA</t>
  </si>
  <si>
    <t>42.290.385/0001-19</t>
  </si>
  <si>
    <t>TLB-PRO-2025/01133</t>
  </si>
  <si>
    <t>TLB-TRM-2025/00589</t>
  </si>
  <si>
    <t>O Governo Federal, por intermédio do Decreto nº 7.769, de 28 de junho de 2012, dispôs sobre a gestão do planejamento, da construção e do lançamento do Satélite Geoestacionário de Defesa e Comunicações Estratégicas - SGDC, onde a Telebras ficou incumbida no desenvolvimento do sistema de Satélite Geoestacionário de Defesa e Comunicações Estratégicas (SGDC)</t>
  </si>
  <si>
    <t>Rodrigo Andrade Silveira de Araujo</t>
  </si>
  <si>
    <t>TLB-DEG-2026/00038</t>
  </si>
  <si>
    <t>O presente contrato tem por objeto a aquisição de componentes dos Grupos Motor Geradores (GMGs) para as Estações de Acesso /Gateways.</t>
  </si>
  <si>
    <t>ROLLS ROYCE SOLUTIONS</t>
  </si>
  <si>
    <t>48.600.191/0001-59</t>
  </si>
  <si>
    <t> Considerando as atribuições da Telebras e sua atuação em âmbito nacional, a contratação de serviços de locação de escritórios empresariais, com suporte de recepção e mensageria é necessária para possibilitar o cumprimento de obrigações legais e fiscais perante os fiscos estaduais, incluindo a manutenção das inscrições estaduais nos cadastros fiscais, recebimento de notificações, entrega de documentos fiscais e atendimento a outras exigências normativas</t>
  </si>
  <si>
    <t>TLB-DEG-2025/00202</t>
  </si>
  <si>
    <t>Maria Luzineide Borges dos Santos</t>
  </si>
  <si>
    <t>O presente Contrato tem por objeto a contratação de empresa especializada na prestação de serviços de locação de escritório empresarial, com serviço de mensageria e recepção em 2 (dois) Estados da Federação</t>
  </si>
  <si>
    <t>MOORE METRI CONSULTORIA LTDA</t>
  </si>
  <si>
    <t>01.666.787/0001-98</t>
  </si>
  <si>
    <t>PROJELITE SOLUÇÕES TECNOLÓGICAS LTDA</t>
  </si>
  <si>
    <t>27.813.226/0001-68</t>
  </si>
  <si>
    <t xml:space="preserve">Fornecimento de licenças de uso do software Adobe Creative Cloud for Teams. </t>
  </si>
  <si>
    <t>Fornecimento de licenças do software Envato Elements</t>
  </si>
  <si>
    <t>CONTRATOS  FORMALIZADOS EM 2025</t>
  </si>
  <si>
    <t>Somente Notas de Empenhos, Ordens de Compras e Termo de Adesão (Planilha 4)</t>
  </si>
  <si>
    <t>Somente CTRs (Planilha 14)</t>
  </si>
  <si>
    <t>Consolidado de todos os contratos (Planilhas 4 e 14)</t>
  </si>
  <si>
    <t xml:space="preserve">Contratação, mediante registro de preços, de empresa especializada para atualização, aquisição e instalação de equipamentos Firewall compatível e serviços de suporte on-site e manutenção de hardware e software, de acordo com o Termo de Referência e seus </t>
  </si>
  <si>
    <t>Contratação, mediante registro de preços, de empresa ou consórcio de empresas especializadas no fornecimento de soluções de infraestrutura para implantação de UPS para o Ar-Condicionado nas Estações de Acesso do SGDC de Campo Grande, Florianópolis e Salvador, incluindo garantia e assistência técnica.</t>
  </si>
  <si>
    <t>Aquisição de EPI - LOTE III.</t>
  </si>
  <si>
    <t>Aquisição de EPI - LOTE II.</t>
  </si>
  <si>
    <t>Aquisição de EPI - LOTE IV; LOTE V; e LOTE VI.</t>
  </si>
  <si>
    <t xml:space="preserve">RELATÓRIO DE AQUISIÇÃO DE BENS - EXERCÍCIO 2025 </t>
  </si>
  <si>
    <t>90016/2025</t>
  </si>
  <si>
    <t>90015/2025</t>
  </si>
  <si>
    <t>90014/2025</t>
  </si>
  <si>
    <t>CATMAT/CATSER</t>
  </si>
  <si>
    <t>capacitação</t>
  </si>
  <si>
    <t>925150 - 40/2025</t>
  </si>
  <si>
    <t>925150 - 41/2025</t>
  </si>
  <si>
    <t>925150 - 42/2025</t>
  </si>
  <si>
    <t>ATA LANÇADA NO PNCP?</t>
  </si>
  <si>
    <t>27/10/2022</t>
  </si>
  <si>
    <t>TLB-CTR-2026/00015</t>
  </si>
  <si>
    <t> O presente Termo Aditivo tem por objeto: (i) a prorrogação da vigência do Contrato por mais 12 (doze) meses; e (ii) o acréscimo quantitativo do objeto, limitado a 25% (vinte e cinco por cento) do valor global originalmente pactuado, com a correspondente atualização do valor global do Contrato.</t>
  </si>
  <si>
    <t>O presente Contrato tem por objeto a contratação de empresa especializada na prestação de serviços de apoio logístico na produção de eventos, sob demanda, compreendendo o planejamento, a organização, a promoção, a execução e o acompanhamento de organização de eventos e serviços correlatos, para atender demanda da TELEBRAS.</t>
  </si>
  <si>
    <t>VIVER EVENTOS LTDA</t>
  </si>
  <si>
    <t>04.274.005/0001-63</t>
  </si>
  <si>
    <t>NTSEC  SOLUÇÕES EM TELEINFORMÁTICA LTDA</t>
  </si>
  <si>
    <t>90011/2025</t>
  </si>
  <si>
    <t>925150 - 2/2026</t>
  </si>
  <si>
    <t>Sistema de gestão documental SIGA-DOC com acesso restrito para usuários</t>
  </si>
  <si>
    <t> 925150 - 3/2026</t>
  </si>
  <si>
    <t>UASG</t>
  </si>
  <si>
    <t>Nº PROCESSO SIGA</t>
  </si>
  <si>
    <t>NATUREZA DO CONTRATO</t>
  </si>
  <si>
    <t>CNPJ/CPF</t>
  </si>
  <si>
    <t xml:space="preserve">Nº DEG </t>
  </si>
  <si>
    <t>VALOR CONTRATO</t>
  </si>
  <si>
    <t>INÍCIO VIGÊNCIA</t>
  </si>
  <si>
    <t>FINAL 
VIGÊNCIA</t>
  </si>
  <si>
    <t>Arquivo do contrato</t>
  </si>
  <si>
    <t>Inserir link gerado no WordPress</t>
  </si>
  <si>
    <t>https://www.telebras.com.br/wp-content/uploads/2026/03/TLB-CTR-202500117.pdf</t>
  </si>
  <si>
    <t>https://www.telebras.com.br/wp-content/uploads/2026/03/TLB-CTR-202600009.pdf</t>
  </si>
  <si>
    <t>https://www.telebras.com.br/wp-content/uploads/2026/03/TLB-CTR-202600015.pdf</t>
  </si>
  <si>
    <t>https://www.telebras.com.br/wp-content/uploads/2026/03/TLB-CTR-202600005.pdf</t>
  </si>
  <si>
    <t>https://www.telebras.com.br/wp-content/uploads/2025/03/3.TLB-CTR-2025.00004-CONSORCIO-INBLOKO.pdf</t>
  </si>
  <si>
    <t>https://www.telebras.com.br/wp-content/uploads/2025/03/5.TLB-CTR-2025.00013-BR-22-ALUGUEL-DE-CARROS.pdf</t>
  </si>
  <si>
    <t>https://www.telebras.com.br/wp-content/uploads/2025/04/5.TLB-CTR-2025.00022-DELL-COMPUTADORES-DO-BRASIL-LTDA.pdf</t>
  </si>
  <si>
    <t>https://www.telebras.com.br/wp-content/uploads/2025/04/11.TLB-CTR-2025.00024-SC-BRASIL-GROUP-SOLUCOES-TECNOLOGICAS-LTDA.pdf</t>
  </si>
  <si>
    <t>https://www.telebras.com.br/wp-content/uploads/2025/05/12.TLB-CTR-2025.00026-SACHA-CALMON-MISABEL-DERZI-CONSULTORES-E-ADVOGADOS.pdf</t>
  </si>
  <si>
    <t>https://www.telebras.com.br/wp-content/uploads/2026/01/35.TLB-CTR-2025.00112-BLS-COMPANY-ASSESSORIA-CONTABIL-LTDA.pdf</t>
  </si>
  <si>
    <t>https://www.telebras.com.br/wp-content/uploads/2026/01/36.TLB-CTR-2025.00114-MCR-SISTEMAS-E-CONSULTORIA-LTDA.pdf</t>
  </si>
  <si>
    <t>https://www.telebras.com.br/wp-content/uploads/2026/01/41.TLB-CTR-2025.00115-MPV-SERVICOS-DE-CLINICA-MEDICA-CARDIOLOGIA-E-CIRURGIA-GERAL-LTDA.pdf</t>
  </si>
  <si>
    <t>https://www.telebras.com.br/wp-content/uploads/2024/12/4.2024NE000661-SMARTX-IMPORTACAO-E-COMERCIO-LTDA.pdf</t>
  </si>
  <si>
    <t>https://www.telebras.com.br/wp-content/uploads/2024/12/7.2024NE000575-JMC-PRESTACAO-DE-SERVICOS-DIVERSOS-LTDA.pdf</t>
  </si>
  <si>
    <t>https://www.telebras.com.br/wp-content/uploads/2024/12/8.2024NE000576-PIRES-SANTOS-COMERCIO-LTDA.pdf</t>
  </si>
  <si>
    <t>https://www.telebras.com.br/wp-content/uploads/2024/12/9.2024NE000669-GRAFICA-E-EDITORA-FERNANDES-E-LIRA-LTDA.pdf</t>
  </si>
  <si>
    <t>https://www.telebras.com.br/wp-content/uploads/2024/12/10.2024NE000670-BRASILIA-COMERCIO-ATACADISTA-DE-SUPRIMENTOS-DE-PAPELARIA-LTDA.pdf</t>
  </si>
  <si>
    <t>https://www.telebras.com.br/wp-content/uploads/2024/12/11.2024NE000606-PRONTO-EVENTOS-TECNOLOGIA-E-INTEGRACAO-LTDA.pdf</t>
  </si>
  <si>
    <t>https://www.telebras.com.br/wp-content/uploads/2024/12/12.2024NE000566-ACCESS-INTELLIGENCE-LLC.pdf</t>
  </si>
  <si>
    <t>https://www.telebras.com.br/wp-content/uploads/2024/12/13.2024NE000628-ATP-SPECIALS-BV.pdf</t>
  </si>
  <si>
    <t>https://www.telebras.com.br/wp-content/uploads/2024/12/14.2024NE000601-INLABS-CAPACITACAO-PROFISSIONAL-LTDA.pdf</t>
  </si>
  <si>
    <t>https://www.telebras.com.br/wp-content/uploads/2024/12/16.2024NE000632-ZENITE-INFORMACAO-E-CONSULTORIA-SA.pdf</t>
  </si>
  <si>
    <t>https://www.telebras.com.br/wp-content/uploads/2024/12/17.2024NE000653-CENOFISCO-CENTRO-DE-CAPACITACAO-PROFISSIONAL-LTDA.pdf</t>
  </si>
  <si>
    <t>https://www.telebras.com.br/wp-content/uploads/2024/12/18.TLB-CTR-202400006-HC-COMUNICACAO-DE-DADOS-LTDA.pdf</t>
  </si>
  <si>
    <t>https://www.telebras.com.br/wp-content/uploads/2024/12/19.TLB-CTR-202400007-HC-COMUNICACAO-DE-DADOS-LTDA.pdf</t>
  </si>
  <si>
    <t>https://www.telebras.com.br/wp-content/uploads/2024/12/20.TLB-CTR-202400011-SECPOWER-COMERCIAL-IMPORTADORA-EXPORTADORA-LTDA.pdf</t>
  </si>
  <si>
    <t>https://www.telebras.com.br/wp-content/uploads/2024/12/23.TLB-CTR-202400026-G9-FACILITIES-LTDA.pdf</t>
  </si>
  <si>
    <t>https://www.telebras.com.br/wp-content/uploads/2024/12/26.TLB-CTR-202400032-QUANTICA-EMPRESA-DE-CONSULTORIA-E-SERVICOS-LTDA.pdf</t>
  </si>
  <si>
    <t>https://www.telebras.com.br/wp-content/uploads/2024/12/27.TLB-CTR-202400035-CENTRAL-SERVICOS-E-GESTAO-LTDA.pdf</t>
  </si>
  <si>
    <t>https://www.telebras.com.br/wp-content/uploads/2025/02/28.1.TLB-CTR-202400040-IMPAKT-CONSULTORIA-SS-LIMITADA.pdf</t>
  </si>
  <si>
    <t>https://www.telebras.com.br/wp-content/uploads/2024/12/29.-TLB-CTR-2024-00045-INSTITUTO-BRASILEIRO-DE-GOVERNANCA-CORPORATIVA-IBGC.pdf</t>
  </si>
  <si>
    <t>https://www.telebras.com.br/wp-content/uploads/2024/12/32.2024NE000831-LEGACY-DISTRIBUIDORA-DE-INFORMATICA-E-ELETROELETRONICOS-LTDA.pdf</t>
  </si>
  <si>
    <t>https://www.telebras.com.br/wp-content/uploads/2024/12/34.2024NE000684-IBET-INSTITUTO-BRASILEIRO-DE-ESTUDOS-TRIBUTARIOS.pdf</t>
  </si>
  <si>
    <t>https://www.telebras.com.br/wp-content/uploads/2024/12/35.2024NE000711-INTEGRACAO-ESCOLA-DE-NEGOCIOS-LTDA.pdf</t>
  </si>
  <si>
    <t>https://www.telebras.com.br/wp-content/uploads/2024/12/36.2024NE000869-SEC-POWER-COMERCIAL-IMPORTADORA-E-EXPORTADORA-LTDA.pdf</t>
  </si>
  <si>
    <t>https://www.telebras.com.br/wp-content/uploads/2024/12/38.2024NE000893-ROBSON-O-DE-SOUZA.pdf</t>
  </si>
  <si>
    <t>https://www.telebras.com.br/wp-content/uploads/2024/12/39.2024NE000909-Bioseg-Brasilia-Solucoes-em-Seguranca-e-Medicina-do-Trabalho-Ltda.pdf</t>
  </si>
  <si>
    <t>https://www.telebras.com.br/wp-content/uploads/2024/12/40.2024NE000885-PS-Treinamento-Profissional-e-Consultoria-Empresarial-Ltda.pdf</t>
  </si>
  <si>
    <t>https://www.telebras.com.br/wp-content/uploads/2024/12/41.2024NE000896-ASSOCIACAO-BRASILEIRA-DE-ENTIDADES-ESTADUAIS.pdf</t>
  </si>
  <si>
    <t>https://www.telebras.com.br/wp-content/uploads/2024/12/42.2024NE000895-ASSOCIACAO-BRASILEIRA-DE-RECURSOS-HUMANOS.pdf</t>
  </si>
  <si>
    <t>https://www.telebras.com.br/wp-content/uploads/2024/12/43.2024NE000915-INSTITUTO-BRASILEIRO-DE-GOVERNANCA-CORPORATIVA.pdf</t>
  </si>
  <si>
    <t>https://www.telebras.com.br/wp-content/uploads/2024/12/44.2024NE000682-COMERCIAL-ALVORADA-DE-PRODUTOS-PARA-LIMPEZA-E-DESCARTAVEIS-LTDA.pdf</t>
  </si>
  <si>
    <t>https://www.telebras.com.br/wp-content/uploads/2024/12/45.2024NE000817-SUBLIMA-BOLSAS-LTDA.pdf</t>
  </si>
  <si>
    <t>https://www.telebras.com.br/wp-content/uploads/2024/12/53.TLB-CTR-202400064-CONVERGY-SERVICOS-E-CONTABILIDADE-LTDA.pdf</t>
  </si>
  <si>
    <t>https://www.telebras.com.br/wp-content/uploads/2024/12/55.2024NE000971-FUNDACAO-GETULIO-VARGAS.pdf</t>
  </si>
  <si>
    <t>https://www.telebras.com.br/wp-content/uploads/2024/12/56.2024NE000972-INSTITUTO-BRASILEIRO-DE-GOVERNANCA-CORPORATIVA.pdf</t>
  </si>
  <si>
    <t>https://www.telebras.com.br/wp-content/uploads/2024/12/58.2024NE000985-Bioseg-Brasilia-Solucoes-em-Seguranca-e-Medicina-do-Trabalho-Ltda.pdf</t>
  </si>
  <si>
    <t>https://www.telebras.com.br/wp-content/uploads/2024/12/59.2024NE001046-NP-Tecnologia-e-Gestao-de-Dados-Ltda.pdf</t>
  </si>
  <si>
    <t>https://www.telebras.com.br/wp-content/uploads/2024/12/60.TLB-CTR-2024-00081-DINAMICA-CONSULTORIA-E-SOLUCOES-EMPRESARIAIS-LTDA.pdf</t>
  </si>
  <si>
    <t>https://www.telebras.com.br/wp-content/uploads/2025/02/62.TLB-CTR-202400090-PRIME-COMERCIO-E-SERVICOS-DE-EXTINTORES.pdf</t>
  </si>
  <si>
    <t>https://www.telebras.com.br/wp-content/uploads/2025/02/66.TLB-CTR-202400095-ADTK-COM-E-SERV-INFORM-E-TELECOM.pdf</t>
  </si>
  <si>
    <t>https://www.telebras.com.br/wp-content/uploads/2025/02/67.TLB-CTR-202400096-HC-COMUNICACAO-DE-DADOS-LTDA.pdf</t>
  </si>
  <si>
    <t>https://www.telebras.com.br/wp-content/uploads/2025/02/68.2024NE000946-Fundacao-Getulio-Vargas.pdf</t>
  </si>
  <si>
    <t>https://www.telebras.com.br/wp-content/uploads/2025/02/69.2024NE001059-MARCIA-GONCALVES-FARIA-ROSA.pdf</t>
  </si>
  <si>
    <t>https://www.telebras.com.br/wp-content/uploads/2025/02/70.2024NE001078-ZENITE-INFORMACAO-E-CONSULTORIA-SA.pdf</t>
  </si>
  <si>
    <t>https://www.telebras.com.br/wp-content/uploads/2025/02/71.2024NE001081-INSTITUTO-BRASILEIRO-DE-GOVERNANCA-CORPORATIV_1.pdf</t>
  </si>
  <si>
    <t>https://www.telebras.com.br/wp-content/uploads/2025/02/72.2024NE001084-FUNDACAO-INSTITUTO-NACIONAL-DE-TELECOMUNICACO_2.pdf</t>
  </si>
  <si>
    <t>https://www.telebras.com.br/wp-content/uploads/2025/02/73.2024NE001085-AKADEMIA-DE-TRANSFORMACAO-ORGANIZACIONAL-LTDA.pdf</t>
  </si>
  <si>
    <t>https://www.telebras.com.br/wp-content/uploads/2025/02/74.2024NE001082-MARIANA-RODRIGUES-DE-LIMA_3.pdf</t>
  </si>
  <si>
    <t>https://www.telebras.com.br/wp-content/uploads/2025/02/75.2024NE001088-BMEC-EDUCACIONAL-LTDA_4.pdf</t>
  </si>
  <si>
    <t>https://www.telebras.com.br/wp-content/uploads/2025/02/76.2024NE001105-SINGULARES-TECNOLOGIA-DA-INFORMACAO-LTDA.pdf</t>
  </si>
  <si>
    <t>https://www.telebras.com.br/wp-content/uploads/2025/02/77.2024NE001098-MINDWORKS-TECNOLOGIA-E-TREINAMENTO-LTDA_5.pdf</t>
  </si>
  <si>
    <t>https://www.telebras.com.br/wp-content/uploads/2025/02/78.2024NE001103-FUNDACAO-INSTITUTO-DE-PESQUISAS-CONTABEIS-AT.pdf</t>
  </si>
  <si>
    <t>https://www.telebras.com.br/wp-content/uploads/2025/02/79.2024NE001108-MINDWORKS-TECNOLOGIA-E-TREINAMENTO-LTDA.pdf</t>
  </si>
  <si>
    <t>https://www.telebras.com.br/wp-content/uploads/2025/02/80.2024NE001104-MINDWORKS-TECNOLOGIA-E-TREINAMENTO-LTDA.pdf</t>
  </si>
  <si>
    <t>https://www.telebras.com.br/wp-content/uploads/2025/02/81.2024NE001110-KPMG-ASSURANCE-SERVICES-LTDA.pdf</t>
  </si>
  <si>
    <t>https://www.telebras.com.br/wp-content/uploads/2025/02/82.2024NE001109-ABTD-ASSOCIACAO-BRASILEIRA-DE-TREINAMENTO_6.pdf</t>
  </si>
  <si>
    <t>https://www.telebras.com.br/wp-content/uploads/2025/02/83.2024NE001137-KA-SOLUTION-INFORMATICA-LTDA_7.pdf</t>
  </si>
  <si>
    <t>https://www.telebras.com.br/wp-content/uploads/2025/03/84.TLB-ASS-202411008-Fundacao-Nacional-da-Qualidade-FNQ.pdf</t>
  </si>
  <si>
    <t>https://www.telebras.com.br/wp-content/uploads/2024/12/33.2024NE000840-CALCAM-COMERCIAL-DE-SUPRIMENTOS-DE-INFORMATICA-LTDA.pdf</t>
  </si>
  <si>
    <t>jan/2024</t>
  </si>
  <si>
    <t>fev/2024</t>
  </si>
  <si>
    <t>abr/2024</t>
  </si>
  <si>
    <t>mar/2024</t>
  </si>
  <si>
    <t>mai/2024</t>
  </si>
  <si>
    <t>jun/2024</t>
  </si>
  <si>
    <t>jul/2024</t>
  </si>
  <si>
    <t>ago/2024</t>
  </si>
  <si>
    <t>out/2024</t>
  </si>
  <si>
    <t>set/2024</t>
  </si>
  <si>
    <t>nov/2024</t>
  </si>
  <si>
    <t>dez/2024</t>
  </si>
  <si>
    <t>jan/2025</t>
  </si>
  <si>
    <t>fev/2025</t>
  </si>
  <si>
    <t>mar/2025</t>
  </si>
  <si>
    <t>abr/2025</t>
  </si>
  <si>
    <t>mai/2025</t>
  </si>
  <si>
    <t>jun/2025</t>
  </si>
  <si>
    <t>jul/2025</t>
  </si>
  <si>
    <t>ago/2025</t>
  </si>
  <si>
    <t>set/2025</t>
  </si>
  <si>
    <t>out/2025</t>
  </si>
  <si>
    <t>nov/2025</t>
  </si>
  <si>
    <t>dez/2025</t>
  </si>
  <si>
    <t>jan/2026</t>
  </si>
  <si>
    <t>fev/2026</t>
  </si>
  <si>
    <t>Soma de VALOR CONTRATO</t>
  </si>
  <si>
    <t>TLB-CTR-2026/00018</t>
  </si>
  <si>
    <t>TLB-CTR-2026/00019</t>
  </si>
  <si>
    <t>TLB-CTR-2026/00023</t>
  </si>
  <si>
    <t>TLB-PRO-2026/01355</t>
  </si>
  <si>
    <t>TECNO 2000 INDUSTRIA E COMÉRCIO LTDA</t>
  </si>
  <si>
    <t>RDM TECHNOLOGY LTDA</t>
  </si>
  <si>
    <t>44.455.778/0001-60</t>
  </si>
  <si>
    <t>TLB-PRO- 2026/00394</t>
  </si>
  <si>
    <t>Contratação de empresa especializada para fornecimento de solução para realização deAssembleias Gerais Digitais em conformidade com as regras da Comissão de Valores Mobiliários</t>
  </si>
  <si>
    <t>Aquisição de 125 (cento e vinte e cinco) cadeiras ergonômicas a serem utilizadas pelos colaboradores que exercerão suas atividades funcionais na nova sede da TELEBRAS.</t>
  </si>
  <si>
    <t>Contratação dos serviços de atualização de versão, manutenção, suporte técnico e implantação de melhorias do software GUEPARDO integrado ao ambiente ERP/SAP Telebras.</t>
  </si>
  <si>
    <t>TLB-PRO-2025/00832</t>
  </si>
  <si>
    <t>NTT  DATA  BUSINESS  SOLUTIONS –SER-VIÇOS DE TECNOLOGIA LTDA</t>
  </si>
  <si>
    <t>07.592.315/0001-14</t>
  </si>
  <si>
    <t>mar/2026</t>
  </si>
  <si>
    <t>ER-SP</t>
  </si>
  <si>
    <t> presente Contrato tem por objeto a aquisição de 125 (cento e vinte e cinco) cadeiras ergonômicas a serem utilizadas pelos colaboradores que exercerão suas atividades funcionais na nova sede da TELEBRAS</t>
  </si>
  <si>
    <t>TLB-DEG-2026/00068</t>
  </si>
  <si>
    <t>THALES SETSUO YOSHIDA</t>
  </si>
  <si>
    <t>Solicitação da Diretoria Administrativo-Financeira e de Relações com Investidores para contratação de Solução de Assembleias Digitais.</t>
  </si>
  <si>
    <t>TLB-TRM-2026/00178</t>
  </si>
  <si>
    <t>TLB-DEG-2026/00064</t>
  </si>
  <si>
    <t>LEANDRO NEVES DE OLIVEIRA BANDO</t>
  </si>
  <si>
    <t>Serviço</t>
  </si>
  <si>
    <t>O presente contrato tem por objeto a contratação dos serviços de atualização de versão, manutenção, suporte técnico e implantação de melhorias do software GUEPARDO integrado ao ambiente ERP/SAP Telebras.</t>
  </si>
  <si>
    <t>TLB-DEG-2026/00071</t>
  </si>
  <si>
    <t>TLB-TRM-2026/00228</t>
  </si>
  <si>
    <t>TLB-CTR-2026/00024</t>
  </si>
  <si>
    <t>TLB-PRO-2025/00992</t>
  </si>
  <si>
    <t>Aquisição de sobressalentes de infraestrutura associadas a ventilação e climatização das estações de telecomunicações da Rede Nacional de Telecomuni-cações da Telebras</t>
  </si>
  <si>
    <t> O objeto a ser contratado trata-se de sobressalente necessário à manutenibilidade da Planta da Rede Nacional de Telecomunicações, consistindo em peças, partes ou subpartes de equipamentos integrantes das Estações de Telecomunicações</t>
  </si>
  <si>
    <t>TLB-DEG-2026/00073</t>
  </si>
  <si>
    <t>FERNANDO MARCIO VIEIRA COUTINHO</t>
  </si>
  <si>
    <t>TLB-CTR-2026/00025</t>
  </si>
  <si>
    <t>BANCO BRADESCO S/A</t>
  </si>
  <si>
    <t>60.746.948/0001-12</t>
  </si>
  <si>
    <t>TLB-DEG-2026/00075</t>
  </si>
  <si>
    <t>TLB-PRO-2025/05007</t>
  </si>
  <si>
    <t>Contratação de serviços de escrituração e gerenciamento de ações escriturais.</t>
  </si>
  <si>
    <t>TLB-TRM-2026/00010</t>
  </si>
  <si>
    <t>https://www.telebras.com.br/wp-content/uploads/2025/07/1.-TLB-ARP-2022-00001_iNB-Tecnologia-LTDA.pdf</t>
  </si>
  <si>
    <t>https://www.telebras.com.br/wp-content/uploads/2025/07/2.-TLB-ARP-2022-00003_PADTEC-SA.pdf</t>
  </si>
  <si>
    <t>https://www.telebras.com.br/wp-content/uploads/2025/07/4.-TLB-ARP-2022-00006_FK-GRUPO-SA.pdf</t>
  </si>
  <si>
    <t>https://www.telebras.com.br/wp-content/uploads/2025/07/3.-TLB-ARP-2023-00005_INFOPLAN-TECNOLOGIA-COMERCIO-E-SERVICOS-LTDA-EPP.pdf</t>
  </si>
  <si>
    <t>https://www.telebras.com.br/wp-content/uploads/2025/07/4.-TLB-ARP-2023-00006_HC-COMUNICACAO-DE-DADOS-LTDA.pdf</t>
  </si>
  <si>
    <t>https://www.telebras.com.br/wp-content/uploads/2026/04/TLBCTR202600025-BANCO-BRADESCO-SA-4.pdf</t>
  </si>
  <si>
    <t>90005/2026</t>
  </si>
  <si>
    <t>PUBLICAÇÃO DOS CONTRATOS FORMALIZADOS EM 2026 - SITE TELEBRAS</t>
  </si>
  <si>
    <t>TLB-CTR-2026/00029</t>
  </si>
  <si>
    <t>TLB-CTR-2026/00030</t>
  </si>
  <si>
    <t>TLB-PRO-2025/04588</t>
  </si>
  <si>
    <t>TLB-DEG-2026/00084</t>
  </si>
  <si>
    <t>MARIA LUZINEIDE BORGES DOS SANTOS</t>
  </si>
  <si>
    <t>72.597.966/0001-69</t>
  </si>
  <si>
    <t>VIAGENS BRASIL TURISMO LTDA</t>
  </si>
  <si>
    <t>Contratação de solução para aluguel de veículos sem motorista em todo o território nacional.</t>
  </si>
  <si>
    <t>43.711.856/0001-88</t>
  </si>
  <si>
    <t>GOIASTEC COMERCIO E SERVIÇOS LTDA</t>
  </si>
  <si>
    <t>TLB-PRO-2025/00998</t>
  </si>
  <si>
    <t>sobressalentes de infraestrutura associadas ao GMG - Grupo Motor Gerador, das estações de telecomunicações da Rede Nacional de Telecomunicações da TELEBRAS.</t>
  </si>
  <si>
    <t>TLB-DEG-2026/00085</t>
  </si>
  <si>
    <t>Mauricio de Souza Santos</t>
  </si>
  <si>
    <t>10016878</t>
  </si>
  <si>
    <t>4400003388 </t>
  </si>
  <si>
    <t>https://www.telebras.com.br/wp-content/uploads/2026/05/TLB-CTR-202600029_VIAGENS-BRASIL-TURISMO-LTDA.pdf</t>
  </si>
  <si>
    <t>TLB-ARP-2026/00002</t>
  </si>
  <si>
    <t>TLB-ARP-2026/00001</t>
  </si>
  <si>
    <t>TLB-PRO-2025/05452</t>
  </si>
  <si>
    <t>PRES</t>
  </si>
  <si>
    <t>GB-PR</t>
  </si>
  <si>
    <t>PE SRP n° 90004/2026</t>
  </si>
  <si>
    <t>TLB-DEG-2026/00091</t>
  </si>
  <si>
    <t>Valdo Orna de Gusmao Junior</t>
  </si>
  <si>
    <t>05/05/2026</t>
  </si>
  <si>
    <t>FORTE  GRÁFICA  E  EDITORA  LTDA</t>
  </si>
  <si>
    <t>03.157.626/0001-i02</t>
  </si>
  <si>
    <t>mai/2026</t>
  </si>
  <si>
    <t>abr/2026</t>
  </si>
  <si>
    <t>TLB-CTR-2026/00033</t>
  </si>
  <si>
    <t>TLB-PRO-2024/05917</t>
  </si>
  <si>
    <t>Contratação de serviços especializados de reparos de equipamentos e componentes DWDM para atendimento de RMAs da planta de telecomuni-cações da TELEBRAS</t>
  </si>
  <si>
    <t>PADTEC S.A.</t>
  </si>
  <si>
    <t>03.549.807/0009-23</t>
  </si>
  <si>
    <t>TLB-DEG-2026/00095</t>
  </si>
  <si>
    <t>PERICLES AUGUSTUS BARBOSA POVOA</t>
  </si>
  <si>
    <t>Motivação essencial dessa Contratação é garantir o atendimento da obrigação de fornecimento de sobressalentes de equipamentos DWDM por parte da TELEBRAS S/A no Contrato TLB-CTR-2022/00067 e, por conseguinte, garantir o cumprimento dos Objetivos Estratégicos da TELEBRAS S/A, já explanadas no item “2” do Termo de Referência TLB-REF-2022/00146 do referido Contrato TLB-CTR-2022/00067. </t>
  </si>
  <si>
    <t>00028/2023</t>
  </si>
  <si>
    <t>90007/2026</t>
  </si>
  <si>
    <t>925150 - 19/2026</t>
  </si>
  <si>
    <t>925150 - 17/2026</t>
  </si>
  <si>
    <t xml:space="preserve"> 925150 - 20/2026</t>
  </si>
  <si>
    <t>ARP</t>
  </si>
  <si>
    <t>Gestor da ARP</t>
  </si>
  <si>
    <t>CECÍLIA REGINA</t>
  </si>
  <si>
    <t>TLB-CTR-2026/00036</t>
  </si>
  <si>
    <t>TLB-PRO-2026/03298</t>
  </si>
  <si>
    <t>TLB-DEG-2026/00112</t>
  </si>
  <si>
    <t>GILSON SOUZA DOS SANTOS</t>
  </si>
  <si>
    <t xml:space="preserve">Prestação de serviços técnicos de auditoria independente para o 2º, 3º e 4º trimestres de 2026, com a apresentação das demonstrações anuais. </t>
  </si>
  <si>
    <t xml:space="preserve">43.384.179/0001-30 </t>
  </si>
  <si>
    <t>A contratação emergencial de auditoria pela Telebras em 2026 se justifica porque o contrato vigente não poderia ser prorrogado além do limite legal de 25% previsto na Lei nº 13.303/2016. O novo aditivo cobre apenas o 1º trimestre, deixando os demais períodos sem auditoria, o que gera risco de descumprimento de prazos e obrigações legais. Como companhia aberta listada na B3, a Telebras deve cumprir o art. 177, §3º da Lei nº 6.404/76, que exige auditoria independente registrada na CVM. Assim, a dispensa de licitação é medida transitória para garantir a continuidade em 2026, enquanto se prepara licitação definitiva pelo RELIC para os anos seguintes.</t>
  </si>
  <si>
    <t>Art. 30, inciso II, da Lei nº 13.303/2017</t>
  </si>
  <si>
    <t>TLB-CTR-2026/00042</t>
  </si>
  <si>
    <t>FORTE GRÁFICA E EDITORA LTDA</t>
  </si>
  <si>
    <t>03.157.626/0001-02</t>
  </si>
  <si>
    <t>TLB-PRO-2026/03934</t>
  </si>
  <si>
    <t>TLB-DEG-2026/00119</t>
  </si>
  <si>
    <t>Valdo Ornã de Gusmão Junior</t>
  </si>
  <si>
    <t>A demanda trata da atualização da identidade visual da Telebras em razão da adoção do novo logotipo. Os adesivos serão aplicados no Gabinete da Presidência, espaço de representação institucional, garantindo padronização e alinhamento à nova marca. A substituição dos materiais assegura a correta aplicação da identidade visual e fortalece a imagem institucional perante visitantes, autoridades e parceiros.</t>
  </si>
  <si>
    <t>Rótulos de Coluna</t>
  </si>
  <si>
    <t>Contagem de Nº CONTRATO</t>
  </si>
  <si>
    <t>TLB-CTR-2026/00044</t>
  </si>
  <si>
    <t xml:space="preserve">TLB-PRO-2026/02400 </t>
  </si>
  <si>
    <t xml:space="preserve">Contratação de seguro contra perdas e danos para o Satélite Geoestacionário de Defesa e Comuni-cação (SGDC) em Órbita, durante o período de 12 (doze) meses. </t>
  </si>
  <si>
    <t>67.865.360/0001-27</t>
  </si>
  <si>
    <t>4400003400</t>
  </si>
  <si>
    <t>10016894</t>
  </si>
  <si>
    <t>TLB-DEG-2026/00120</t>
  </si>
  <si>
    <t>RODNEY GOMES FELIPE</t>
  </si>
  <si>
    <t xml:space="preserve">ALLSEG SEGURADORA S/A </t>
  </si>
  <si>
    <t>CONTROLE PNCP
SISTEMA</t>
  </si>
  <si>
    <t>ELETRÔNICO</t>
  </si>
  <si>
    <t>TRADICIONAL</t>
  </si>
  <si>
    <t xml:space="preserve">METRÓPOLE - AUDITORES INDEPENDEN-TES ASSOCIADOS S/S </t>
  </si>
  <si>
    <t>Confecção e instalação de 3 (três) adesivos institucionais, sendo 1 (um) nas dimensões de 81 cm x 2,4 m e 2 (dois) nas dimensões de 1,12 m x 2,4 m.</t>
  </si>
  <si>
    <t>Contratação de seguro contra danos e perdas durante 12 (doze) meses para o SGDC em órbita para o período 2026/2027</t>
  </si>
  <si>
    <t>Contratação de serviços de escrituração de ações e outras obrigações societárias da Telecomunicações Brasileiras S.A – Telebras, a serem executados por instituição financeira devidamente autorizada pela Comissão de Valores Mobiliários – CVM</t>
  </si>
  <si>
    <t>Contratação de empresa especializada em locação de veículos automotivos, por demanda, para deslocamentos terrestres, sem motorista, com quilometragem livre, seguro total sem franquia com cobertura para danos pessoais e materiais de terceiros e com todos os equipamentos suplementares de segurança exigidos pelo Conselho Nacional de Trânsito - CONTRAN.</t>
  </si>
  <si>
    <t>Aquisição de sobressalentes de infraestrutura associadas ao GMG - Grupo Motor Gerador, das estações de telecomunicações da Rede Nacional de Telecomunicações da TELEBRAS.</t>
  </si>
  <si>
    <t>https://www.telebras.com.br/wp-content/uploads/2026/08/TLB-CTR-202600018.pdf</t>
  </si>
  <si>
    <t>TLB-CTR-2026/00051</t>
  </si>
  <si>
    <t>TLB-CTR-2026/00047</t>
  </si>
  <si>
    <t>TLB-CTR-2026/00048</t>
  </si>
  <si>
    <t>TLB-DEG-2026/00145</t>
  </si>
  <si>
    <t>DOUGLAS IVANOWSKI BERTELLI KIRCHNER</t>
  </si>
  <si>
    <t>TLB-PRO-2026/02422</t>
  </si>
  <si>
    <t>é necessária a contratação de instalação de Rede de proteção/ Rede anti-pássaro para a Estação de Acesso/ Gateway Campo Grande visando: impedir o acesso de pombos, evitar a formação de ninhos, reduzir a sujeira e contaminação e manter o ambiente ventilado.</t>
  </si>
  <si>
    <t>TLB-TRM-2026/00506</t>
  </si>
  <si>
    <t>https://www.telebras.com.br/wp-content/uploads/2026/09/TLB-AUT-2024-02455_NUCLEO_DE_INFORMACAO_E_COORDENACAO_DO_PONTO_BR_-_NIC.BR_LGPD.pdf</t>
  </si>
  <si>
    <t>https://www.telebras.com.br/wp-content/uploads/2026/09/DOCUMENTO_MICROTECNICA_INFORMATICA_LTDA_LGPD.pdf</t>
  </si>
  <si>
    <t>https://www.telebras.com.br/wp-content/uploads/2026/09/DOCUMENTO_TRANSCOURIER_LTDA_LGPD.pdf</t>
  </si>
  <si>
    <t>https://www.telebras.com.br/wp-content/uploads/2026/09/DOCUMENTO_INFOPLAN_TECNOLOGIA_COMERCIO_E_SERVICOS_-_LTDA_LGPD.pdf</t>
  </si>
  <si>
    <t>https://www.telebras.com.br/wp-content/uploads/2026/09/DOCUMENTO_CERTISIGN_CERTIFICADORA_DIGITAL_S.A_LGPD.pdf</t>
  </si>
  <si>
    <t>https://www.telebras.com.br/wp-content/uploads/2026/09/DOCUMENTO_INFOPLAN_TECNOLOGIA_COMERCIO_E_SERVICOS_LTDA_LGPD.pdf</t>
  </si>
  <si>
    <t>https://www.telebras.com.br/wp-content/uploads/2026/09/TLB-CTR-2024-00019_INSTITUTO_DE_PESQUISAS_TECNOLOGICAS_DO_ESTADO_DESAO_PAULO_S-A_-_IPT_LGPD-1.pdf</t>
  </si>
  <si>
    <t>https://www.telebras.com.br/wp-content/uploads/2026/09/TLB-CTR-2024-00020_GLOBAL_DISTRIBUICAO_DE_BENS_DE_CONSUMO_LTDA_LGPD-1.pdf</t>
  </si>
  <si>
    <t>https://www.telebras.com.br/wp-content/uploads/2026/09/TLB-CTR-2024-00023_NEXVIA_COMERCIO_E_SERVICOS_DE_EQUIPAMENTOS_DE_TELECOMUNICACOES_LTDA_LGPD-1.pdf</t>
  </si>
  <si>
    <t>https://www.telebras.com.br/wp-content/uploads/2026/09/DOCUMENTO_TARGET_ENGENHARIA_E_CONSULTORIA_LTDA_LGPD.pdf</t>
  </si>
  <si>
    <t>https://www.telebras.com.br/wp-content/uploads/2026/09/TLB-CTR-2024-00036_CAMARA_DE_DIRIGENTES_LOJISTA_DO_DISTRITO_FEDERAL_-_CDL_DF_LGPD-1.pdf</t>
  </si>
  <si>
    <t>https://www.telebras.com.br/wp-content/uploads/2026/09/DOCUMENTO_MEGA_INFRA_SOLUCOES_EM_INFRAESTRUTURA_LTDA_LGPD.pdf</t>
  </si>
  <si>
    <t>https://www.telebras.com.br/wp-content/uploads/2026/09/DOCUMENTO_EMPRESA_REI_DE_OURO_MUDANCAS_E_TRANSPORTE_LGPD.pdf</t>
  </si>
  <si>
    <t>https://www.telebras.com.br/wp-content/uploads/2026/09/DOCUMENTO_REAL_JG_FACILITIES_S-A_LGPD.pdf</t>
  </si>
  <si>
    <t>https://www.telebras.com.br/wp-content/uploads/2026/09/TLB-CTR-2024-00051_KEYSIGHT_TECHNOLOGIES_MEDICAO_BRASIL_LTDA_LGPD-1.pdf</t>
  </si>
  <si>
    <t>https://www.telebras.com.br/wp-content/uploads/2026/09/DOCUMENTO_KOVR_SEGURADORA_S.A_LGPD.pdf</t>
  </si>
  <si>
    <t>https://www.telebras.com.br/wp-content/uploads/2026/09/TLB-CTR-2024-00056_ASSOCIACAO_BRASILEIRA_DE_ENTIDADES_ESTADUAIS_E_PUBLICAS_DE_TECNOLOGIA_DA_INFORMACAO_E_COMUNICACOES_ABEP_LGPD.pdf</t>
  </si>
  <si>
    <t>https://www.telebras.com.br/wp-content/uploads/2026/09/TLB-CTR-2024-00057_REDE_NACIONAL_DE_APRENDIZAGEM_PROMOCAO_SOCIAL_E_INTEGRACAO_-_RENAPSI_LGPD-2.pdf</t>
  </si>
  <si>
    <t>https://www.telebras.com.br/wp-content/uploads/2026/09/DOCUMENTO_MAPFRE_SEGUROS_GERAIS_S.A_LGPD.pdf</t>
  </si>
  <si>
    <t>https://www.telebras.com.br/wp-content/uploads/2026/09/TLB-CTR-2024-00063_NACIONAL_ELETRONICA_E_TELECOMUNICACOES_LTDA_LGPD-1.pdf</t>
  </si>
  <si>
    <t>https://www.telebras.com.br/wp-content/uploads/2026/09/DOCUMENTO_GRIFON_DIGITAL_SERVICOS_LTDA_LGPD.pdf</t>
  </si>
  <si>
    <t>https://www.telebras.com.br/wp-content/uploads/2026/09/TLB-CTR-2024-00072_AGENCIA_DE_INTEGRACAO_EMPRESA_ESCOLA_-_AGIEL_LGPD-1.pdf</t>
  </si>
  <si>
    <t>https://www.telebras.com.br/wp-content/uploads/2026/09/DOCUMENTO_TECNO2000_INDUSTRIA_E_COMERCIO_LTDA_LGPD.pdf</t>
  </si>
  <si>
    <t>https://www.telebras.com.br/wp-content/uploads/2026/09/DOCUMENTO_OTT_SERVICOES_GRAFICOS_LTDA_LGPD.pdf</t>
  </si>
  <si>
    <t>https://www.telebras.com.br/wp-content/uploads/2026/09/DOCUMENTO_CLEMAR_ENGENHARIA_LTDA_LGPD.pdf</t>
  </si>
  <si>
    <t>https://www.telebras.com.br/wp-content/uploads/2026/09/TLB-CTR-2024-00092_ADTK_COMERCIO_E_SERVICOS_DE_INFORMATICA_E_TELECOMUNICACOES_S.A_LGPD.pdf</t>
  </si>
  <si>
    <t>https://www.telebras.com.br/wp-content/uploads/2026/09/TLB-CTR-2024-00093_3CORP_TECHNOLOGY_INFRAESTRUTURA_DE_TELECOM_LTDA_LGPD-1.pdf</t>
  </si>
  <si>
    <t>https://www.telebras.com.br/wp-content/uploads/2026/09/DOCUMENTO_G4F_SOLUCOES_CORPORATIVAS_LTDA_LGPD.pdf</t>
  </si>
  <si>
    <t>https://www.telebras.com.br/wp-content/uploads/2026/09/DOCUMENTO_EXEMPLUS_COMUNICACAO_E_MARKETING_LTDA_LGPD.pdf</t>
  </si>
  <si>
    <t>https://www.telebras.com.br/wp-content/uploads/2026/09/DOCUMENTO_ALLTECH_SOLUCOES_EM_TECNOLOGIA_LTDA_LGPD.pdf</t>
  </si>
  <si>
    <t>https://www.telebras.com.br/wp-content/uploads/2026/09/DOCUMENTO_SAARA_OBRAS_E_SERVICOS_LTDA_LGPD.pdf</t>
  </si>
  <si>
    <t>https://www.telebras.com.br/wp-content/uploads/2026/09/DOCUMENTO_LEGIS_JET_LTDA_LGPD.pdf</t>
  </si>
  <si>
    <t>https://www.telebras.com.br/wp-content/uploads/2026/09/DOCUMENTO_BRASOFTWARE_INFORMATICA_LTDA_LGPD.pdf</t>
  </si>
  <si>
    <t>https://www.telebras.com.br/wp-content/uploads/2026/09/DOCUMENTO_DELL_COMPUTADORES_DO_BRASIL_LTDA_LGPD.pdf</t>
  </si>
  <si>
    <t>https://www.telebras.com.br/wp-content/uploads/2026/09/DOCUMENTO_I9_SOLUTIONS_-_SOLUCOES_COMERCIAIS_E_GESTAO_DE_TRANSPORTE_LTDA_LGPD.pdf</t>
  </si>
  <si>
    <t>https://www.telebras.com.br/wp-content/uploads/2026/09/TLB-CTR-2025-00034_G3_SERVICOS_DE_CONSTRUCOES_HIDRAULICA_E_IMPERMEABILIZACAO_LTDA_LGPD-1.pdf</t>
  </si>
  <si>
    <t>https://www.telebras.com.br/wp-content/uploads/2026/09/DOCUMENTO_DIGITAL_SERVICOS_EM_TECNOLOGIA_LTDA_LGPD.pdf</t>
  </si>
  <si>
    <t>https://www.telebras.com.br/wp-content/uploads/2026/09/DOCUMENTO_LENDA_INDUSTRIA_DE_AGUA_MINERAL_LTDA_LGPD.pdf</t>
  </si>
  <si>
    <t>https://www.telebras.com.br/wp-content/uploads/2026/09/DOCUMENTO_3F_LTDA_LGPD.pdf</t>
  </si>
  <si>
    <t>https://www.telebras.com.br/wp-content/uploads/2026/09/TLB-CTR-2025-00048_ASSOCIACAO_BRASILEIRA_DE_ENTIDADES_ESTADUAIS_E_PUBLICAS_DE_TECNOLOGIA_DA_INFORMACAO_E_COMUNICACAO_ABEP-TIC_LGPD.pdf</t>
  </si>
  <si>
    <t>https://www.telebras.com.br/wp-content/uploads/2026/09/DOCUMENTO_MAPFRE_SEGUROS_GERAIS_S-A_LGPD.pdf</t>
  </si>
  <si>
    <t>https://www.telebras.com.br/wp-content/uploads/2026/09/DOCUMENTO_HC_COMUNICACAO_DE_DADOS_LTDA_LGPD.pdf</t>
  </si>
  <si>
    <t>https://www.telebras.com.br/wp-content/uploads/2026/09/DOCUMENTO_HC_COMUNICACAO_DE_DADOS_LTDA_LGPD-1.pdf</t>
  </si>
  <si>
    <t>https://www.telebras.com.br/wp-content/uploads/2026/09/DOCUMENTO_INVITEC_SERVICO_DE_SEGURANCA_E_TECNOLOGIA_LTDA_LGPD.pdf</t>
  </si>
  <si>
    <t>https://www.telebras.com.br/wp-content/uploads/2026/09/DOCUMENTO_BADIA_EQUARTIM_ADVOGADOS_-_BQA_LGPD.pdf</t>
  </si>
  <si>
    <t>https://www.telebras.com.br/wp-content/uploads/2026/09/DOCUMENTO_KOVR_SEGURADORA_S.A_LGPD-1.pdf</t>
  </si>
  <si>
    <t>https://www.telebras.com.br/wp-content/uploads/2026/09/DOCUMENTO_FONNET_COMERCIO_DE_EQUIPAMENTOS_DE_TELECOMUNICACOES_LTDA_LGPD.pdf</t>
  </si>
  <si>
    <t>https://www.telebras.com.br/wp-content/uploads/2026/09/DOCUMENTO_NTSEC_SOLUCOES_EM_TELEINFORMATICA_LTDA_LGPD.pdf</t>
  </si>
  <si>
    <t>https://www.telebras.com.br/wp-content/uploads/2026/09/DOCUMENTO_MASTER_SERVICOS_E_COMERCIO_LTDA_LGPD.pdf</t>
  </si>
  <si>
    <t>https://www.telebras.com.br/wp-content/uploads/2026/09/DOCUMENTO_LGK_SERVICOS_EM_TECNOLOGIA_DA_INFORMACAO_LTDA_LGPD.pdf</t>
  </si>
  <si>
    <t>https://www.telebras.com.br/wp-content/uploads/2026/09/DOCUMENTO_IMPAKT_CONSULTORIA_SS_LIMITADA_LGPD.pdf</t>
  </si>
  <si>
    <t>https://www.telebras.com.br/wp-content/uploads/2026/09/TLB-CTR-2025-00043_ADTK_COMERCIO_E_SERVICOS_DE_INFOR-MATICA_E_TELECOMUNICACOES_S.A_LGPD.pdf</t>
  </si>
  <si>
    <t>https://www.telebras.com.br/wp-content/uploads/2026/09/TLB-CTR-2025-00044_ADTK_COMERCIO_E_SERVICOS_DE_INFOR-MATICA_E_TELECOMUNICACOES_S.A_LGPD.pdf</t>
  </si>
  <si>
    <t>https://www.telebras.com.br/wp-content/uploads/2026/09/DOCUMENTO_NEXVIA_COMERCIO_E_SERVICOS_DE_EQUIPAMENTOS_DE_TELECOMUNICACOES_LTDA_LGPD.pdf</t>
  </si>
  <si>
    <t>https://www.telebras.com.br/wp-content/uploads/2026/09/DOCUMENTO_MASTER_SERVICOS_E_COMERCIO_LTDA_LGPD-1.pdf</t>
  </si>
  <si>
    <t>https://www.telebras.com.br/wp-content/uploads/2026/09/DOCUMENTO_CENTRO_BRASILEIRO_DE_PESQUISA_EM_AVALIACAO_E_SELECAO_E_DE_PROMOCAO_DE_EVENTOS_CEBRASPE_LGPD.pdf</t>
  </si>
  <si>
    <t>https://www.telebras.com.br/wp-content/uploads/2026/09/TLB-CTR-2025-00020_INSTITUTO_BRASILEIRO_DE_GOVERNANCA_CORPORATIVA_-IBGC_LGPD.pdf</t>
  </si>
  <si>
    <t>https://www.telebras.com.br/wp-content/uploads/2026/09/DOCUMENTO_VERTIV_TECNOLOGIA_DO_BRASIL_LTDA_LGPD.pdf</t>
  </si>
  <si>
    <t>https://www.telebras.com.br/wp-content/uploads/2026/09/DOCUMENTO_ST_SERVICOS_EMPRESARIAIS_LTDA_LGPD.pdf</t>
  </si>
  <si>
    <t>https://www.telebras.com.br/wp-content/uploads/2026/09/DOCUMENTO_PROJELITE_SOLUCOES_TECNOLOGICAS_LTDA_LGPD.pdf</t>
  </si>
  <si>
    <t>https://www.telebras.com.br/wp-content/uploads/2026/09/DOCUMENTO_PLANEJE_TECNOLOGIA_E_SERVICOS_LTDA_LGPD.pdf</t>
  </si>
  <si>
    <t>https://www.telebras.com.br/wp-content/uploads/2026/09/DOCUMENTO_ROLLS_ROYCE_SOLUTIONS_LGPD.pdf</t>
  </si>
  <si>
    <t>https://www.telebras.com.br/wp-content/uploads/2026/09/DOCUMENTO_RDM_TECHNOLOGY_LTDA_LGPD.pdf</t>
  </si>
  <si>
    <t>https://www.telebras.com.br/wp-content/uploads/2026/09/TLB-CTR-2026-00023_NTT_DATA_BUSINESS_SOLUTIONS_SER-VICOS_DE_TECNOLOGIA_LTDA_LGPD.pdf</t>
  </si>
  <si>
    <t>https://www.telebras.com.br/wp-content/uploads/2026/09/DOCUMENTO_INFOPLAN_TECNOLOGIA_COMERCIO_E_SERVICOS_LTDA_LGPD-1.pdf</t>
  </si>
  <si>
    <t>https://www.telebras.com.br/wp-content/uploads/2026/09/DOCUMENTO_GOIASTEC_COMERCIO_E_SERVICOS_LTDA_LGPD.pdf</t>
  </si>
  <si>
    <t>https://www.telebras.com.br/wp-content/uploads/2026/09/DOCUMENTO_PADTEC_S.A_LGPD.pdf</t>
  </si>
  <si>
    <t>https://www.telebras.com.br/wp-content/uploads/2026/09/DOCUMENTO_METROPOLE_-_AUDITORES_INDEPENDEN-TES_ASSOCIADOS_S-S_LGPD.pdf</t>
  </si>
  <si>
    <t>https://www.telebras.com.br/wp-content/uploads/2026/09/DOCUMENTO_FORTE_GRAFICA_E_EDITORA_LTDA_LGPD.pdf</t>
  </si>
  <si>
    <t>https://www.telebras.com.br/wp-content/uploads/2026/09/DOCUMENTO_ALLSEG_SEGURADORA_S-A_LGPD.pdf</t>
  </si>
  <si>
    <t>https://www.telebras.com.br/wp-content/uploads/2026/09/DOCUMENTO_PADTEC_S-A_LGPD.pdf</t>
  </si>
  <si>
    <t>https://www.telebras.com.br/wp-content/uploads/2026/09/DOCUMENTO_CLEMAR_ENGENHARIA_LTDA_LGPD-1.pdf</t>
  </si>
  <si>
    <t>https://www.telebras.com.br/wp-content/uploads/2026/09/DOCUMENTO_SECPOWER_COMERCIAL_IMPORTADORA_EXPORTADORA_LTDA_LGPD.pdf</t>
  </si>
  <si>
    <t>https://www.telebras.com.br/wp-content/uploads/2026/09/DOCUMENTO_HC_COMUNICACAO_DE_DADOS_LTDA_LGPD-2.pdf</t>
  </si>
  <si>
    <t>https://www.telebras.com.br/wp-content/uploads/2026/09/DOCUMENTO_TECNO_2000_INDUSTRIA_E_COMERCIO_LTDA_LGPD.pdf</t>
  </si>
  <si>
    <t>https://www.telebras.com.br/wp-content/uploads/2026/09/DOCUMENTO_BRASOFTWARE_INFORMATICA_LTDA_LGPD-1.pdf</t>
  </si>
  <si>
    <t>https://www.telebras.com.br/wp-content/uploads/2026/09/DOCUMENTO_CREATIVE_THINGS_COMERCIO_E_DISTRIBUICAO_LTDA_LGPD.pdf</t>
  </si>
  <si>
    <t>https://www.telebras.com.br/wp-content/uploads/2026/09/DOCUMENTO_ASG_BROTHERS_LICITACOES_COMERCIAL_LTDA_LGPD.pdf</t>
  </si>
  <si>
    <t>https://www.telebras.com.br/wp-content/uploads/2026/09/DOCUMENTO_GUARDA_VIDA_EPI_EIRELI_LGPD.pdf</t>
  </si>
  <si>
    <t>https://www.telebras.com.br/wp-content/uploads/2026/09/DOCUMENTO_CLEMAR_ENGENHARIA_LTDA_LGPD-2.pdf</t>
  </si>
  <si>
    <t>https://www.telebras.com.br/wp-content/uploads/2026/09/DOCUMENTO_OTTONI_SERVICO_DE_ENGENHARIA_LTDA_LGPD.pdf</t>
  </si>
  <si>
    <t>https://www.telebras.com.br/wp-content/uploads/2026/09/DOCUMENTO_NTSEC_SOLUCOES_EM_TELEINFORMATICA_LTDA_LGPD-1.pdf</t>
  </si>
  <si>
    <t>https://www.telebras.com.br/wp-content/uploads/2026/09/DOCUMENTO_PLANEJE_TECNOLOGIA_E_SERVICOS_LTDA_LGPD-1.pdf</t>
  </si>
  <si>
    <t>https://www.telebras.com.br/wp-content/uploads/2026/09/DOCUMENTO_FORTE_GRAFICA_E_EDITORA_LTDA_LGPD-1.pdf</t>
  </si>
  <si>
    <t>TLB-CTR-2026/00045</t>
  </si>
  <si>
    <t>TLB-CTR-2026/00049</t>
  </si>
  <si>
    <t>TLB-CTR-2026/00052</t>
  </si>
  <si>
    <t>TLB-CTR-2026/00053</t>
  </si>
  <si>
    <t>TLB-CTR-2026/00054</t>
  </si>
  <si>
    <t>TLB-CTR-2026/00057</t>
  </si>
  <si>
    <t>NÃO ASSINADO</t>
  </si>
  <si>
    <t>https://www.telebras.com.br/wp-content/uploads/2026/09/TLB-CTR-2026-00045_BUSINESS_INTEGRATION_PARTNERS_DO_BRASIL_CONSULTORIA_LTDA_LGPD-1.pdf</t>
  </si>
  <si>
    <t>https://www.telebras.com.br/wp-content/uploads/2026/09/TLB-CTR-2026-00047_MAUFE_TELAS_COMERCIO_E_SERVICOS_LTDA_LGPD-1.pdf</t>
  </si>
  <si>
    <t>https://www.telebras.com.br/wp-content/uploads/2026/09/TLB-CTR-2026-00053_FORTE_GRAFICA_E_EDITORA_LTDA_LGPD-1.pdf</t>
  </si>
  <si>
    <t>https://www.telebras.com.br/wp-content/uploads/2026/09/TLB-CTR-2026-00049_TELESPAZIO_BRASIL_S.A_LGPD.pdf</t>
  </si>
  <si>
    <t>https://www.telebras.com.br/wp-content/uploads/2026/09/TLB-CTR-2026_00052_EVOLUE_SERVI_OS_DE_SAUDE_LGPD.pdf</t>
  </si>
  <si>
    <t>https://www.telebras.com.br/wp-content/uploads/2026/09/TLB-CTR-2026_00054_FORTE_GR_FICA_LGPD-1.pdf</t>
  </si>
  <si>
    <t>TLB-DEG-2026/00121</t>
  </si>
  <si>
    <t>RODRIGO ANDADRE SILVEIRA DE ARAÚJO</t>
  </si>
  <si>
    <t>Contratação  de  empresa  especializada  para aquisição einstalação de rede de proteção/rede anti-pássaro  na  Estação  de  Acesso/Gateway  de  Campo Grande/MS.</t>
  </si>
  <si>
    <t xml:space="preserve">MAUFE  TELAS  COMÉRCIO  E  SERVIÇOS LTDA </t>
  </si>
  <si>
    <t>44.776.352/0001-09</t>
  </si>
  <si>
    <t>TLB-PRO-2025/06400</t>
  </si>
  <si>
    <t>TLB-DEG-2026/00139</t>
  </si>
  <si>
    <t xml:space="preserve">ANNA PAULA PEDROSA VIEIRA
</t>
  </si>
  <si>
    <t>BUSINESS INTEGRATION PARTNERS DO BRASIL CONSULTORIA LTDA</t>
  </si>
  <si>
    <t>17.255.079/0001-02</t>
  </si>
  <si>
    <t xml:space="preserve">Contratação de consultoria e assessoria con-tábil, financeira e tributária, que preste serviço técni-co especializado, para diagnosticar e mapear proces-sos tributários, contábeis e financeiros, identificar os impactos para o preço dos serviços prestados, avaliar sistemas,  acompanhar  e  analisar  a  legislação,  dar suporte e construir especificações técnicas para ajus-tar o sistema SAP, gerenciar o projeto, assegurar a conformidade legal e equacionar a carga tributária da TELEBRAS em face da Reforma Tributária. </t>
  </si>
  <si>
    <t>TLB-PRO-2026/00280</t>
  </si>
  <si>
    <t>90002/2026</t>
  </si>
  <si>
    <t>90010/2026</t>
  </si>
  <si>
    <t>TLB-DEG-2026/00152</t>
  </si>
  <si>
    <t>FÁBIO DE OLIVEIRA PIRES / DANIEL SIQUEIRA</t>
  </si>
  <si>
    <t>Contratação  de  empresa  especializada  para realização   de   manutenções   e   apoios   técnicos   nas antenas do Projeto SGDC.</t>
  </si>
  <si>
    <t>TELESPAZIO BRASILS/A</t>
  </si>
  <si>
    <t>02.214.014.0001-33</t>
  </si>
  <si>
    <t>TLB-PRO-2026/02672</t>
  </si>
  <si>
    <t>90014/2026</t>
  </si>
  <si>
    <t>TLB-DEG-2026/00138</t>
  </si>
  <si>
    <t>PATRICIA MILHOMENS GUIMARAES</t>
  </si>
  <si>
    <t>Prestação de serviços de saúde e segurança do trabalho em conformidade com a NR-7 do Ministé-rio do Trabalho e Emprego.</t>
  </si>
  <si>
    <t>VOLUE SERVIÇOS LTDA</t>
  </si>
  <si>
    <t xml:space="preserve"> 26.699.784/0001-81</t>
  </si>
  <si>
    <t>TLB-PRO-2026/04830</t>
  </si>
  <si>
    <t>90004/2026</t>
  </si>
  <si>
    <t>TLB-DEG-2026/00143</t>
  </si>
  <si>
    <t>VALDO ORNA DE GUSMAO JUNIOR</t>
  </si>
  <si>
    <t>Confecção  dos  seguintes  materiais  gráficos institucionais  da  Telebras:  a)  1.000  (mil) Envelopes institucionais;  b)  1.700  (mil  e  setecentos) Cartões  de visita;c) 1 (um) Banner institucional.</t>
  </si>
  <si>
    <t>TLB-PRO-2026/05017</t>
  </si>
  <si>
    <t>TLB-DEG-2026/00136</t>
  </si>
  <si>
    <t>Confecçãodosseguintesmateriais  gráficos institucionais  da  Telebras:  a)Adesivação  institucional, b)Banners institucionais; c) 600  (seiscentos) moleski-nes;d)  500  (quinhentos)  mousepads;  e)  500  (qui-nhentas) canetas plásticas; f) 600 (seiscentos) cordões para crachá com rollerclip.</t>
  </si>
  <si>
    <t>Contratação de Serviços Gráficos, por demanda, para atender às necessidades institucionais da TELEBRAS.</t>
  </si>
  <si>
    <t>LINK DO CONTRATO</t>
  </si>
  <si>
    <t>90012/2026</t>
  </si>
  <si>
    <t>925150 - 39/2026</t>
  </si>
  <si>
    <t xml:space="preserve">CÓDIGO VERIFICADOR PLAC </t>
  </si>
  <si>
    <t>NÃO PREVISTO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</si>
</sst>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R$&quot;\ * #,##0.00_-;\-&quot;R$&quot;\ * #,##0.00_-;_-&quot;R$&quot;\ * &quot;-&quot;??_-;_-@_-"/>
    <numFmt numFmtId="43" formatCode="_-* #,##0.00_-;\-* #,##0.00_-;_-* &quot;-&quot;??_-;_-@_-"/>
    <numFmt numFmtId="164" formatCode="_-* #,##0_-;\-* #,##0_-;_-* &quot;-&quot;??_-;_-@_-"/>
    <numFmt numFmtId="165" formatCode="[$-416]mmmm\-yy;@"/>
    <numFmt numFmtId="166" formatCode="0.0%"/>
  </numFmts>
  <fonts count="40" x14ac:knownFonts="1">
    <font>
      <sz val="11"/>
      <color theme="1"/>
      <name val="Calibri"/>
      <family val="2"/>
      <scheme val="minor"/>
    </font>
    <font>
      <sz val="11"/>
      <color theme="1"/>
      <name val="Calibri"/>
      <family val="2"/>
      <scheme val="minor"/>
    </font>
    <font>
      <sz val="11"/>
      <color theme="0"/>
      <name val="Calibri"/>
      <family val="2"/>
      <scheme val="minor"/>
    </font>
    <font>
      <b/>
      <sz val="11"/>
      <color theme="0"/>
      <name val="Calibri"/>
      <family val="2"/>
      <scheme val="minor"/>
    </font>
    <font>
      <sz val="11"/>
      <color rgb="FF000000"/>
      <name val="Calibri"/>
      <family val="2"/>
      <charset val="1"/>
    </font>
    <font>
      <sz val="11"/>
      <color rgb="FFFF0000"/>
      <name val="Calibri"/>
      <family val="2"/>
      <scheme val="minor"/>
    </font>
    <font>
      <b/>
      <sz val="11"/>
      <color theme="1"/>
      <name val="Calibri"/>
      <family val="2"/>
      <scheme val="minor"/>
    </font>
    <font>
      <sz val="12"/>
      <color theme="1"/>
      <name val="Calibri"/>
      <family val="2"/>
      <scheme val="minor"/>
    </font>
    <font>
      <sz val="12"/>
      <name val="Calibri"/>
      <family val="2"/>
      <scheme val="minor"/>
    </font>
    <font>
      <b/>
      <sz val="12"/>
      <color theme="0"/>
      <name val="Calibri"/>
      <family val="2"/>
      <scheme val="minor"/>
    </font>
    <font>
      <b/>
      <sz val="12"/>
      <color theme="1"/>
      <name val="Calibri"/>
      <family val="2"/>
      <scheme val="minor"/>
    </font>
    <font>
      <sz val="16"/>
      <color rgb="FF002060"/>
      <name val="Calibri"/>
      <family val="2"/>
      <scheme val="minor"/>
    </font>
    <font>
      <b/>
      <sz val="11"/>
      <color rgb="FF002060"/>
      <name val="Calibri"/>
      <family val="2"/>
      <scheme val="minor"/>
    </font>
    <font>
      <sz val="12"/>
      <color rgb="FF002060"/>
      <name val="Calibri"/>
      <family val="2"/>
      <scheme val="minor"/>
    </font>
    <font>
      <sz val="11"/>
      <color rgb="FF002060"/>
      <name val="Calibri"/>
      <family val="2"/>
      <scheme val="minor"/>
    </font>
    <font>
      <b/>
      <sz val="12"/>
      <color rgb="FF002060"/>
      <name val="Calibri"/>
      <family val="2"/>
      <scheme val="minor"/>
    </font>
    <font>
      <b/>
      <sz val="20"/>
      <color rgb="FF002060"/>
      <name val="Calibri"/>
      <family val="2"/>
      <scheme val="minor"/>
    </font>
    <font>
      <b/>
      <sz val="16"/>
      <color rgb="FF002060"/>
      <name val="Calibri"/>
      <family val="2"/>
      <scheme val="minor"/>
    </font>
    <font>
      <b/>
      <sz val="24"/>
      <color rgb="FF002060"/>
      <name val="Calibri"/>
      <family val="2"/>
      <scheme val="minor"/>
    </font>
    <font>
      <b/>
      <sz val="14"/>
      <color rgb="FF002060"/>
      <name val="Calibri"/>
      <family val="2"/>
      <scheme val="minor"/>
    </font>
    <font>
      <b/>
      <sz val="12"/>
      <color rgb="FFFF0000"/>
      <name val="Calibri"/>
      <family val="2"/>
      <scheme val="minor"/>
    </font>
    <font>
      <sz val="12"/>
      <color theme="0"/>
      <name val="Calibri"/>
      <family val="2"/>
      <scheme val="minor"/>
    </font>
    <font>
      <sz val="12"/>
      <color rgb="FFFF0000"/>
      <name val="Calibri"/>
      <family val="2"/>
      <scheme val="minor"/>
    </font>
    <font>
      <sz val="11"/>
      <name val="Calibri"/>
      <family val="2"/>
      <scheme val="minor"/>
    </font>
    <font>
      <sz val="11"/>
      <color rgb="FFFF66FF"/>
      <name val="Calibri"/>
      <family val="2"/>
      <scheme val="minor"/>
    </font>
    <font>
      <sz val="11"/>
      <color rgb="FF0070C0"/>
      <name val="Calibri"/>
      <family val="2"/>
      <scheme val="minor"/>
    </font>
    <font>
      <sz val="12"/>
      <color rgb="FF002060"/>
      <name val="Calibri"/>
      <family val="2"/>
      <scheme val="minor"/>
    </font>
    <font>
      <i/>
      <sz val="11"/>
      <color rgb="FFFF0000"/>
      <name val="Calibri"/>
      <family val="2"/>
      <scheme val="minor"/>
    </font>
    <font>
      <sz val="12"/>
      <color rgb="FF002060"/>
      <name val="Calibri"/>
      <family val="2"/>
      <scheme val="minor"/>
    </font>
    <font>
      <b/>
      <sz val="12"/>
      <color theme="0"/>
      <name val="Calibri"/>
      <family val="2"/>
      <scheme val="minor"/>
    </font>
    <font>
      <sz val="12"/>
      <color theme="0"/>
      <name val="Calibri"/>
      <family val="2"/>
      <scheme val="minor"/>
    </font>
    <font>
      <sz val="12"/>
      <color rgb="FF002060"/>
      <name val="Calibri"/>
      <family val="2"/>
      <scheme val="minor"/>
    </font>
    <font>
      <sz val="12"/>
      <color rgb="FF002060"/>
      <name val="Calibri"/>
      <family val="2"/>
      <scheme val="minor"/>
    </font>
    <font>
      <sz val="8"/>
      <name val="Calibri"/>
      <family val="2"/>
      <scheme val="minor"/>
    </font>
    <font>
      <u/>
      <sz val="11"/>
      <color theme="10"/>
      <name val="Calibri"/>
      <family val="2"/>
      <scheme val="minor"/>
    </font>
    <font>
      <b/>
      <sz val="11"/>
      <color theme="0"/>
      <name val="Calibri"/>
      <family val="2"/>
      <scheme val="minor"/>
    </font>
    <font>
      <sz val="12"/>
      <color rgb="FF002060"/>
      <name val="Segoe UI"/>
      <family val="2"/>
    </font>
    <font>
      <u/>
      <sz val="11"/>
      <color rgb="FF002060"/>
      <name val="Calibri"/>
      <family val="2"/>
      <scheme val="minor"/>
    </font>
    <font>
      <sz val="9"/>
      <color indexed="81"/>
      <name val="Segoe UI"/>
      <family val="2"/>
    </font>
    <font>
      <b/>
      <sz val="9"/>
      <color indexed="81"/>
      <name val="Segoe UI"/>
      <family val="2"/>
    </font>
  </fonts>
  <fills count="18">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
      <patternFill patternType="solid">
        <fgColor theme="8" tint="-0.499984740745262"/>
        <bgColor theme="8" tint="-0.499984740745262"/>
      </patternFill>
    </fill>
    <fill>
      <patternFill patternType="solid">
        <fgColor theme="8" tint="0.79998168889431442"/>
        <bgColor theme="8" tint="0.79998168889431442"/>
      </patternFill>
    </fill>
    <fill>
      <patternFill patternType="solid">
        <fgColor theme="9" tint="0.39997558519241921"/>
        <bgColor indexed="64"/>
      </patternFill>
    </fill>
    <fill>
      <patternFill patternType="solid">
        <fgColor rgb="FF002060"/>
        <bgColor theme="1"/>
      </patternFill>
    </fill>
    <fill>
      <patternFill patternType="solid">
        <fgColor rgb="FF002060"/>
        <bgColor theme="8" tint="0.79998168889431442"/>
      </patternFill>
    </fill>
    <fill>
      <patternFill patternType="solid">
        <fgColor theme="3" tint="0.79998168889431442"/>
        <bgColor indexed="64"/>
      </patternFill>
    </fill>
    <fill>
      <patternFill patternType="solid">
        <fgColor theme="4" tint="0.59999389629810485"/>
        <bgColor indexed="64"/>
      </patternFill>
    </fill>
    <fill>
      <patternFill patternType="solid">
        <fgColor rgb="FF002060"/>
        <bgColor theme="4" tint="0.79998168889431442"/>
      </patternFill>
    </fill>
    <fill>
      <patternFill patternType="solid">
        <fgColor theme="5" tint="0.59999389629810485"/>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rgb="FF7030A0"/>
        <bgColor indexed="64"/>
      </patternFill>
    </fill>
    <fill>
      <patternFill patternType="solid">
        <fgColor theme="5"/>
        <bgColor indexed="64"/>
      </patternFill>
    </fill>
  </fills>
  <borders count="47">
    <border>
      <left/>
      <right/>
      <top/>
      <bottom/>
      <diagonal/>
    </border>
    <border>
      <left/>
      <right/>
      <top style="thin">
        <color indexed="64"/>
      </top>
      <bottom style="thin">
        <color indexed="64"/>
      </bottom>
      <diagonal/>
    </border>
    <border>
      <left style="thick">
        <color theme="0"/>
      </left>
      <right style="thick">
        <color theme="0"/>
      </right>
      <top style="thin">
        <color indexed="64"/>
      </top>
      <bottom/>
      <diagonal/>
    </border>
    <border>
      <left style="thin">
        <color indexed="64"/>
      </left>
      <right style="thick">
        <color theme="0"/>
      </right>
      <top/>
      <bottom/>
      <diagonal/>
    </border>
    <border>
      <left/>
      <right style="thick">
        <color theme="0"/>
      </right>
      <top/>
      <bottom/>
      <diagonal/>
    </border>
    <border>
      <left style="thick">
        <color theme="0"/>
      </left>
      <right style="thick">
        <color theme="0"/>
      </right>
      <top/>
      <bottom/>
      <diagonal/>
    </border>
    <border>
      <left/>
      <right style="thick">
        <color theme="0"/>
      </right>
      <top style="thick">
        <color theme="0"/>
      </top>
      <bottom style="thick">
        <color theme="0"/>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style="medium">
        <color theme="0"/>
      </right>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thin">
        <color theme="8" tint="0.59999389629810485"/>
      </left>
      <right style="medium">
        <color theme="0"/>
      </right>
      <top style="medium">
        <color theme="0"/>
      </top>
      <bottom style="medium">
        <color theme="0"/>
      </bottom>
      <diagonal/>
    </border>
    <border>
      <left style="medium">
        <color theme="0"/>
      </left>
      <right style="medium">
        <color theme="0"/>
      </right>
      <top style="medium">
        <color theme="0"/>
      </top>
      <bottom style="medium">
        <color theme="0"/>
      </bottom>
      <diagonal/>
    </border>
    <border>
      <left style="medium">
        <color theme="0"/>
      </left>
      <right style="thin">
        <color theme="8" tint="0.59999389629810485"/>
      </right>
      <top style="medium">
        <color theme="0"/>
      </top>
      <bottom style="medium">
        <color theme="0"/>
      </bottom>
      <diagonal/>
    </border>
    <border>
      <left style="thick">
        <color theme="0"/>
      </left>
      <right/>
      <top/>
      <bottom/>
      <diagonal/>
    </border>
    <border>
      <left style="thick">
        <color theme="0"/>
      </left>
      <right style="thick">
        <color theme="0"/>
      </right>
      <top style="thick">
        <color theme="0"/>
      </top>
      <bottom style="thick">
        <color theme="0"/>
      </bottom>
      <diagonal/>
    </border>
    <border>
      <left style="medium">
        <color theme="1" tint="0.499984740745262"/>
      </left>
      <right/>
      <top/>
      <bottom/>
      <diagonal/>
    </border>
    <border>
      <left style="medium">
        <color theme="0"/>
      </left>
      <right style="medium">
        <color theme="0"/>
      </right>
      <top/>
      <bottom style="medium">
        <color theme="0"/>
      </bottom>
      <diagonal/>
    </border>
    <border>
      <left style="medium">
        <color theme="0"/>
      </left>
      <right/>
      <top/>
      <bottom style="medium">
        <color theme="0"/>
      </bottom>
      <diagonal/>
    </border>
    <border>
      <left/>
      <right style="medium">
        <color theme="1" tint="0.499984740745262"/>
      </right>
      <top/>
      <bottom/>
      <diagonal/>
    </border>
    <border>
      <left/>
      <right/>
      <top style="medium">
        <color rgb="FF002060"/>
      </top>
      <bottom style="medium">
        <color rgb="FF002060"/>
      </bottom>
      <diagonal/>
    </border>
    <border>
      <left/>
      <right/>
      <top style="hair">
        <color theme="6"/>
      </top>
      <bottom style="hair">
        <color theme="6"/>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medium">
        <color rgb="FF002060"/>
      </top>
      <bottom style="hair">
        <color rgb="FF002060"/>
      </bottom>
      <diagonal/>
    </border>
    <border>
      <left/>
      <right/>
      <top style="hair">
        <color rgb="FF002060"/>
      </top>
      <bottom style="hair">
        <color rgb="FF002060"/>
      </bottom>
      <diagonal/>
    </border>
    <border>
      <left/>
      <right/>
      <top style="thick">
        <color theme="0"/>
      </top>
      <bottom style="thick">
        <color theme="0"/>
      </bottom>
      <diagonal/>
    </border>
    <border>
      <left/>
      <right/>
      <top style="hair">
        <color rgb="FF002060"/>
      </top>
      <bottom/>
      <diagonal/>
    </border>
    <border>
      <left style="thin">
        <color theme="0"/>
      </left>
      <right style="thick">
        <color theme="0"/>
      </right>
      <top/>
      <bottom/>
      <diagonal/>
    </border>
    <border>
      <left/>
      <right/>
      <top style="hair">
        <color theme="6"/>
      </top>
      <bottom/>
      <diagonal/>
    </border>
    <border>
      <left style="thin">
        <color theme="0"/>
      </left>
      <right style="thin">
        <color theme="0"/>
      </right>
      <top/>
      <bottom style="medium">
        <color theme="0"/>
      </bottom>
      <diagonal/>
    </border>
    <border>
      <left style="thick">
        <color theme="0"/>
      </left>
      <right style="thick">
        <color theme="0"/>
      </right>
      <top style="medium">
        <color theme="0"/>
      </top>
      <bottom style="thick">
        <color theme="0"/>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theme="0"/>
      </left>
      <right style="thick">
        <color theme="0"/>
      </right>
      <top style="thin">
        <color theme="4" tint="0.39997558519241921"/>
      </top>
      <bottom style="thin">
        <color theme="4" tint="0.39997558519241921"/>
      </bottom>
      <diagonal/>
    </border>
  </borders>
  <cellStyleXfs count="6">
    <xf numFmtId="0" fontId="0" fillId="0" borderId="0"/>
    <xf numFmtId="0" fontId="4" fillId="0" borderId="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4" fillId="0" borderId="0" applyNumberFormat="0" applyFill="0" applyBorder="0" applyAlignment="0" applyProtection="0"/>
  </cellStyleXfs>
  <cellXfs count="396">
    <xf numFmtId="0" fontId="0" fillId="0" borderId="0" xfId="0"/>
    <xf numFmtId="0" fontId="7" fillId="0" borderId="0" xfId="0" applyFont="1" applyAlignment="1">
      <alignment horizontal="center" vertical="top" wrapText="1"/>
    </xf>
    <xf numFmtId="0" fontId="7" fillId="0" borderId="0" xfId="0" applyFont="1"/>
    <xf numFmtId="0" fontId="9" fillId="2" borderId="2" xfId="0" applyFont="1" applyFill="1" applyBorder="1" applyAlignment="1">
      <alignment horizontal="center" vertical="center" wrapText="1"/>
    </xf>
    <xf numFmtId="0" fontId="2" fillId="2" borderId="0" xfId="0" applyFont="1" applyFill="1"/>
    <xf numFmtId="0" fontId="0" fillId="0" borderId="0" xfId="0" applyAlignment="1">
      <alignment horizontal="center"/>
    </xf>
    <xf numFmtId="0" fontId="2" fillId="2" borderId="0" xfId="0" applyFont="1" applyFill="1" applyAlignment="1">
      <alignment horizontal="center"/>
    </xf>
    <xf numFmtId="0" fontId="10" fillId="0" borderId="0" xfId="0" applyFont="1" applyAlignment="1">
      <alignment horizontal="center" vertical="top" wrapText="1"/>
    </xf>
    <xf numFmtId="0" fontId="0" fillId="0" borderId="0" xfId="0" applyAlignment="1">
      <alignment vertical="center"/>
    </xf>
    <xf numFmtId="0" fontId="0" fillId="0" borderId="0" xfId="0" applyAlignment="1">
      <alignment horizontal="center" vertical="center"/>
    </xf>
    <xf numFmtId="0" fontId="7" fillId="0" borderId="0" xfId="0" applyFont="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11" fillId="0" borderId="0" xfId="0" applyFont="1" applyAlignment="1">
      <alignment vertical="center"/>
    </xf>
    <xf numFmtId="0" fontId="12" fillId="0" borderId="0" xfId="0" applyFont="1" applyAlignment="1">
      <alignment horizontal="center" vertical="center"/>
    </xf>
    <xf numFmtId="0" fontId="13" fillId="0" borderId="0" xfId="0" applyFont="1"/>
    <xf numFmtId="0" fontId="14" fillId="0" borderId="0" xfId="0" applyFont="1"/>
    <xf numFmtId="0" fontId="15" fillId="0" borderId="0" xfId="0" applyFont="1" applyAlignment="1">
      <alignment horizontal="left" vertical="top" wrapText="1"/>
    </xf>
    <xf numFmtId="43" fontId="1" fillId="0" borderId="0" xfId="3" applyFont="1"/>
    <xf numFmtId="4" fontId="0" fillId="0" borderId="0" xfId="0" applyNumberFormat="1"/>
    <xf numFmtId="0" fontId="0" fillId="0" borderId="0" xfId="0" pivotButton="1" applyAlignment="1">
      <alignment horizontal="center" vertical="center" wrapText="1"/>
    </xf>
    <xf numFmtId="0" fontId="0" fillId="0" borderId="0" xfId="0" applyAlignment="1">
      <alignment horizontal="center" vertical="center" wrapText="1"/>
    </xf>
    <xf numFmtId="0" fontId="12" fillId="0" borderId="0" xfId="0" applyFont="1" applyAlignment="1">
      <alignment vertical="center"/>
    </xf>
    <xf numFmtId="9" fontId="0" fillId="0" borderId="0" xfId="0" applyNumberFormat="1" applyAlignment="1">
      <alignment horizontal="center"/>
    </xf>
    <xf numFmtId="0" fontId="0" fillId="0" borderId="0" xfId="0" applyAlignment="1">
      <alignment horizontal="center" wrapText="1"/>
    </xf>
    <xf numFmtId="0" fontId="0" fillId="0" borderId="0" xfId="0" pivotButton="1" applyAlignment="1">
      <alignment horizontal="center" wrapText="1"/>
    </xf>
    <xf numFmtId="0" fontId="6" fillId="0" borderId="0" xfId="0" applyFont="1" applyAlignment="1">
      <alignment vertical="center" wrapText="1"/>
    </xf>
    <xf numFmtId="0" fontId="6" fillId="0" borderId="0" xfId="0" applyFont="1" applyAlignment="1">
      <alignment vertical="center"/>
    </xf>
    <xf numFmtId="0" fontId="16" fillId="0" borderId="0" xfId="0" applyFont="1"/>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17" fillId="0" borderId="0" xfId="0" applyFont="1" applyAlignment="1">
      <alignment horizontal="left" vertical="top"/>
    </xf>
    <xf numFmtId="0" fontId="0" fillId="2" borderId="0" xfId="0" applyFill="1" applyAlignment="1">
      <alignment horizontal="center" vertical="center" wrapText="1"/>
    </xf>
    <xf numFmtId="0" fontId="0" fillId="2" borderId="0" xfId="0" applyFill="1" applyAlignment="1">
      <alignment horizontal="center" vertical="center"/>
    </xf>
    <xf numFmtId="0" fontId="3" fillId="4" borderId="12" xfId="0" applyFont="1" applyFill="1" applyBorder="1" applyAlignment="1">
      <alignment horizontal="left" vertical="center" wrapText="1"/>
    </xf>
    <xf numFmtId="0" fontId="3" fillId="4" borderId="12" xfId="0" applyFont="1" applyFill="1" applyBorder="1" applyAlignment="1">
      <alignment horizontal="center" vertical="center" wrapText="1"/>
    </xf>
    <xf numFmtId="9" fontId="3" fillId="4" borderId="12" xfId="2" applyFont="1" applyFill="1" applyBorder="1" applyAlignment="1">
      <alignment horizontal="center" vertical="center" wrapText="1"/>
    </xf>
    <xf numFmtId="0" fontId="5" fillId="0" borderId="0" xfId="0" applyFont="1"/>
    <xf numFmtId="0" fontId="14" fillId="0" borderId="0" xfId="0" applyFont="1" applyAlignment="1">
      <alignment vertical="center"/>
    </xf>
    <xf numFmtId="0" fontId="14" fillId="0" borderId="0" xfId="0" applyFont="1" applyAlignment="1">
      <alignment horizontal="center" vertical="center"/>
    </xf>
    <xf numFmtId="0" fontId="14" fillId="5" borderId="13" xfId="0" applyFont="1" applyFill="1" applyBorder="1" applyAlignment="1">
      <alignment horizontal="center" vertical="center" wrapText="1"/>
    </xf>
    <xf numFmtId="0" fontId="14" fillId="5" borderId="14" xfId="0" applyFont="1" applyFill="1" applyBorder="1" applyAlignment="1">
      <alignment horizontal="center" vertical="center" wrapText="1"/>
    </xf>
    <xf numFmtId="14" fontId="14" fillId="5" borderId="14" xfId="0" applyNumberFormat="1" applyFont="1" applyFill="1" applyBorder="1" applyAlignment="1">
      <alignment horizontal="center" vertical="center" wrapText="1"/>
    </xf>
    <xf numFmtId="43" fontId="14" fillId="5" borderId="15" xfId="0" applyNumberFormat="1" applyFont="1" applyFill="1" applyBorder="1" applyAlignment="1">
      <alignment horizontal="center" vertical="center" wrapText="1"/>
    </xf>
    <xf numFmtId="0" fontId="18" fillId="0" borderId="0" xfId="0" applyFont="1"/>
    <xf numFmtId="0" fontId="12" fillId="5" borderId="14" xfId="0" applyFont="1" applyFill="1" applyBorder="1" applyAlignment="1">
      <alignment horizontal="center" vertical="center" wrapText="1"/>
    </xf>
    <xf numFmtId="165" fontId="0" fillId="0" borderId="0" xfId="0" applyNumberFormat="1"/>
    <xf numFmtId="0" fontId="19" fillId="0" borderId="0" xfId="0" applyFont="1" applyAlignment="1">
      <alignment vertical="center"/>
    </xf>
    <xf numFmtId="0" fontId="20" fillId="0" borderId="0" xfId="0" applyFont="1"/>
    <xf numFmtId="0" fontId="0" fillId="0" borderId="0" xfId="0" pivotButton="1"/>
    <xf numFmtId="0" fontId="7" fillId="0" borderId="0" xfId="0" applyFont="1" applyAlignment="1">
      <alignment horizontal="center" wrapText="1"/>
    </xf>
    <xf numFmtId="0" fontId="9" fillId="2" borderId="0" xfId="0" applyFont="1" applyFill="1" applyAlignment="1">
      <alignment horizontal="center" vertical="center" wrapText="1"/>
    </xf>
    <xf numFmtId="0" fontId="0" fillId="5" borderId="18" xfId="0" applyFill="1" applyBorder="1"/>
    <xf numFmtId="3" fontId="0" fillId="5" borderId="0" xfId="0" applyNumberFormat="1" applyFill="1" applyAlignment="1">
      <alignment horizontal="center" vertical="center"/>
    </xf>
    <xf numFmtId="164" fontId="3" fillId="4" borderId="12" xfId="3" applyNumberFormat="1" applyFont="1" applyFill="1" applyBorder="1" applyAlignment="1">
      <alignment vertical="center" wrapText="1"/>
    </xf>
    <xf numFmtId="0" fontId="9" fillId="7" borderId="10" xfId="0" applyFont="1" applyFill="1" applyBorder="1" applyAlignment="1">
      <alignment horizontal="center" vertical="center" wrapText="1"/>
    </xf>
    <xf numFmtId="0" fontId="9" fillId="7" borderId="19" xfId="0" applyFont="1" applyFill="1" applyBorder="1" applyAlignment="1">
      <alignment horizontal="center" vertical="center" wrapText="1"/>
    </xf>
    <xf numFmtId="0" fontId="9" fillId="7" borderId="20" xfId="0" applyFont="1" applyFill="1" applyBorder="1" applyAlignment="1">
      <alignment horizontal="center" vertical="center" wrapText="1"/>
    </xf>
    <xf numFmtId="0" fontId="9" fillId="2" borderId="17" xfId="0" applyFont="1" applyFill="1" applyBorder="1" applyAlignment="1">
      <alignment horizontal="center" vertical="center" wrapText="1"/>
    </xf>
    <xf numFmtId="0" fontId="10" fillId="0" borderId="0" xfId="0" applyFont="1" applyAlignment="1">
      <alignment horizontal="left" vertical="top" wrapText="1"/>
    </xf>
    <xf numFmtId="0" fontId="0" fillId="5" borderId="0" xfId="0" applyFill="1" applyAlignment="1">
      <alignment horizontal="center"/>
    </xf>
    <xf numFmtId="9" fontId="0" fillId="5" borderId="21" xfId="0" applyNumberFormat="1" applyFill="1" applyBorder="1" applyAlignment="1">
      <alignment horizontal="center"/>
    </xf>
    <xf numFmtId="0" fontId="12" fillId="0" borderId="22" xfId="0" applyFont="1" applyBorder="1" applyAlignment="1">
      <alignment horizontal="center" vertical="center" wrapText="1"/>
    </xf>
    <xf numFmtId="164" fontId="12" fillId="0" borderId="22" xfId="0" applyNumberFormat="1" applyFont="1" applyBorder="1" applyAlignment="1">
      <alignment horizontal="center" vertical="center" wrapText="1"/>
    </xf>
    <xf numFmtId="14" fontId="14" fillId="3" borderId="10" xfId="0" applyNumberFormat="1" applyFont="1" applyFill="1" applyBorder="1" applyAlignment="1">
      <alignment horizontal="center" vertical="center"/>
    </xf>
    <xf numFmtId="0" fontId="21" fillId="8" borderId="0" xfId="0" applyFont="1" applyFill="1" applyAlignment="1">
      <alignment horizontal="center" vertical="center" wrapText="1"/>
    </xf>
    <xf numFmtId="0" fontId="9" fillId="8" borderId="0" xfId="0" applyFont="1" applyFill="1" applyAlignment="1">
      <alignment horizontal="center" vertical="center" wrapText="1"/>
    </xf>
    <xf numFmtId="43" fontId="21" fillId="8" borderId="0" xfId="0" applyNumberFormat="1" applyFont="1" applyFill="1" applyAlignment="1">
      <alignment horizontal="center" vertical="center" wrapText="1"/>
    </xf>
    <xf numFmtId="0" fontId="5" fillId="0" borderId="0" xfId="0" applyFont="1" applyAlignment="1">
      <alignment vertical="center"/>
    </xf>
    <xf numFmtId="0" fontId="5" fillId="0" borderId="0" xfId="0" applyFont="1" applyAlignment="1">
      <alignment horizontal="center"/>
    </xf>
    <xf numFmtId="49" fontId="17" fillId="6" borderId="25" xfId="0" applyNumberFormat="1" applyFont="1" applyFill="1" applyBorder="1" applyAlignment="1">
      <alignment vertical="center" wrapText="1"/>
    </xf>
    <xf numFmtId="49" fontId="17" fillId="6" borderId="26" xfId="0" applyNumberFormat="1" applyFont="1" applyFill="1" applyBorder="1" applyAlignment="1">
      <alignment vertical="center" wrapText="1"/>
    </xf>
    <xf numFmtId="0" fontId="0" fillId="0" borderId="0" xfId="0" applyAlignment="1">
      <alignment horizontal="left"/>
    </xf>
    <xf numFmtId="14" fontId="0" fillId="0" borderId="0" xfId="0" applyNumberFormat="1"/>
    <xf numFmtId="0" fontId="10" fillId="0" borderId="0" xfId="0" applyFont="1" applyAlignment="1">
      <alignment horizontal="left" vertical="top"/>
    </xf>
    <xf numFmtId="49" fontId="13" fillId="9" borderId="27" xfId="0" applyNumberFormat="1" applyFont="1" applyFill="1" applyBorder="1" applyAlignment="1">
      <alignment horizontal="left" vertical="top"/>
    </xf>
    <xf numFmtId="0" fontId="7" fillId="0" borderId="0" xfId="0" applyFont="1" applyAlignment="1">
      <alignment horizontal="left" vertical="top"/>
    </xf>
    <xf numFmtId="0" fontId="0" fillId="10" borderId="0" xfId="0" applyFill="1"/>
    <xf numFmtId="0" fontId="0" fillId="10" borderId="0" xfId="0" applyFill="1" applyAlignment="1">
      <alignment horizontal="center"/>
    </xf>
    <xf numFmtId="0" fontId="0" fillId="10" borderId="0" xfId="0" applyFill="1" applyAlignment="1">
      <alignment horizontal="center" wrapText="1"/>
    </xf>
    <xf numFmtId="0" fontId="15" fillId="10" borderId="7" xfId="0" applyFont="1" applyFill="1" applyBorder="1" applyAlignment="1">
      <alignment vertical="center"/>
    </xf>
    <xf numFmtId="0" fontId="7" fillId="0" borderId="0" xfId="0" applyFont="1" applyAlignment="1">
      <alignment vertical="center"/>
    </xf>
    <xf numFmtId="0" fontId="5" fillId="0" borderId="0" xfId="0" applyFont="1" applyAlignment="1">
      <alignment horizontal="center" vertical="center"/>
    </xf>
    <xf numFmtId="0" fontId="22" fillId="0" borderId="0" xfId="0" applyFont="1"/>
    <xf numFmtId="0" fontId="0" fillId="0" borderId="0" xfId="0" applyAlignment="1">
      <alignment wrapText="1"/>
    </xf>
    <xf numFmtId="0" fontId="23" fillId="0" borderId="0" xfId="0" applyFont="1" applyAlignment="1">
      <alignment horizontal="center"/>
    </xf>
    <xf numFmtId="0" fontId="23" fillId="0" borderId="0" xfId="0" applyFont="1"/>
    <xf numFmtId="14" fontId="0" fillId="0" borderId="0" xfId="0" applyNumberFormat="1" applyAlignment="1">
      <alignment horizontal="center"/>
    </xf>
    <xf numFmtId="0" fontId="24" fillId="0" borderId="0" xfId="0" applyFont="1"/>
    <xf numFmtId="0" fontId="17" fillId="0" borderId="0" xfId="0" applyFont="1"/>
    <xf numFmtId="0" fontId="6" fillId="0" borderId="1" xfId="0" applyFont="1" applyBorder="1" applyAlignment="1">
      <alignment vertical="center" wrapText="1"/>
    </xf>
    <xf numFmtId="0" fontId="0" fillId="0" borderId="1" xfId="0" applyBorder="1" applyAlignment="1">
      <alignment vertical="center"/>
    </xf>
    <xf numFmtId="0" fontId="6" fillId="0" borderId="1" xfId="0" applyFont="1" applyBorder="1" applyAlignment="1">
      <alignment vertical="center"/>
    </xf>
    <xf numFmtId="0" fontId="0" fillId="0" borderId="1" xfId="0" applyBorder="1" applyAlignment="1">
      <alignment vertical="center" wrapText="1"/>
    </xf>
    <xf numFmtId="4" fontId="6" fillId="0" borderId="1" xfId="0" applyNumberFormat="1" applyFont="1" applyBorder="1" applyAlignment="1">
      <alignment vertical="center"/>
    </xf>
    <xf numFmtId="14" fontId="0" fillId="0" borderId="1" xfId="0" applyNumberFormat="1" applyBorder="1" applyAlignment="1">
      <alignment horizontal="center" vertical="center"/>
    </xf>
    <xf numFmtId="0" fontId="3" fillId="11" borderId="0" xfId="0" applyFont="1" applyFill="1" applyAlignment="1">
      <alignment horizontal="center" vertical="center" wrapText="1"/>
    </xf>
    <xf numFmtId="0" fontId="10" fillId="0" borderId="0" xfId="0" applyFont="1" applyAlignment="1">
      <alignment horizontal="center" vertical="top"/>
    </xf>
    <xf numFmtId="0" fontId="7" fillId="0" borderId="0" xfId="0" applyFont="1" applyAlignment="1">
      <alignment horizontal="center" vertical="top"/>
    </xf>
    <xf numFmtId="0" fontId="10" fillId="0" borderId="0" xfId="0" applyFont="1" applyAlignment="1">
      <alignment vertical="top" wrapText="1"/>
    </xf>
    <xf numFmtId="0" fontId="15" fillId="0" borderId="0" xfId="0" applyFont="1"/>
    <xf numFmtId="0" fontId="24" fillId="0" borderId="0" xfId="0" applyFont="1" applyAlignment="1">
      <alignment horizontal="center"/>
    </xf>
    <xf numFmtId="43" fontId="0" fillId="0" borderId="0" xfId="0" applyNumberFormat="1"/>
    <xf numFmtId="0" fontId="14" fillId="0" borderId="29" xfId="0" applyFont="1" applyBorder="1" applyAlignment="1">
      <alignment vertical="center"/>
    </xf>
    <xf numFmtId="0" fontId="14" fillId="0" borderId="29" xfId="0" applyFont="1" applyBorder="1" applyAlignment="1">
      <alignment vertical="center" wrapText="1"/>
    </xf>
    <xf numFmtId="164" fontId="14" fillId="0" borderId="29" xfId="3" applyNumberFormat="1" applyFont="1" applyBorder="1" applyAlignment="1">
      <alignment vertical="center"/>
    </xf>
    <xf numFmtId="0" fontId="14" fillId="0" borderId="30" xfId="0" applyFont="1" applyBorder="1" applyAlignment="1">
      <alignment vertical="center"/>
    </xf>
    <xf numFmtId="0" fontId="14" fillId="0" borderId="30" xfId="0" applyFont="1" applyBorder="1" applyAlignment="1">
      <alignment vertical="center" wrapText="1"/>
    </xf>
    <xf numFmtId="164" fontId="14" fillId="0" borderId="30" xfId="3" applyNumberFormat="1" applyFont="1" applyBorder="1" applyAlignment="1">
      <alignment vertical="center"/>
    </xf>
    <xf numFmtId="14" fontId="14" fillId="0" borderId="29" xfId="0" applyNumberFormat="1" applyFont="1" applyBorder="1" applyAlignment="1">
      <alignment vertical="center"/>
    </xf>
    <xf numFmtId="14" fontId="14" fillId="0" borderId="30" xfId="0" applyNumberFormat="1" applyFont="1" applyBorder="1" applyAlignment="1">
      <alignment vertical="center"/>
    </xf>
    <xf numFmtId="0" fontId="9" fillId="2" borderId="4" xfId="0" applyFont="1" applyFill="1" applyBorder="1" applyAlignment="1">
      <alignment horizontal="left" vertical="center" wrapText="1"/>
    </xf>
    <xf numFmtId="43" fontId="0" fillId="0" borderId="0" xfId="3" applyFont="1"/>
    <xf numFmtId="0" fontId="3" fillId="2" borderId="0" xfId="0" applyFont="1" applyFill="1" applyAlignment="1">
      <alignment horizontal="center" vertical="center" wrapText="1"/>
    </xf>
    <xf numFmtId="2" fontId="7" fillId="0" borderId="0" xfId="3" applyNumberFormat="1" applyFont="1" applyBorder="1" applyAlignment="1">
      <alignment horizontal="center" vertical="top" wrapText="1"/>
    </xf>
    <xf numFmtId="2" fontId="9" fillId="2" borderId="4" xfId="3" applyNumberFormat="1" applyFont="1" applyFill="1" applyBorder="1" applyAlignment="1">
      <alignment horizontal="center" vertical="center" wrapText="1"/>
    </xf>
    <xf numFmtId="14" fontId="8" fillId="0" borderId="0" xfId="0" applyNumberFormat="1" applyFont="1" applyAlignment="1">
      <alignment horizontal="center" vertical="top" wrapText="1"/>
    </xf>
    <xf numFmtId="14" fontId="17" fillId="6" borderId="25" xfId="0" applyNumberFormat="1" applyFont="1" applyFill="1" applyBorder="1" applyAlignment="1">
      <alignment vertical="center" wrapText="1"/>
    </xf>
    <xf numFmtId="14" fontId="9" fillId="2" borderId="5" xfId="0" applyNumberFormat="1" applyFont="1" applyFill="1" applyBorder="1" applyAlignment="1">
      <alignment horizontal="center" vertical="center" wrapText="1"/>
    </xf>
    <xf numFmtId="49" fontId="8" fillId="0" borderId="0" xfId="0" applyNumberFormat="1" applyFont="1" applyAlignment="1">
      <alignment horizontal="center" vertical="top" wrapText="1"/>
    </xf>
    <xf numFmtId="49" fontId="9" fillId="2" borderId="5" xfId="0" applyNumberFormat="1" applyFont="1" applyFill="1" applyBorder="1" applyAlignment="1">
      <alignment horizontal="center" vertical="center" wrapText="1"/>
    </xf>
    <xf numFmtId="0" fontId="13" fillId="0" borderId="23" xfId="0" applyFont="1" applyBorder="1" applyAlignment="1">
      <alignment vertical="center"/>
    </xf>
    <xf numFmtId="0" fontId="13" fillId="0" borderId="23" xfId="0" applyFont="1" applyBorder="1" applyAlignment="1">
      <alignment horizontal="center" vertical="center"/>
    </xf>
    <xf numFmtId="9" fontId="13" fillId="0" borderId="23" xfId="2" applyFont="1" applyBorder="1" applyAlignment="1">
      <alignment horizontal="center" vertical="center"/>
    </xf>
    <xf numFmtId="166" fontId="13" fillId="0" borderId="23" xfId="2" applyNumberFormat="1" applyFont="1" applyBorder="1" applyAlignment="1">
      <alignment horizontal="center" vertical="center"/>
    </xf>
    <xf numFmtId="10" fontId="13" fillId="0" borderId="23" xfId="2" applyNumberFormat="1" applyFont="1" applyBorder="1" applyAlignment="1">
      <alignment horizontal="center" vertical="center"/>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9" fontId="15" fillId="0" borderId="22" xfId="2" applyFont="1" applyBorder="1" applyAlignment="1">
      <alignment horizontal="center" vertical="center" wrapText="1"/>
    </xf>
    <xf numFmtId="43" fontId="13" fillId="0" borderId="23" xfId="3" applyFont="1" applyBorder="1" applyAlignment="1">
      <alignment horizontal="center" vertical="center"/>
    </xf>
    <xf numFmtId="43" fontId="15" fillId="0" borderId="22" xfId="3" applyFont="1" applyBorder="1" applyAlignment="1">
      <alignment horizontal="center" vertical="center" wrapText="1"/>
    </xf>
    <xf numFmtId="0" fontId="25" fillId="0" borderId="0" xfId="0" applyFont="1" applyAlignment="1">
      <alignment vertical="center"/>
    </xf>
    <xf numFmtId="0" fontId="25" fillId="0" borderId="0" xfId="0" applyFont="1" applyAlignment="1">
      <alignment horizontal="center" vertical="center"/>
    </xf>
    <xf numFmtId="49" fontId="13" fillId="12" borderId="26" xfId="0" applyNumberFormat="1" applyFont="1" applyFill="1" applyBorder="1" applyAlignment="1">
      <alignment horizontal="left" vertical="top"/>
    </xf>
    <xf numFmtId="0" fontId="14" fillId="3" borderId="10" xfId="0" applyFont="1" applyFill="1" applyBorder="1" applyAlignment="1">
      <alignment horizontal="center" vertical="center"/>
    </xf>
    <xf numFmtId="0" fontId="14" fillId="3" borderId="10" xfId="0" applyFont="1" applyFill="1" applyBorder="1" applyAlignment="1">
      <alignment horizontal="center" vertical="center" wrapText="1"/>
    </xf>
    <xf numFmtId="43" fontId="19" fillId="3" borderId="10" xfId="3" applyFont="1" applyFill="1" applyBorder="1" applyAlignment="1">
      <alignment horizontal="center" vertical="center"/>
    </xf>
    <xf numFmtId="43" fontId="19" fillId="10" borderId="0" xfId="0" applyNumberFormat="1" applyFont="1" applyFill="1" applyAlignment="1">
      <alignment horizontal="center"/>
    </xf>
    <xf numFmtId="0" fontId="14" fillId="3" borderId="11" xfId="0" applyFont="1" applyFill="1" applyBorder="1" applyAlignment="1">
      <alignment horizontal="center" vertical="center"/>
    </xf>
    <xf numFmtId="0" fontId="14" fillId="3" borderId="10" xfId="3" applyNumberFormat="1" applyFont="1" applyFill="1" applyBorder="1" applyAlignment="1">
      <alignment horizontal="left" vertical="center" wrapText="1"/>
    </xf>
    <xf numFmtId="43" fontId="9" fillId="7" borderId="20" xfId="3" applyFont="1" applyFill="1" applyBorder="1" applyAlignment="1">
      <alignment horizontal="center" vertical="center" wrapText="1"/>
    </xf>
    <xf numFmtId="43" fontId="14" fillId="5" borderId="15" xfId="3" applyFont="1" applyFill="1" applyBorder="1" applyAlignment="1">
      <alignment horizontal="center" vertical="center" wrapText="1"/>
    </xf>
    <xf numFmtId="43" fontId="0" fillId="0" borderId="0" xfId="3" applyFont="1" applyAlignment="1">
      <alignment horizontal="center" wrapText="1"/>
    </xf>
    <xf numFmtId="49" fontId="13" fillId="6" borderId="26" xfId="0" applyNumberFormat="1" applyFont="1" applyFill="1" applyBorder="1" applyAlignment="1">
      <alignment horizontal="left" vertical="top"/>
    </xf>
    <xf numFmtId="49" fontId="22" fillId="6" borderId="26" xfId="0" applyNumberFormat="1" applyFont="1" applyFill="1" applyBorder="1" applyAlignment="1">
      <alignment horizontal="left" vertical="top"/>
    </xf>
    <xf numFmtId="0" fontId="13" fillId="6" borderId="26" xfId="0" applyFont="1" applyFill="1" applyBorder="1" applyAlignment="1">
      <alignment horizontal="left" vertical="top"/>
    </xf>
    <xf numFmtId="43" fontId="13" fillId="6" borderId="26" xfId="3" applyFont="1" applyFill="1" applyBorder="1" applyAlignment="1">
      <alignment horizontal="left" vertical="top"/>
    </xf>
    <xf numFmtId="49" fontId="13" fillId="10" borderId="27" xfId="0" applyNumberFormat="1" applyFont="1" applyFill="1" applyBorder="1" applyAlignment="1">
      <alignment horizontal="left" vertical="top"/>
    </xf>
    <xf numFmtId="0" fontId="7" fillId="0" borderId="0" xfId="0" applyFont="1" applyAlignment="1">
      <alignment horizontal="center"/>
    </xf>
    <xf numFmtId="0" fontId="7" fillId="0" borderId="0" xfId="0" applyFont="1" applyAlignment="1">
      <alignment horizontal="center" vertical="center"/>
    </xf>
    <xf numFmtId="14" fontId="8" fillId="0" borderId="0" xfId="0" applyNumberFormat="1" applyFont="1" applyAlignment="1">
      <alignment horizontal="center" vertical="top"/>
    </xf>
    <xf numFmtId="49" fontId="8" fillId="0" borderId="0" xfId="0" applyNumberFormat="1" applyFont="1" applyAlignment="1">
      <alignment horizontal="center" vertical="top"/>
    </xf>
    <xf numFmtId="0" fontId="7" fillId="0" borderId="0" xfId="0" applyFont="1" applyAlignment="1">
      <alignment horizontal="left" vertical="center"/>
    </xf>
    <xf numFmtId="0" fontId="15" fillId="0" borderId="0" xfId="0" applyFont="1" applyAlignment="1">
      <alignment horizontal="left" vertical="top"/>
    </xf>
    <xf numFmtId="49" fontId="17" fillId="6" borderId="25" xfId="0" applyNumberFormat="1" applyFont="1" applyFill="1" applyBorder="1" applyAlignment="1">
      <alignment vertical="center"/>
    </xf>
    <xf numFmtId="0" fontId="17" fillId="6" borderId="25" xfId="0" applyFont="1" applyFill="1" applyBorder="1" applyAlignment="1">
      <alignment vertical="center"/>
    </xf>
    <xf numFmtId="14" fontId="17" fillId="6" borderId="25" xfId="0" applyNumberFormat="1" applyFont="1" applyFill="1" applyBorder="1" applyAlignment="1">
      <alignment vertical="center"/>
    </xf>
    <xf numFmtId="49" fontId="17" fillId="6" borderId="26" xfId="0" applyNumberFormat="1" applyFont="1" applyFill="1" applyBorder="1" applyAlignment="1">
      <alignment vertical="center"/>
    </xf>
    <xf numFmtId="14" fontId="13" fillId="6" borderId="26" xfId="0" applyNumberFormat="1" applyFont="1" applyFill="1" applyBorder="1" applyAlignment="1">
      <alignment horizontal="left" vertical="top"/>
    </xf>
    <xf numFmtId="14" fontId="7" fillId="0" borderId="0" xfId="0" applyNumberFormat="1" applyFont="1" applyAlignment="1">
      <alignment horizontal="center" vertical="top"/>
    </xf>
    <xf numFmtId="0" fontId="8" fillId="0" borderId="0" xfId="0" applyFont="1" applyAlignment="1">
      <alignment horizontal="center" vertical="top"/>
    </xf>
    <xf numFmtId="43" fontId="7" fillId="0" borderId="0" xfId="3" applyFont="1" applyAlignment="1">
      <alignment horizontal="center" vertical="top"/>
    </xf>
    <xf numFmtId="0" fontId="19" fillId="0" borderId="0" xfId="0" applyFont="1" applyAlignment="1">
      <alignment horizontal="left" vertical="center"/>
    </xf>
    <xf numFmtId="0" fontId="12" fillId="0" borderId="29" xfId="0" applyFont="1" applyBorder="1"/>
    <xf numFmtId="0" fontId="14" fillId="0" borderId="29" xfId="0" applyFont="1" applyBorder="1"/>
    <xf numFmtId="4" fontId="14" fillId="0" borderId="29" xfId="0" applyNumberFormat="1" applyFont="1" applyBorder="1"/>
    <xf numFmtId="0" fontId="12" fillId="0" borderId="30" xfId="0" applyFont="1" applyBorder="1"/>
    <xf numFmtId="0" fontId="14" fillId="0" borderId="30" xfId="0" applyFont="1" applyBorder="1"/>
    <xf numFmtId="14" fontId="14" fillId="0" borderId="30" xfId="0" applyNumberFormat="1" applyFont="1" applyBorder="1" applyAlignment="1">
      <alignment horizontal="center"/>
    </xf>
    <xf numFmtId="4" fontId="14" fillId="0" borderId="30" xfId="0" applyNumberFormat="1" applyFont="1" applyBorder="1"/>
    <xf numFmtId="0" fontId="12" fillId="0" borderId="29" xfId="0" applyFont="1" applyBorder="1" applyAlignment="1">
      <alignment vertical="center"/>
    </xf>
    <xf numFmtId="0" fontId="12" fillId="0" borderId="29" xfId="0" applyFont="1" applyBorder="1" applyAlignment="1">
      <alignment vertical="center" wrapText="1"/>
    </xf>
    <xf numFmtId="0" fontId="14" fillId="0" borderId="29" xfId="0" applyFont="1" applyBorder="1" applyAlignment="1">
      <alignment horizontal="center" vertical="center"/>
    </xf>
    <xf numFmtId="4" fontId="14" fillId="0" borderId="29" xfId="0" applyNumberFormat="1" applyFont="1" applyBorder="1" applyAlignment="1">
      <alignment vertical="center"/>
    </xf>
    <xf numFmtId="0" fontId="12" fillId="0" borderId="30" xfId="0" applyFont="1" applyBorder="1" applyAlignment="1">
      <alignment vertical="center"/>
    </xf>
    <xf numFmtId="0" fontId="12" fillId="0" borderId="30" xfId="0" applyFont="1" applyBorder="1" applyAlignment="1">
      <alignment vertical="center" wrapText="1"/>
    </xf>
    <xf numFmtId="14" fontId="14" fillId="0" borderId="30" xfId="0" applyNumberFormat="1" applyFont="1" applyBorder="1" applyAlignment="1">
      <alignment horizontal="center" vertical="center"/>
    </xf>
    <xf numFmtId="4" fontId="14" fillId="0" borderId="30" xfId="0" applyNumberFormat="1" applyFont="1" applyBorder="1" applyAlignment="1">
      <alignment vertical="center"/>
    </xf>
    <xf numFmtId="0" fontId="14" fillId="0" borderId="30" xfId="0" applyFont="1" applyBorder="1" applyAlignment="1">
      <alignment horizontal="center" vertical="center"/>
    </xf>
    <xf numFmtId="0" fontId="12" fillId="0" borderId="32" xfId="0" applyFont="1" applyBorder="1" applyAlignment="1">
      <alignment vertical="center"/>
    </xf>
    <xf numFmtId="0" fontId="14" fillId="0" borderId="32" xfId="0" applyFont="1" applyBorder="1" applyAlignment="1">
      <alignment vertical="center" wrapText="1"/>
    </xf>
    <xf numFmtId="0" fontId="12" fillId="0" borderId="32" xfId="0" applyFont="1" applyBorder="1" applyAlignment="1">
      <alignment vertical="center" wrapText="1"/>
    </xf>
    <xf numFmtId="0" fontId="14" fillId="0" borderId="32" xfId="0" applyFont="1" applyBorder="1" applyAlignment="1">
      <alignment horizontal="center" vertical="center"/>
    </xf>
    <xf numFmtId="4" fontId="14" fillId="0" borderId="32" xfId="0" applyNumberFormat="1" applyFont="1" applyBorder="1" applyAlignment="1">
      <alignment vertical="center"/>
    </xf>
    <xf numFmtId="0" fontId="14" fillId="0" borderId="22" xfId="0" applyFont="1" applyBorder="1"/>
    <xf numFmtId="4" fontId="14" fillId="0" borderId="22" xfId="0" applyNumberFormat="1" applyFont="1" applyBorder="1"/>
    <xf numFmtId="0" fontId="14" fillId="0" borderId="22" xfId="0" applyFont="1" applyBorder="1" applyAlignment="1">
      <alignment wrapText="1"/>
    </xf>
    <xf numFmtId="0" fontId="14" fillId="0" borderId="22" xfId="0" applyFont="1" applyBorder="1" applyAlignment="1">
      <alignment horizontal="center"/>
    </xf>
    <xf numFmtId="0" fontId="12" fillId="0" borderId="22" xfId="0" applyFont="1" applyBorder="1"/>
    <xf numFmtId="0" fontId="0" fillId="0" borderId="0" xfId="0" pivotButton="1" applyAlignment="1">
      <alignment horizontal="center" vertical="center"/>
    </xf>
    <xf numFmtId="0" fontId="19" fillId="0" borderId="0" xfId="0" applyFont="1" applyAlignment="1">
      <alignment horizontal="center" vertical="center"/>
    </xf>
    <xf numFmtId="43" fontId="13" fillId="0" borderId="23" xfId="3" applyFont="1" applyBorder="1" applyAlignment="1">
      <alignment horizontal="center" vertical="center" wrapText="1"/>
    </xf>
    <xf numFmtId="14" fontId="13" fillId="0" borderId="23" xfId="2" applyNumberFormat="1" applyFont="1" applyBorder="1" applyAlignment="1">
      <alignment horizontal="center" vertical="center"/>
    </xf>
    <xf numFmtId="14" fontId="13" fillId="0" borderId="23" xfId="0" applyNumberFormat="1" applyFont="1" applyBorder="1" applyAlignment="1">
      <alignment horizontal="center" vertical="center"/>
    </xf>
    <xf numFmtId="14" fontId="13" fillId="0" borderId="23" xfId="0" applyNumberFormat="1" applyFont="1" applyBorder="1" applyAlignment="1">
      <alignment horizontal="center" vertical="center" wrapText="1"/>
    </xf>
    <xf numFmtId="14" fontId="14" fillId="0" borderId="29" xfId="0" applyNumberFormat="1" applyFont="1" applyBorder="1" applyAlignment="1">
      <alignment horizontal="center"/>
    </xf>
    <xf numFmtId="44" fontId="7" fillId="0" borderId="0" xfId="3" applyNumberFormat="1" applyFont="1" applyBorder="1" applyAlignment="1">
      <alignment horizontal="center" vertical="top" wrapText="1"/>
    </xf>
    <xf numFmtId="44" fontId="9" fillId="2" borderId="4" xfId="3" applyNumberFormat="1" applyFont="1" applyFill="1" applyBorder="1" applyAlignment="1">
      <alignment horizontal="center" vertical="center" wrapText="1"/>
    </xf>
    <xf numFmtId="44" fontId="14" fillId="5" borderId="13" xfId="0" applyNumberFormat="1" applyFont="1" applyFill="1" applyBorder="1" applyAlignment="1">
      <alignment horizontal="center" vertical="center" wrapText="1"/>
    </xf>
    <xf numFmtId="49" fontId="13" fillId="6" borderId="26" xfId="1" applyNumberFormat="1" applyFont="1" applyFill="1" applyBorder="1" applyAlignment="1">
      <alignment horizontal="left" vertical="top"/>
    </xf>
    <xf numFmtId="44" fontId="13" fillId="13" borderId="27" xfId="3" applyNumberFormat="1" applyFont="1" applyFill="1" applyBorder="1" applyAlignment="1">
      <alignment horizontal="left" vertical="top"/>
    </xf>
    <xf numFmtId="14" fontId="14" fillId="5" borderId="13" xfId="0" applyNumberFormat="1" applyFont="1" applyFill="1" applyBorder="1" applyAlignment="1">
      <alignment horizontal="center" vertical="center" wrapText="1"/>
    </xf>
    <xf numFmtId="0" fontId="13" fillId="0" borderId="0" xfId="0" applyFont="1" applyAlignment="1">
      <alignment horizontal="center"/>
    </xf>
    <xf numFmtId="0" fontId="26" fillId="6" borderId="26" xfId="0" applyFont="1" applyFill="1" applyBorder="1" applyAlignment="1">
      <alignment horizontal="left" vertical="top"/>
    </xf>
    <xf numFmtId="43" fontId="26" fillId="6" borderId="26" xfId="3" applyFont="1" applyFill="1" applyBorder="1" applyAlignment="1">
      <alignment horizontal="left" vertical="top"/>
    </xf>
    <xf numFmtId="49" fontId="26" fillId="10" borderId="27" xfId="0" applyNumberFormat="1" applyFont="1" applyFill="1" applyBorder="1" applyAlignment="1">
      <alignment horizontal="left" vertical="top"/>
    </xf>
    <xf numFmtId="0" fontId="22" fillId="6" borderId="26" xfId="0" applyFont="1" applyFill="1" applyBorder="1" applyAlignment="1">
      <alignment horizontal="left" vertical="top"/>
    </xf>
    <xf numFmtId="43" fontId="22" fillId="6" borderId="26" xfId="3" applyFont="1" applyFill="1" applyBorder="1" applyAlignment="1">
      <alignment horizontal="left" vertical="top"/>
    </xf>
    <xf numFmtId="49" fontId="22" fillId="10" borderId="27" xfId="0" applyNumberFormat="1" applyFont="1" applyFill="1" applyBorder="1" applyAlignment="1">
      <alignment horizontal="left" vertical="top"/>
    </xf>
    <xf numFmtId="0" fontId="22" fillId="0" borderId="0" xfId="0" applyFont="1" applyAlignment="1">
      <alignment horizontal="center"/>
    </xf>
    <xf numFmtId="0" fontId="19" fillId="0" borderId="0" xfId="0" applyFont="1"/>
    <xf numFmtId="0" fontId="27" fillId="0" borderId="0" xfId="0" applyFont="1"/>
    <xf numFmtId="0" fontId="9" fillId="15" borderId="33" xfId="0" applyFont="1" applyFill="1" applyBorder="1" applyAlignment="1">
      <alignment horizontal="center" vertical="center" wrapText="1"/>
    </xf>
    <xf numFmtId="0" fontId="10" fillId="0" borderId="0" xfId="0" applyFont="1" applyAlignment="1">
      <alignment vertical="top"/>
    </xf>
    <xf numFmtId="2" fontId="0" fillId="0" borderId="0" xfId="3" applyNumberFormat="1" applyFont="1" applyAlignment="1"/>
    <xf numFmtId="44" fontId="7" fillId="0" borderId="0" xfId="3" applyNumberFormat="1" applyFont="1" applyAlignment="1">
      <alignment horizontal="center" vertical="center"/>
    </xf>
    <xf numFmtId="44" fontId="7" fillId="0" borderId="0" xfId="3" applyNumberFormat="1" applyFont="1" applyAlignment="1">
      <alignment horizontal="center" vertical="top"/>
    </xf>
    <xf numFmtId="0" fontId="17" fillId="12" borderId="0" xfId="0" applyFont="1" applyFill="1" applyAlignment="1">
      <alignment vertical="center"/>
    </xf>
    <xf numFmtId="0" fontId="17" fillId="12" borderId="4" xfId="0" applyFont="1" applyFill="1" applyBorder="1" applyAlignment="1">
      <alignment vertical="center"/>
    </xf>
    <xf numFmtId="0" fontId="17" fillId="9" borderId="0" xfId="0" applyFont="1" applyFill="1" applyAlignment="1">
      <alignment vertical="center" wrapText="1"/>
    </xf>
    <xf numFmtId="0" fontId="17" fillId="9" borderId="4" xfId="0" applyFont="1" applyFill="1" applyBorder="1" applyAlignment="1">
      <alignment vertical="center" wrapText="1"/>
    </xf>
    <xf numFmtId="0" fontId="17" fillId="13" borderId="16" xfId="0" applyFont="1" applyFill="1" applyBorder="1" applyAlignment="1">
      <alignment vertical="center"/>
    </xf>
    <xf numFmtId="0" fontId="17" fillId="13" borderId="0" xfId="0" applyFont="1" applyFill="1" applyAlignment="1">
      <alignment vertical="center"/>
    </xf>
    <xf numFmtId="0" fontId="17" fillId="10" borderId="31" xfId="0" applyFont="1" applyFill="1" applyBorder="1" applyAlignment="1">
      <alignment vertical="center" wrapText="1"/>
    </xf>
    <xf numFmtId="49" fontId="17" fillId="6" borderId="24" xfId="0" applyNumberFormat="1" applyFont="1" applyFill="1" applyBorder="1" applyAlignment="1">
      <alignment vertical="center"/>
    </xf>
    <xf numFmtId="0" fontId="17" fillId="10" borderId="28" xfId="0" applyFont="1" applyFill="1" applyBorder="1" applyAlignment="1">
      <alignment vertical="center"/>
    </xf>
    <xf numFmtId="0" fontId="9" fillId="2" borderId="5"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30" fillId="8" borderId="0" xfId="0" applyFont="1" applyFill="1" applyAlignment="1">
      <alignment horizontal="center" vertical="center" wrapText="1"/>
    </xf>
    <xf numFmtId="0" fontId="29" fillId="8" borderId="0" xfId="0" applyFont="1" applyFill="1" applyAlignment="1">
      <alignment horizontal="center" vertical="center" wrapText="1"/>
    </xf>
    <xf numFmtId="43" fontId="30" fillId="8" borderId="0" xfId="0" applyNumberFormat="1" applyFont="1" applyFill="1" applyAlignment="1">
      <alignment horizontal="center" vertical="center" wrapText="1"/>
    </xf>
    <xf numFmtId="43" fontId="14" fillId="5" borderId="13" xfId="3" applyFont="1" applyFill="1" applyBorder="1" applyAlignment="1">
      <alignment horizontal="center" vertical="center" wrapText="1"/>
    </xf>
    <xf numFmtId="1" fontId="0" fillId="0" borderId="0" xfId="0" applyNumberFormat="1"/>
    <xf numFmtId="1" fontId="13" fillId="13" borderId="27" xfId="3" applyNumberFormat="1" applyFont="1" applyFill="1" applyBorder="1" applyAlignment="1">
      <alignment horizontal="left" vertical="top"/>
    </xf>
    <xf numFmtId="0" fontId="13" fillId="10" borderId="27" xfId="0" applyFont="1" applyFill="1" applyBorder="1" applyAlignment="1">
      <alignment horizontal="left" vertical="top"/>
    </xf>
    <xf numFmtId="1" fontId="28" fillId="13" borderId="5" xfId="3" applyNumberFormat="1" applyFont="1" applyFill="1" applyBorder="1" applyAlignment="1">
      <alignment horizontal="left" vertical="top"/>
    </xf>
    <xf numFmtId="44" fontId="28" fillId="13" borderId="5" xfId="3" applyNumberFormat="1" applyFont="1" applyFill="1" applyBorder="1" applyAlignment="1">
      <alignment horizontal="left" vertical="top"/>
    </xf>
    <xf numFmtId="49" fontId="28" fillId="10" borderId="5" xfId="0" applyNumberFormat="1" applyFont="1" applyFill="1" applyBorder="1" applyAlignment="1">
      <alignment horizontal="left" vertical="top"/>
    </xf>
    <xf numFmtId="49" fontId="28" fillId="10" borderId="5" xfId="3" applyNumberFormat="1" applyFont="1" applyFill="1" applyBorder="1" applyAlignment="1">
      <alignment horizontal="left" vertical="top"/>
    </xf>
    <xf numFmtId="14" fontId="13" fillId="12" borderId="26" xfId="0" applyNumberFormat="1" applyFont="1" applyFill="1" applyBorder="1" applyAlignment="1">
      <alignment horizontal="left" vertical="top"/>
    </xf>
    <xf numFmtId="165" fontId="13" fillId="6" borderId="26" xfId="0" applyNumberFormat="1" applyFont="1" applyFill="1" applyBorder="1" applyAlignment="1">
      <alignment horizontal="left" vertical="top"/>
    </xf>
    <xf numFmtId="49" fontId="13" fillId="6" borderId="27" xfId="0" applyNumberFormat="1" applyFont="1" applyFill="1" applyBorder="1" applyAlignment="1">
      <alignment horizontal="left" vertical="top"/>
    </xf>
    <xf numFmtId="165" fontId="0" fillId="0" borderId="0" xfId="0" applyNumberFormat="1" applyAlignment="1">
      <alignment horizontal="left"/>
    </xf>
    <xf numFmtId="0" fontId="0" fillId="0" borderId="0" xfId="0" pivotButton="1" applyAlignment="1">
      <alignment horizontal="center"/>
    </xf>
    <xf numFmtId="49" fontId="31" fillId="12" borderId="26" xfId="0" applyNumberFormat="1" applyFont="1" applyFill="1" applyBorder="1" applyAlignment="1">
      <alignment horizontal="left" vertical="top"/>
    </xf>
    <xf numFmtId="49" fontId="31" fillId="9" borderId="27" xfId="0" applyNumberFormat="1" applyFont="1" applyFill="1" applyBorder="1" applyAlignment="1">
      <alignment horizontal="left" vertical="top"/>
    </xf>
    <xf numFmtId="49" fontId="31" fillId="6" borderId="26" xfId="1" applyNumberFormat="1" applyFont="1" applyFill="1" applyBorder="1" applyAlignment="1">
      <alignment horizontal="left" vertical="top"/>
    </xf>
    <xf numFmtId="49" fontId="31" fillId="6" borderId="26" xfId="0" applyNumberFormat="1" applyFont="1" applyFill="1" applyBorder="1" applyAlignment="1">
      <alignment horizontal="left" vertical="top"/>
    </xf>
    <xf numFmtId="0" fontId="31" fillId="6" borderId="26" xfId="0" applyFont="1" applyFill="1" applyBorder="1" applyAlignment="1">
      <alignment horizontal="left" vertical="top"/>
    </xf>
    <xf numFmtId="14" fontId="31" fillId="6" borderId="26" xfId="0" applyNumberFormat="1" applyFont="1" applyFill="1" applyBorder="1" applyAlignment="1">
      <alignment horizontal="left" vertical="top"/>
    </xf>
    <xf numFmtId="14" fontId="31" fillId="6" borderId="25" xfId="0" applyNumberFormat="1" applyFont="1" applyFill="1" applyBorder="1" applyAlignment="1">
      <alignment horizontal="left" vertical="top"/>
    </xf>
    <xf numFmtId="43" fontId="31" fillId="6" borderId="26" xfId="3" applyFont="1" applyFill="1" applyBorder="1" applyAlignment="1">
      <alignment horizontal="left" vertical="top"/>
    </xf>
    <xf numFmtId="49" fontId="31" fillId="10" borderId="27" xfId="0" applyNumberFormat="1" applyFont="1" applyFill="1" applyBorder="1" applyAlignment="1">
      <alignment horizontal="left" vertical="top"/>
    </xf>
    <xf numFmtId="0" fontId="10" fillId="0" borderId="0" xfId="0" applyFont="1" applyAlignment="1">
      <alignment horizontal="center" wrapText="1"/>
    </xf>
    <xf numFmtId="0" fontId="12" fillId="0" borderId="0" xfId="0" applyFont="1" applyAlignment="1">
      <alignment horizontal="center" vertical="center" wrapText="1"/>
    </xf>
    <xf numFmtId="49" fontId="13" fillId="6" borderId="26" xfId="1" applyNumberFormat="1" applyFont="1" applyFill="1" applyBorder="1" applyAlignment="1">
      <alignment horizontal="center" vertical="top"/>
    </xf>
    <xf numFmtId="14" fontId="13" fillId="6" borderId="25" xfId="0" applyNumberFormat="1" applyFont="1" applyFill="1" applyBorder="1" applyAlignment="1">
      <alignment horizontal="left" vertical="top"/>
    </xf>
    <xf numFmtId="49" fontId="32" fillId="6" borderId="26" xfId="1" applyNumberFormat="1" applyFont="1" applyFill="1" applyBorder="1" applyAlignment="1">
      <alignment horizontal="left" vertical="top"/>
    </xf>
    <xf numFmtId="0" fontId="13" fillId="9" borderId="27" xfId="0" applyFont="1" applyFill="1" applyBorder="1" applyAlignment="1">
      <alignment horizontal="left" vertical="top"/>
    </xf>
    <xf numFmtId="0" fontId="34" fillId="0" borderId="0" xfId="5" applyAlignment="1">
      <alignment horizontal="center"/>
    </xf>
    <xf numFmtId="49" fontId="13" fillId="6" borderId="4" xfId="1" applyNumberFormat="1" applyFont="1" applyFill="1" applyBorder="1" applyAlignment="1">
      <alignment horizontal="left" vertical="top"/>
    </xf>
    <xf numFmtId="0" fontId="17" fillId="12" borderId="0" xfId="0" applyFont="1" applyFill="1" applyAlignment="1">
      <alignment horizontal="center" vertical="center"/>
    </xf>
    <xf numFmtId="49" fontId="13" fillId="10" borderId="5" xfId="0" applyNumberFormat="1" applyFont="1" applyFill="1" applyBorder="1" applyAlignment="1">
      <alignment horizontal="left" vertical="top"/>
    </xf>
    <xf numFmtId="49" fontId="13" fillId="10" borderId="27" xfId="0" applyNumberFormat="1" applyFont="1" applyFill="1" applyBorder="1" applyAlignment="1">
      <alignment horizontal="center" vertical="top"/>
    </xf>
    <xf numFmtId="49" fontId="13" fillId="10" borderId="5" xfId="0" applyNumberFormat="1" applyFont="1" applyFill="1" applyBorder="1" applyAlignment="1">
      <alignment horizontal="center" vertical="top" wrapText="1"/>
    </xf>
    <xf numFmtId="0" fontId="23" fillId="0" borderId="0" xfId="0" applyFont="1" applyAlignment="1">
      <alignment horizontal="center" vertical="center"/>
    </xf>
    <xf numFmtId="49" fontId="13" fillId="12" borderId="4" xfId="0" applyNumberFormat="1" applyFont="1" applyFill="1" applyBorder="1" applyAlignment="1">
      <alignment horizontal="left" vertical="top"/>
    </xf>
    <xf numFmtId="49" fontId="13" fillId="9" borderId="5" xfId="0" applyNumberFormat="1" applyFont="1" applyFill="1" applyBorder="1" applyAlignment="1">
      <alignment horizontal="left" vertical="top"/>
    </xf>
    <xf numFmtId="0" fontId="13" fillId="6" borderId="4" xfId="0" applyFont="1" applyFill="1" applyBorder="1" applyAlignment="1">
      <alignment horizontal="left" vertical="top"/>
    </xf>
    <xf numFmtId="49" fontId="13" fillId="6" borderId="5" xfId="0" applyNumberFormat="1" applyFont="1" applyFill="1" applyBorder="1" applyAlignment="1">
      <alignment horizontal="left" vertical="top"/>
    </xf>
    <xf numFmtId="49" fontId="13" fillId="6" borderId="4" xfId="0" applyNumberFormat="1" applyFont="1" applyFill="1" applyBorder="1" applyAlignment="1">
      <alignment horizontal="left" vertical="top"/>
    </xf>
    <xf numFmtId="1" fontId="13" fillId="13" borderId="5" xfId="3" applyNumberFormat="1" applyFont="1" applyFill="1" applyBorder="1" applyAlignment="1">
      <alignment horizontal="left" vertical="top"/>
    </xf>
    <xf numFmtId="44" fontId="13" fillId="13" borderId="5" xfId="3" applyNumberFormat="1" applyFont="1" applyFill="1" applyBorder="1" applyAlignment="1">
      <alignment horizontal="left" vertical="top"/>
    </xf>
    <xf numFmtId="49" fontId="13" fillId="10" borderId="5" xfId="3" applyNumberFormat="1" applyFont="1" applyFill="1" applyBorder="1" applyAlignment="1">
      <alignment horizontal="left" vertical="top"/>
    </xf>
    <xf numFmtId="14" fontId="13" fillId="6" borderId="5" xfId="0" applyNumberFormat="1" applyFont="1" applyFill="1" applyBorder="1" applyAlignment="1">
      <alignment horizontal="left" vertical="top"/>
    </xf>
    <xf numFmtId="49" fontId="13" fillId="6" borderId="4" xfId="3" applyNumberFormat="1" applyFont="1" applyFill="1" applyBorder="1" applyAlignment="1">
      <alignment horizontal="left" vertical="top"/>
    </xf>
    <xf numFmtId="0" fontId="13" fillId="10" borderId="5" xfId="0" applyFont="1" applyFill="1" applyBorder="1" applyAlignment="1">
      <alignment horizontal="left" vertical="top"/>
    </xf>
    <xf numFmtId="49" fontId="13" fillId="10" borderId="5" xfId="0" applyNumberFormat="1" applyFont="1" applyFill="1" applyBorder="1" applyAlignment="1">
      <alignment horizontal="center" vertical="top"/>
    </xf>
    <xf numFmtId="0" fontId="13" fillId="6" borderId="26" xfId="0" applyFont="1" applyFill="1" applyBorder="1" applyAlignment="1">
      <alignment horizontal="center" vertical="center"/>
    </xf>
    <xf numFmtId="49" fontId="13" fillId="6" borderId="26" xfId="0" applyNumberFormat="1" applyFont="1" applyFill="1" applyBorder="1" applyAlignment="1">
      <alignment horizontal="center" vertical="center"/>
    </xf>
    <xf numFmtId="14" fontId="13" fillId="6" borderId="27" xfId="0" applyNumberFormat="1" applyFont="1" applyFill="1" applyBorder="1" applyAlignment="1">
      <alignment horizontal="left" vertical="top"/>
    </xf>
    <xf numFmtId="49" fontId="13" fillId="6" borderId="26" xfId="3" applyNumberFormat="1" applyFont="1" applyFill="1" applyBorder="1" applyAlignment="1">
      <alignment horizontal="left" vertical="top"/>
    </xf>
    <xf numFmtId="14" fontId="13" fillId="12" borderId="4" xfId="0" applyNumberFormat="1" applyFont="1" applyFill="1" applyBorder="1" applyAlignment="1">
      <alignment horizontal="left" vertical="top"/>
    </xf>
    <xf numFmtId="14" fontId="13" fillId="6" borderId="0" xfId="0" applyNumberFormat="1" applyFont="1" applyFill="1" applyAlignment="1">
      <alignment horizontal="left" vertical="top"/>
    </xf>
    <xf numFmtId="49" fontId="22" fillId="10" borderId="27" xfId="0" applyNumberFormat="1" applyFont="1" applyFill="1" applyBorder="1" applyAlignment="1">
      <alignment horizontal="center" vertical="top"/>
    </xf>
    <xf numFmtId="0" fontId="17" fillId="6" borderId="25" xfId="0" applyFont="1" applyFill="1" applyBorder="1" applyAlignment="1">
      <alignment horizontal="center" vertical="center" wrapText="1"/>
    </xf>
    <xf numFmtId="0" fontId="13" fillId="6" borderId="26" xfId="0" applyFont="1" applyFill="1" applyBorder="1" applyAlignment="1">
      <alignment horizontal="center" vertical="top"/>
    </xf>
    <xf numFmtId="49" fontId="13" fillId="10" borderId="27" xfId="3" applyNumberFormat="1" applyFont="1" applyFill="1" applyBorder="1" applyAlignment="1">
      <alignment horizontal="left" vertical="top"/>
    </xf>
    <xf numFmtId="49" fontId="13" fillId="9" borderId="27" xfId="0" applyNumberFormat="1" applyFont="1" applyFill="1" applyBorder="1" applyAlignment="1">
      <alignment horizontal="left" vertical="top" wrapText="1"/>
    </xf>
    <xf numFmtId="0" fontId="14" fillId="0" borderId="0" xfId="0" applyFont="1" applyAlignment="1">
      <alignment horizontal="center"/>
    </xf>
    <xf numFmtId="164" fontId="13" fillId="0" borderId="23" xfId="3" applyNumberFormat="1" applyFont="1" applyBorder="1" applyAlignment="1">
      <alignment horizontal="center" vertical="center"/>
    </xf>
    <xf numFmtId="164" fontId="15" fillId="0" borderId="22" xfId="3" applyNumberFormat="1" applyFont="1" applyBorder="1" applyAlignment="1">
      <alignment horizontal="center" vertical="center" wrapText="1"/>
    </xf>
    <xf numFmtId="9" fontId="14" fillId="0" borderId="0" xfId="2" applyFont="1" applyAlignment="1">
      <alignment horizontal="center"/>
    </xf>
    <xf numFmtId="164" fontId="14" fillId="0" borderId="0" xfId="3" applyNumberFormat="1" applyFont="1" applyAlignment="1">
      <alignment horizontal="center"/>
    </xf>
    <xf numFmtId="14" fontId="12" fillId="0" borderId="22" xfId="0" applyNumberFormat="1" applyFont="1" applyBorder="1" applyAlignment="1">
      <alignment horizontal="center" vertical="center" wrapText="1"/>
    </xf>
    <xf numFmtId="0" fontId="14" fillId="0" borderId="0" xfId="3" applyNumberFormat="1" applyFont="1"/>
    <xf numFmtId="0" fontId="12" fillId="0" borderId="29" xfId="0" applyFont="1" applyBorder="1" applyAlignment="1">
      <alignment horizontal="left" vertical="center" wrapText="1"/>
    </xf>
    <xf numFmtId="0" fontId="13" fillId="6" borderId="4" xfId="0" applyFont="1" applyFill="1" applyBorder="1" applyAlignment="1">
      <alignment horizontal="center" vertical="top"/>
    </xf>
    <xf numFmtId="43" fontId="13" fillId="0" borderId="34" xfId="3" applyFont="1" applyBorder="1" applyAlignment="1">
      <alignment horizontal="center" vertical="center" wrapText="1"/>
    </xf>
    <xf numFmtId="14" fontId="13" fillId="0" borderId="34" xfId="2" applyNumberFormat="1" applyFont="1" applyBorder="1" applyAlignment="1">
      <alignment horizontal="center" vertical="center"/>
    </xf>
    <xf numFmtId="14" fontId="13" fillId="0" borderId="34" xfId="0" applyNumberFormat="1" applyFont="1" applyBorder="1" applyAlignment="1">
      <alignment horizontal="center" vertical="center"/>
    </xf>
    <xf numFmtId="43" fontId="13" fillId="0" borderId="34" xfId="3" applyFont="1" applyBorder="1" applyAlignment="1">
      <alignment horizontal="center" vertical="center"/>
    </xf>
    <xf numFmtId="0" fontId="0" fillId="0" borderId="22" xfId="0" applyBorder="1"/>
    <xf numFmtId="164" fontId="19" fillId="0" borderId="22" xfId="0" applyNumberFormat="1" applyFont="1" applyBorder="1" applyAlignment="1">
      <alignment horizontal="center"/>
    </xf>
    <xf numFmtId="43" fontId="0" fillId="0" borderId="0" xfId="3" applyFont="1" applyAlignment="1">
      <alignment horizontal="right"/>
    </xf>
    <xf numFmtId="43" fontId="5" fillId="0" borderId="0" xfId="3" applyFont="1" applyAlignment="1">
      <alignment horizontal="right"/>
    </xf>
    <xf numFmtId="0" fontId="17" fillId="10" borderId="16" xfId="0" applyFont="1" applyFill="1" applyBorder="1" applyAlignment="1">
      <alignment vertical="center"/>
    </xf>
    <xf numFmtId="0" fontId="17" fillId="10" borderId="0" xfId="0" applyFont="1" applyFill="1" applyAlignment="1">
      <alignment vertical="center"/>
    </xf>
    <xf numFmtId="14" fontId="22" fillId="6" borderId="26" xfId="0" applyNumberFormat="1" applyFont="1" applyFill="1" applyBorder="1" applyAlignment="1">
      <alignment horizontal="left" vertical="top"/>
    </xf>
    <xf numFmtId="0" fontId="19" fillId="0" borderId="0" xfId="0" applyFont="1" applyAlignment="1">
      <alignment horizontal="left"/>
    </xf>
    <xf numFmtId="0" fontId="27" fillId="0" borderId="0" xfId="0" applyFont="1" applyAlignment="1">
      <alignment horizontal="left"/>
    </xf>
    <xf numFmtId="0" fontId="35" fillId="16" borderId="35" xfId="0" applyFont="1" applyFill="1" applyBorder="1" applyAlignment="1">
      <alignment horizontal="center" vertical="center" wrapText="1"/>
    </xf>
    <xf numFmtId="49" fontId="20" fillId="6" borderId="25" xfId="0" applyNumberFormat="1" applyFont="1" applyFill="1" applyBorder="1" applyAlignment="1">
      <alignment vertical="center"/>
    </xf>
    <xf numFmtId="49" fontId="13" fillId="9" borderId="26" xfId="0" applyNumberFormat="1" applyFont="1" applyFill="1" applyBorder="1" applyAlignment="1">
      <alignment horizontal="left" vertical="top"/>
    </xf>
    <xf numFmtId="49" fontId="13" fillId="9" borderId="26" xfId="1" applyNumberFormat="1" applyFont="1" applyFill="1" applyBorder="1" applyAlignment="1">
      <alignment horizontal="left" vertical="top"/>
    </xf>
    <xf numFmtId="49" fontId="31" fillId="9" borderId="26" xfId="1" applyNumberFormat="1" applyFont="1" applyFill="1" applyBorder="1" applyAlignment="1">
      <alignment horizontal="left" vertical="top"/>
    </xf>
    <xf numFmtId="49" fontId="32" fillId="9" borderId="26" xfId="1" applyNumberFormat="1" applyFont="1" applyFill="1" applyBorder="1" applyAlignment="1">
      <alignment horizontal="left" vertical="top"/>
    </xf>
    <xf numFmtId="49" fontId="34" fillId="9" borderId="17" xfId="5" applyNumberFormat="1" applyFill="1" applyBorder="1" applyAlignment="1">
      <alignment horizontal="left" vertical="top"/>
    </xf>
    <xf numFmtId="49" fontId="34" fillId="9" borderId="26" xfId="5" applyNumberFormat="1" applyFill="1" applyBorder="1" applyAlignment="1">
      <alignment horizontal="left" vertical="top"/>
    </xf>
    <xf numFmtId="0" fontId="0" fillId="0" borderId="0" xfId="0" pivotButton="1" applyAlignment="1">
      <alignment wrapText="1"/>
    </xf>
    <xf numFmtId="0" fontId="0" fillId="0" borderId="37" xfId="0" applyBorder="1"/>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0" fillId="0" borderId="44" xfId="0" applyBorder="1"/>
    <xf numFmtId="0" fontId="0" fillId="0" borderId="45" xfId="0" applyBorder="1"/>
    <xf numFmtId="49" fontId="22" fillId="10" borderId="27" xfId="3" applyNumberFormat="1" applyFont="1" applyFill="1" applyBorder="1" applyAlignment="1">
      <alignment horizontal="left" vertical="top"/>
    </xf>
    <xf numFmtId="0" fontId="22" fillId="10" borderId="27" xfId="0" applyFont="1" applyFill="1" applyBorder="1" applyAlignment="1">
      <alignment horizontal="left" vertical="top"/>
    </xf>
    <xf numFmtId="49" fontId="22" fillId="10" borderId="5" xfId="0" applyNumberFormat="1" applyFont="1" applyFill="1" applyBorder="1" applyAlignment="1">
      <alignment horizontal="center" vertical="top"/>
    </xf>
    <xf numFmtId="49" fontId="22" fillId="10" borderId="5" xfId="0" applyNumberFormat="1" applyFont="1" applyFill="1" applyBorder="1" applyAlignment="1">
      <alignment horizontal="left" vertical="top"/>
    </xf>
    <xf numFmtId="0" fontId="36" fillId="0" borderId="0" xfId="0" applyFont="1"/>
    <xf numFmtId="49" fontId="13" fillId="6" borderId="5" xfId="1" applyNumberFormat="1" applyFont="1" applyFill="1" applyBorder="1" applyAlignment="1">
      <alignment horizontal="left" vertical="top"/>
    </xf>
    <xf numFmtId="49" fontId="13" fillId="6" borderId="0" xfId="1" applyNumberFormat="1" applyFont="1" applyFill="1" applyAlignment="1">
      <alignment horizontal="left" vertical="top"/>
    </xf>
    <xf numFmtId="0" fontId="37" fillId="0" borderId="0" xfId="5" applyFont="1"/>
    <xf numFmtId="14" fontId="13" fillId="6" borderId="16" xfId="0" applyNumberFormat="1" applyFont="1" applyFill="1" applyBorder="1" applyAlignment="1">
      <alignment horizontal="left" vertical="top"/>
    </xf>
    <xf numFmtId="49" fontId="13" fillId="12" borderId="5" xfId="0" applyNumberFormat="1" applyFont="1" applyFill="1" applyBorder="1" applyAlignment="1">
      <alignment horizontal="left" vertical="top"/>
    </xf>
    <xf numFmtId="49" fontId="13" fillId="9" borderId="36" xfId="0" applyNumberFormat="1" applyFont="1" applyFill="1" applyBorder="1" applyAlignment="1">
      <alignment horizontal="center" vertical="center"/>
    </xf>
    <xf numFmtId="49" fontId="13" fillId="9" borderId="17" xfId="0" applyNumberFormat="1" applyFont="1" applyFill="1" applyBorder="1" applyAlignment="1">
      <alignment horizontal="center" vertical="center"/>
    </xf>
    <xf numFmtId="49" fontId="22" fillId="6" borderId="26" xfId="1" applyNumberFormat="1" applyFont="1" applyFill="1" applyBorder="1" applyAlignment="1">
      <alignment horizontal="left" vertical="top"/>
    </xf>
    <xf numFmtId="0" fontId="0" fillId="0" borderId="0" xfId="0" pivotButton="1" applyAlignment="1">
      <alignment vertical="center" wrapText="1"/>
    </xf>
    <xf numFmtId="43" fontId="23" fillId="0" borderId="0" xfId="0" applyNumberFormat="1" applyFont="1" applyAlignment="1">
      <alignment horizontal="center"/>
    </xf>
    <xf numFmtId="0" fontId="9" fillId="15" borderId="46" xfId="0" applyFont="1" applyFill="1" applyBorder="1" applyAlignment="1">
      <alignment horizontal="center" vertical="center" wrapText="1"/>
    </xf>
    <xf numFmtId="0" fontId="34" fillId="0" borderId="0" xfId="5"/>
    <xf numFmtId="14" fontId="22" fillId="12" borderId="26" xfId="0" applyNumberFormat="1" applyFont="1" applyFill="1" applyBorder="1" applyAlignment="1">
      <alignment horizontal="left" vertical="top"/>
    </xf>
    <xf numFmtId="49" fontId="22" fillId="12" borderId="27" xfId="0" applyNumberFormat="1" applyFont="1" applyFill="1" applyBorder="1" applyAlignment="1">
      <alignment horizontal="left" vertical="top"/>
    </xf>
    <xf numFmtId="49" fontId="22" fillId="12" borderId="26" xfId="0" applyNumberFormat="1" applyFont="1" applyFill="1" applyBorder="1" applyAlignment="1">
      <alignment horizontal="left" vertical="top"/>
    </xf>
    <xf numFmtId="49" fontId="22" fillId="9" borderId="27" xfId="0" applyNumberFormat="1" applyFont="1" applyFill="1" applyBorder="1" applyAlignment="1">
      <alignment horizontal="left" vertical="top"/>
    </xf>
    <xf numFmtId="49" fontId="22" fillId="6" borderId="25" xfId="1" applyNumberFormat="1" applyFont="1" applyFill="1" applyBorder="1" applyAlignment="1">
      <alignment horizontal="left" vertical="top"/>
    </xf>
    <xf numFmtId="49" fontId="22" fillId="9" borderId="17" xfId="1" applyNumberFormat="1" applyFont="1" applyFill="1" applyBorder="1" applyAlignment="1">
      <alignment horizontal="left" vertical="top"/>
    </xf>
    <xf numFmtId="49" fontId="22" fillId="6" borderId="27" xfId="1" applyNumberFormat="1" applyFont="1" applyFill="1" applyBorder="1" applyAlignment="1">
      <alignment horizontal="left" vertical="top"/>
    </xf>
    <xf numFmtId="0" fontId="22" fillId="6" borderId="26" xfId="0" applyFont="1" applyFill="1" applyBorder="1" applyAlignment="1">
      <alignment horizontal="center" vertical="top"/>
    </xf>
    <xf numFmtId="165" fontId="22" fillId="6" borderId="26" xfId="0" applyNumberFormat="1" applyFont="1" applyFill="1" applyBorder="1" applyAlignment="1">
      <alignment horizontal="left" vertical="top"/>
    </xf>
    <xf numFmtId="14" fontId="22" fillId="6" borderId="27" xfId="0" applyNumberFormat="1" applyFont="1" applyFill="1" applyBorder="1" applyAlignment="1">
      <alignment horizontal="left" vertical="top"/>
    </xf>
    <xf numFmtId="14" fontId="22" fillId="6" borderId="24" xfId="0" applyNumberFormat="1" applyFont="1" applyFill="1" applyBorder="1" applyAlignment="1">
      <alignment horizontal="left" vertical="top"/>
    </xf>
    <xf numFmtId="49" fontId="22" fillId="6" borderId="27" xfId="0" applyNumberFormat="1" applyFont="1" applyFill="1" applyBorder="1" applyAlignment="1">
      <alignment horizontal="left" vertical="top"/>
    </xf>
    <xf numFmtId="49" fontId="22" fillId="6" borderId="26" xfId="3" applyNumberFormat="1" applyFont="1" applyFill="1" applyBorder="1" applyAlignment="1">
      <alignment horizontal="left" vertical="top"/>
    </xf>
    <xf numFmtId="1" fontId="22" fillId="13" borderId="27" xfId="3" applyNumberFormat="1" applyFont="1" applyFill="1" applyBorder="1" applyAlignment="1">
      <alignment horizontal="left" vertical="top"/>
    </xf>
    <xf numFmtId="44" fontId="22" fillId="13" borderId="27" xfId="3" applyNumberFormat="1" applyFont="1" applyFill="1" applyBorder="1" applyAlignment="1">
      <alignment horizontal="left" vertical="top"/>
    </xf>
    <xf numFmtId="14" fontId="22" fillId="12" borderId="4" xfId="0" applyNumberFormat="1" applyFont="1" applyFill="1" applyBorder="1" applyAlignment="1">
      <alignment horizontal="left" vertical="top"/>
    </xf>
    <xf numFmtId="49" fontId="22" fillId="12" borderId="5" xfId="0" applyNumberFormat="1" applyFont="1" applyFill="1" applyBorder="1" applyAlignment="1">
      <alignment horizontal="left" vertical="top"/>
    </xf>
    <xf numFmtId="49" fontId="22" fillId="12" borderId="4" xfId="0" applyNumberFormat="1" applyFont="1" applyFill="1" applyBorder="1" applyAlignment="1">
      <alignment horizontal="left" vertical="top"/>
    </xf>
    <xf numFmtId="49" fontId="22" fillId="9" borderId="5" xfId="0" applyNumberFormat="1" applyFont="1" applyFill="1" applyBorder="1" applyAlignment="1">
      <alignment horizontal="left" vertical="top"/>
    </xf>
    <xf numFmtId="49" fontId="22" fillId="6" borderId="4" xfId="1" applyNumberFormat="1" applyFont="1" applyFill="1" applyBorder="1" applyAlignment="1">
      <alignment horizontal="left" vertical="top"/>
    </xf>
    <xf numFmtId="49" fontId="22" fillId="6" borderId="0" xfId="1" applyNumberFormat="1" applyFont="1" applyFill="1" applyAlignment="1">
      <alignment horizontal="left" vertical="top"/>
    </xf>
    <xf numFmtId="49" fontId="22" fillId="6" borderId="5" xfId="1" applyNumberFormat="1" applyFont="1" applyFill="1" applyBorder="1" applyAlignment="1">
      <alignment horizontal="left" vertical="top"/>
    </xf>
    <xf numFmtId="14" fontId="22" fillId="6" borderId="5" xfId="0" applyNumberFormat="1" applyFont="1" applyFill="1" applyBorder="1" applyAlignment="1">
      <alignment horizontal="left" vertical="top"/>
    </xf>
    <xf numFmtId="14" fontId="22" fillId="6" borderId="16" xfId="0" applyNumberFormat="1" applyFont="1" applyFill="1" applyBorder="1" applyAlignment="1">
      <alignment horizontal="left" vertical="top"/>
    </xf>
    <xf numFmtId="0" fontId="22" fillId="6" borderId="4" xfId="0" applyFont="1" applyFill="1" applyBorder="1" applyAlignment="1">
      <alignment horizontal="left" vertical="top"/>
    </xf>
    <xf numFmtId="49" fontId="22" fillId="6" borderId="5" xfId="0" applyNumberFormat="1" applyFont="1" applyFill="1" applyBorder="1" applyAlignment="1">
      <alignment horizontal="left" vertical="top"/>
    </xf>
    <xf numFmtId="49" fontId="22" fillId="6" borderId="4" xfId="0" applyNumberFormat="1" applyFont="1" applyFill="1" applyBorder="1" applyAlignment="1">
      <alignment horizontal="left" vertical="top"/>
    </xf>
    <xf numFmtId="49" fontId="22" fillId="6" borderId="4" xfId="3" applyNumberFormat="1" applyFont="1" applyFill="1" applyBorder="1" applyAlignment="1">
      <alignment horizontal="left" vertical="top"/>
    </xf>
    <xf numFmtId="1" fontId="22" fillId="13" borderId="5" xfId="3" applyNumberFormat="1" applyFont="1" applyFill="1" applyBorder="1" applyAlignment="1">
      <alignment horizontal="left" vertical="top"/>
    </xf>
    <xf numFmtId="44" fontId="22" fillId="13" borderId="5" xfId="3" applyNumberFormat="1" applyFont="1" applyFill="1" applyBorder="1" applyAlignment="1">
      <alignment horizontal="left" vertical="top"/>
    </xf>
    <xf numFmtId="0" fontId="22" fillId="10" borderId="5" xfId="0" applyFont="1" applyFill="1" applyBorder="1" applyAlignment="1">
      <alignment horizontal="left" vertical="top"/>
    </xf>
    <xf numFmtId="49" fontId="13" fillId="6" borderId="25" xfId="1" applyNumberFormat="1" applyFont="1" applyFill="1" applyBorder="1" applyAlignment="1">
      <alignment horizontal="left" vertical="top"/>
    </xf>
    <xf numFmtId="49" fontId="13" fillId="12" borderId="27" xfId="0" applyNumberFormat="1" applyFont="1" applyFill="1" applyBorder="1" applyAlignment="1">
      <alignment horizontal="left" vertical="top"/>
    </xf>
    <xf numFmtId="49" fontId="37" fillId="9" borderId="17" xfId="5" applyNumberFormat="1" applyFont="1" applyFill="1" applyBorder="1" applyAlignment="1">
      <alignment horizontal="left" vertical="top"/>
    </xf>
    <xf numFmtId="49" fontId="13" fillId="6" borderId="27" xfId="1" applyNumberFormat="1" applyFont="1" applyFill="1" applyBorder="1" applyAlignment="1">
      <alignment horizontal="left" vertical="top"/>
    </xf>
    <xf numFmtId="14" fontId="13" fillId="6" borderId="24" xfId="0" applyNumberFormat="1" applyFont="1" applyFill="1" applyBorder="1" applyAlignment="1">
      <alignment horizontal="left" vertical="top"/>
    </xf>
    <xf numFmtId="49" fontId="22" fillId="9" borderId="27" xfId="0" applyNumberFormat="1" applyFont="1" applyFill="1" applyBorder="1" applyAlignment="1">
      <alignment horizontal="center" vertical="top"/>
    </xf>
    <xf numFmtId="43" fontId="14" fillId="0" borderId="0" xfId="0" applyNumberFormat="1" applyFont="1" applyAlignment="1">
      <alignment horizontal="center" vertical="center" wrapText="1"/>
    </xf>
    <xf numFmtId="14" fontId="0" fillId="0" borderId="0" xfId="0" applyNumberFormat="1" applyAlignment="1">
      <alignment horizontal="center" wrapText="1"/>
    </xf>
    <xf numFmtId="4" fontId="23" fillId="0" borderId="0" xfId="0" applyNumberFormat="1" applyFont="1"/>
    <xf numFmtId="0" fontId="9" fillId="17" borderId="4" xfId="0" applyFont="1" applyFill="1" applyBorder="1" applyAlignment="1">
      <alignment horizontal="center" vertical="center" wrapText="1"/>
    </xf>
    <xf numFmtId="0" fontId="10" fillId="0" borderId="0" xfId="0" applyFont="1" applyAlignment="1">
      <alignment horizontal="center" vertical="center"/>
    </xf>
    <xf numFmtId="0" fontId="17" fillId="12" borderId="0" xfId="0" applyFont="1" applyFill="1" applyAlignment="1">
      <alignment horizontal="center" vertical="center"/>
    </xf>
    <xf numFmtId="0" fontId="17" fillId="12" borderId="4" xfId="0" applyFont="1" applyFill="1" applyBorder="1" applyAlignment="1">
      <alignment horizontal="center" vertical="center"/>
    </xf>
    <xf numFmtId="0" fontId="17" fillId="9" borderId="16" xfId="0" applyFont="1" applyFill="1" applyBorder="1" applyAlignment="1">
      <alignment horizontal="center" vertical="center"/>
    </xf>
    <xf numFmtId="0" fontId="17" fillId="9" borderId="0" xfId="0" applyFont="1" applyFill="1" applyAlignment="1">
      <alignment horizontal="center" vertical="center"/>
    </xf>
    <xf numFmtId="0" fontId="0" fillId="14" borderId="0" xfId="0" applyFill="1" applyAlignment="1">
      <alignment horizontal="center"/>
    </xf>
  </cellXfs>
  <cellStyles count="6">
    <cellStyle name="Hiperlink" xfId="5" builtinId="8"/>
    <cellStyle name="Normal" xfId="0" builtinId="0"/>
    <cellStyle name="Normal 2" xfId="1" xr:uid="{00000000-0005-0000-0000-000001000000}"/>
    <cellStyle name="Porcentagem" xfId="2" builtinId="5"/>
    <cellStyle name="Vírgula" xfId="3" builtinId="3"/>
    <cellStyle name="Vírgula 2" xfId="4" xr:uid="{00000000-0005-0000-0000-000004000000}"/>
  </cellStyles>
  <dxfs count="956">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color auto="1"/>
      </font>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font>
        <color auto="1"/>
      </font>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center" readingOrder="0"/>
    </dxf>
    <dxf>
      <alignment vertical="center"/>
    </dxf>
    <dxf>
      <font>
        <b/>
        <color theme="0"/>
      </font>
      <fill>
        <patternFill patternType="solid">
          <fgColor indexed="64"/>
          <bgColor rgb="FF002060"/>
        </patternFill>
      </fill>
      <alignment vertical="center" readingOrder="0"/>
    </dxf>
    <dxf>
      <alignment vertical="center" readingOrder="0"/>
    </dxf>
    <dxf>
      <alignment vertical="bottom" readingOrder="0"/>
    </dxf>
    <dxf>
      <font>
        <b/>
      </font>
      <fill>
        <patternFill patternType="solid">
          <fgColor indexed="64"/>
          <bgColor rgb="FF002060"/>
        </patternFill>
      </fill>
      <alignment vertical="center" readingOrder="0"/>
    </dxf>
    <dxf>
      <font>
        <color theme="0"/>
      </font>
    </dxf>
    <dxf>
      <font>
        <color theme="0"/>
      </font>
    </dxf>
    <dxf>
      <font>
        <color theme="0"/>
      </font>
    </dxf>
    <dxf>
      <font>
        <color theme="0"/>
      </font>
    </dxf>
    <dxf>
      <font>
        <color theme="0"/>
      </font>
    </dxf>
    <dxf>
      <font>
        <color theme="0"/>
      </font>
    </dxf>
    <dxf>
      <alignment vertical="center" readingOrder="0"/>
    </dxf>
    <dxf>
      <alignment vertical="bottom" readingOrder="0"/>
    </dxf>
    <dxf>
      <alignment vertical="center" readingOrder="0"/>
    </dxf>
    <dxf>
      <alignment vertical="bottom" readingOrder="0"/>
    </dxf>
    <dxf>
      <font>
        <color rgb="FF002060"/>
      </font>
    </dxf>
    <dxf>
      <font>
        <b/>
      </font>
    </dxf>
    <dxf>
      <font>
        <b/>
      </font>
    </dxf>
    <dxf>
      <font>
        <b/>
      </font>
    </dxf>
    <dxf>
      <font>
        <b/>
      </font>
    </dxf>
    <dxf>
      <font>
        <b/>
      </font>
    </dxf>
    <dxf>
      <font>
        <b val="0"/>
      </font>
    </dxf>
    <dxf>
      <font>
        <b val="0"/>
      </font>
    </dxf>
    <dxf>
      <font>
        <b val="0"/>
      </font>
    </dxf>
    <dxf>
      <font>
        <b val="0"/>
      </font>
    </dxf>
    <dxf>
      <font>
        <b val="0"/>
      </font>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alignment vertical="center" readingOrder="0"/>
    </dxf>
    <dxf>
      <alignment vertical="bottom" readingOrder="0"/>
    </dxf>
    <dxf>
      <alignment vertical="center" readingOrder="0"/>
    </dxf>
    <dxf>
      <alignment vertical="bottom" readingOrder="0"/>
    </dxf>
    <dxf>
      <alignment vertical="center" readingOrder="0"/>
    </dxf>
    <dxf>
      <alignment vertical="bottom" readingOrder="0"/>
    </dxf>
    <dxf>
      <alignment vertical="center" readingOrder="0"/>
    </dxf>
    <dxf>
      <alignment vertical="bottom" readingOrder="0"/>
    </dxf>
    <dxf>
      <alignment vertical="center" readingOrder="0"/>
    </dxf>
    <dxf>
      <alignment vertical="bottom" readingOrder="0"/>
    </dxf>
    <dxf>
      <font>
        <b/>
      </font>
      <alignment vertical="center" readingOrder="0"/>
    </dxf>
    <dxf>
      <alignment vertical="center" readingOrder="0"/>
    </dxf>
    <dxf>
      <alignment vertical="bottom" readingOrder="0"/>
    </dxf>
    <dxf>
      <font>
        <b/>
      </font>
    </dxf>
    <dxf>
      <font>
        <b/>
      </font>
    </dxf>
    <dxf>
      <font>
        <b/>
      </font>
    </dxf>
    <dxf>
      <font>
        <b/>
      </font>
    </dxf>
    <dxf>
      <font>
        <b/>
      </font>
    </dxf>
    <dxf>
      <font>
        <b/>
      </font>
    </dxf>
    <dxf>
      <font>
        <b val="0"/>
      </font>
    </dxf>
    <dxf>
      <font>
        <b val="0"/>
      </font>
    </dxf>
    <dxf>
      <font>
        <b val="0"/>
      </font>
    </dxf>
    <dxf>
      <font>
        <b val="0"/>
      </font>
    </dxf>
    <dxf>
      <font>
        <b val="0"/>
      </font>
    </dxf>
    <dxf>
      <font>
        <b val="0"/>
      </font>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center" readingOrder="0"/>
    </dxf>
    <dxf>
      <alignment vertical="bottom" readingOrder="0"/>
    </dxf>
    <dxf>
      <alignment vertical="center" readingOrder="0"/>
    </dxf>
    <dxf>
      <font>
        <b/>
      </font>
    </dxf>
    <dxf>
      <font>
        <b/>
      </font>
    </dxf>
    <dxf>
      <font>
        <b/>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general" readingOrder="0"/>
    </dxf>
    <dxf>
      <alignment horizontal="general" readingOrder="0"/>
    </dxf>
    <dxf>
      <numFmt numFmtId="35" formatCode="_-* #,##0.00_-;\-* #,##0.00_-;_-* &quot;-&quot;??_-;_-@_-"/>
    </dxf>
    <dxf>
      <numFmt numFmtId="2" formatCode="0.0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color auto="1"/>
      </font>
    </dxf>
    <dxf>
      <font>
        <color rgb="FF002060"/>
      </font>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center" readingOrder="0"/>
    </dxf>
    <dxf>
      <font>
        <color rgb="FFFF0000"/>
      </font>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center" readingOrder="0"/>
    </dxf>
    <dxf>
      <font>
        <strike val="0"/>
        <outline val="0"/>
        <shadow val="0"/>
        <u val="none"/>
        <vertAlign val="baseline"/>
        <sz val="11"/>
        <color rgb="FF002060"/>
        <name val="Calibri"/>
        <scheme val="minor"/>
      </font>
    </dxf>
    <dxf>
      <font>
        <strike val="0"/>
        <outline val="0"/>
        <shadow val="0"/>
        <u val="none"/>
        <vertAlign val="baseline"/>
        <sz val="11"/>
        <color rgb="FF002060"/>
        <name val="Calibri"/>
        <scheme val="minor"/>
      </font>
    </dxf>
    <dxf>
      <font>
        <strike val="0"/>
        <outline val="0"/>
        <shadow val="0"/>
        <u val="none"/>
        <vertAlign val="baseline"/>
        <sz val="11"/>
        <color rgb="FF002060"/>
        <name val="Calibri"/>
        <scheme val="minor"/>
      </font>
    </dxf>
    <dxf>
      <font>
        <b val="0"/>
        <i val="0"/>
        <strike val="0"/>
        <condense val="0"/>
        <extend val="0"/>
        <outline val="0"/>
        <shadow val="0"/>
        <u val="none"/>
        <vertAlign val="baseline"/>
        <sz val="11"/>
        <color rgb="FF002060"/>
        <name val="Calibri"/>
        <scheme val="minor"/>
      </font>
      <numFmt numFmtId="0" formatCode="General"/>
      <fill>
        <patternFill patternType="solid">
          <fgColor theme="8" tint="0.79998168889431442"/>
          <bgColor theme="8" tint="0.79998168889431442"/>
        </patternFill>
      </fill>
      <alignment horizontal="center" vertical="center" textRotation="0" wrapText="1" indent="0" justifyLastLine="0" shrinkToFit="0" readingOrder="0"/>
      <border diagonalUp="0" diagonalDown="0" outline="0">
        <left style="thin">
          <color theme="8" tint="0.59999389629810485"/>
        </left>
        <right style="medium">
          <color theme="0"/>
        </right>
        <top style="medium">
          <color theme="0"/>
        </top>
        <bottom style="medium">
          <color theme="0"/>
        </bottom>
      </border>
    </dxf>
    <dxf>
      <font>
        <strike val="0"/>
        <outline val="0"/>
        <shadow val="0"/>
        <u val="none"/>
        <vertAlign val="baseline"/>
        <sz val="11"/>
        <color rgb="FF002060"/>
        <name val="Calibri"/>
        <scheme val="minor"/>
      </font>
    </dxf>
    <dxf>
      <font>
        <strike val="0"/>
        <outline val="0"/>
        <shadow val="0"/>
        <u val="none"/>
        <vertAlign val="baseline"/>
        <sz val="11"/>
        <color rgb="FF002060"/>
        <name val="Calibri"/>
        <scheme val="minor"/>
      </font>
    </dxf>
    <dxf>
      <font>
        <strike val="0"/>
        <outline val="0"/>
        <shadow val="0"/>
        <u val="none"/>
        <vertAlign val="baseline"/>
        <sz val="11"/>
        <color rgb="FF002060"/>
        <name val="Calibri"/>
        <scheme val="minor"/>
      </font>
    </dxf>
    <dxf>
      <font>
        <b val="0"/>
        <i val="0"/>
        <strike val="0"/>
        <condense val="0"/>
        <extend val="0"/>
        <outline val="0"/>
        <shadow val="0"/>
        <u val="none"/>
        <vertAlign val="baseline"/>
        <sz val="11"/>
        <color rgb="FF002060"/>
        <name val="Calibri"/>
        <scheme val="minor"/>
      </font>
      <fill>
        <patternFill patternType="solid">
          <fgColor theme="8" tint="0.79998168889431442"/>
          <bgColor theme="8" tint="0.79998168889431442"/>
        </patternFill>
      </fill>
      <alignment horizontal="center" vertical="center" textRotation="0" wrapText="1" indent="0" justifyLastLine="0" shrinkToFit="0" readingOrder="0"/>
      <border diagonalUp="0" diagonalDown="0" outline="0">
        <left style="medium">
          <color theme="0"/>
        </left>
        <right style="medium">
          <color theme="0"/>
        </right>
        <top style="medium">
          <color theme="0"/>
        </top>
        <bottom style="medium">
          <color theme="0"/>
        </bottom>
      </border>
    </dxf>
    <dxf>
      <font>
        <strike val="0"/>
        <outline val="0"/>
        <shadow val="0"/>
        <u val="none"/>
        <vertAlign val="baseline"/>
        <sz val="11"/>
        <color rgb="FF002060"/>
        <name val="Calibri"/>
        <scheme val="minor"/>
      </font>
    </dxf>
    <dxf>
      <font>
        <strike val="0"/>
        <outline val="0"/>
        <shadow val="0"/>
        <u val="none"/>
        <vertAlign val="baseline"/>
        <sz val="11"/>
        <color rgb="FF002060"/>
        <name val="Calibri"/>
        <scheme val="minor"/>
      </font>
    </dxf>
    <dxf>
      <font>
        <strike val="0"/>
        <outline val="0"/>
        <shadow val="0"/>
        <u val="none"/>
        <vertAlign val="baseline"/>
        <sz val="11"/>
        <color rgb="FF002060"/>
        <name val="Calibri"/>
        <scheme val="minor"/>
      </font>
    </dxf>
    <dxf>
      <font>
        <strike val="0"/>
        <outline val="0"/>
        <shadow val="0"/>
        <u val="none"/>
        <vertAlign val="baseline"/>
        <sz val="12"/>
        <color rgb="FFFFFFFF"/>
        <name val="Calibri"/>
        <scheme val="none"/>
      </font>
      <fill>
        <patternFill patternType="solid">
          <fgColor rgb="FFD9E1F2"/>
          <bgColor rgb="FF002060"/>
        </patternFill>
      </fill>
    </dxf>
    <dxf>
      <font>
        <b val="0"/>
        <i val="0"/>
        <strike val="0"/>
        <condense val="0"/>
        <extend val="0"/>
        <outline val="0"/>
        <shadow val="0"/>
        <u val="none"/>
        <vertAlign val="baseline"/>
        <sz val="11"/>
        <color rgb="FF002060"/>
        <name val="Calibri"/>
        <scheme val="minor"/>
      </font>
      <fill>
        <patternFill patternType="solid">
          <fgColor rgb="FFD9E1F2"/>
          <bgColor rgb="FFD9E1F2"/>
        </patternFill>
      </fill>
      <alignment horizontal="center" vertical="center" textRotation="0" wrapText="1" indent="0" justifyLastLine="0" shrinkToFit="0" readingOrder="0"/>
    </dxf>
    <dxf>
      <border>
        <bottom style="medium">
          <color rgb="FFFFFFFF"/>
        </bottom>
      </border>
    </dxf>
    <dxf>
      <font>
        <b/>
        <i val="0"/>
        <strike val="0"/>
        <condense val="0"/>
        <extend val="0"/>
        <outline val="0"/>
        <shadow val="0"/>
        <u val="none"/>
        <vertAlign val="baseline"/>
        <sz val="12"/>
        <color theme="0"/>
        <name val="Calibri"/>
        <scheme val="minor"/>
      </font>
      <fill>
        <patternFill patternType="solid">
          <fgColor theme="1"/>
          <bgColor rgb="FF002060"/>
        </patternFill>
      </fill>
      <alignment horizontal="center" vertical="center" textRotation="0" wrapText="1" indent="0" justifyLastLine="0" shrinkToFit="0" readingOrder="0"/>
    </dxf>
    <dxf>
      <alignment vertical="center" readingOrder="0"/>
    </dxf>
    <dxf>
      <alignment vertical="bottom"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numFmt numFmtId="4" formatCode="#,##0.00"/>
    </dxf>
    <dxf>
      <fill>
        <patternFill patternType="solid">
          <fgColor indexed="64"/>
          <bgColor rgb="FF002060"/>
        </patternFill>
      </fill>
      <alignment horizontal="center" vertical="center" readingOrder="0"/>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alignment wrapText="1" readingOrder="0"/>
    </dxf>
    <dxf>
      <alignment vertical="bottom" readingOrder="0"/>
    </dxf>
    <dxf>
      <alignment vertical="center" readingOrder="0"/>
    </dxf>
    <dxf>
      <alignment vertical="center" readingOrder="0"/>
    </dxf>
    <dxf>
      <alignment vertical="bottom" readingOrder="0"/>
    </dxf>
    <dxf>
      <alignment vertical="bottom"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numFmt numFmtId="19" formatCode="dd/mm/yyyy"/>
    </dxf>
    <dxf>
      <numFmt numFmtId="1" formatCode="0"/>
    </dxf>
    <dxf>
      <numFmt numFmtId="167" formatCode="0.0"/>
    </dxf>
    <dxf>
      <numFmt numFmtId="2" formatCode="0.00"/>
    </dxf>
    <dxf>
      <numFmt numFmtId="168" formatCode="0.000"/>
    </dxf>
    <dxf>
      <numFmt numFmtId="169" formatCode="0.0000"/>
    </dxf>
    <dxf>
      <numFmt numFmtId="170" formatCode="0.00000"/>
    </dxf>
    <dxf>
      <numFmt numFmtId="171" formatCode="0.000000"/>
    </dxf>
    <dxf>
      <numFmt numFmtId="172" formatCode="0.0000000"/>
    </dxf>
    <dxf>
      <alignment vertical="center" readingOrder="0"/>
    </dxf>
    <dxf>
      <alignment vertical="bottom"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horizontal="center" readingOrder="0"/>
    </dxf>
    <dxf>
      <alignment horizontal="general" readingOrder="0"/>
    </dxf>
    <dxf>
      <alignment vertical="center" readingOrder="0"/>
    </dxf>
    <dxf>
      <alignment vertical="bottom"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horizontal="center" readingOrder="0"/>
    </dxf>
    <dxf>
      <alignment horizontal="center" readingOrder="0"/>
    </dxf>
    <dxf>
      <alignment horizontal="general" readingOrder="0"/>
    </dxf>
    <dxf>
      <alignment horizontal="general" readingOrder="0"/>
    </dxf>
    <dxf>
      <numFmt numFmtId="165" formatCode="[$-416]mmmm\-yy;@"/>
    </dxf>
    <dxf>
      <alignment vertical="center" readingOrder="0"/>
    </dxf>
    <dxf>
      <alignment vertical="bottom"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horizontal="center"/>
    </dxf>
    <dxf>
      <alignment horizontal="center"/>
    </dxf>
    <dxf>
      <alignment horizontal="center" readingOrder="0"/>
    </dxf>
    <dxf>
      <alignment horizontal="general" readingOrder="0"/>
    </dxf>
    <dxf>
      <alignment vertical="center" readingOrder="0"/>
    </dxf>
    <dxf>
      <alignment vertical="bottom"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general" readingOrder="0"/>
    </dxf>
    <dxf>
      <alignment vertical="center" readingOrder="0"/>
    </dxf>
    <dxf>
      <alignment vertical="bottom"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vertical="center"/>
    </dxf>
    <dxf>
      <alignment wrapText="1"/>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wrapText="1"/>
    </dxf>
    <dxf>
      <alignment wrapText="1"/>
    </dxf>
    <dxf>
      <alignment wrapText="1"/>
    </dxf>
    <dxf>
      <alignment wrapText="1"/>
    </dxf>
    <dxf>
      <font>
        <color auto="1"/>
      </font>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center" readingOrder="0"/>
    </dxf>
    <dxf>
      <alignment wrapText="1"/>
    </dxf>
    <dxf>
      <alignment wrapText="1"/>
    </dxf>
    <dxf>
      <alignment wrapText="1"/>
    </dxf>
    <dxf>
      <alignment wrapText="1"/>
    </dxf>
    <dxf>
      <alignment wrapText="1"/>
    </dxf>
    <dxf>
      <alignment wrapText="1"/>
    </dxf>
    <dxf>
      <alignment wrapText="1"/>
    </dxf>
    <dxf>
      <font>
        <color auto="1"/>
      </font>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color auto="1"/>
      </font>
    </dxf>
    <dxf>
      <font>
        <color rgb="FF002060"/>
      </font>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center" readingOrder="0"/>
    </dxf>
    <dxf>
      <font>
        <b val="0"/>
        <i val="0"/>
        <strike val="0"/>
        <condense val="0"/>
        <extend val="0"/>
        <outline val="0"/>
        <shadow val="0"/>
        <u val="none"/>
        <vertAlign val="baseline"/>
        <sz val="12"/>
        <color theme="0"/>
        <name val="Calibri"/>
        <family val="2"/>
        <scheme val="minor"/>
      </font>
      <numFmt numFmtId="35" formatCode="_-* #,##0.00_-;\-* #,##0.00_-;_-* &quot;-&quot;??_-;_-@_-"/>
      <fill>
        <patternFill patternType="solid">
          <fgColor theme="8" tint="0.79998168889431442"/>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12"/>
        <color theme="0"/>
        <name val="Calibri"/>
        <family val="2"/>
        <scheme val="minor"/>
      </font>
      <fill>
        <patternFill patternType="solid">
          <fgColor theme="8" tint="0.79998168889431442"/>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12"/>
        <color theme="0"/>
        <name val="Calibri"/>
        <family val="2"/>
        <scheme val="minor"/>
      </font>
      <fill>
        <patternFill patternType="solid">
          <fgColor theme="8" tint="0.79998168889431442"/>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12"/>
        <color theme="0"/>
        <name val="Calibri"/>
        <family val="2"/>
        <scheme val="minor"/>
      </font>
      <fill>
        <patternFill patternType="solid">
          <fgColor theme="8" tint="0.79998168889431442"/>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11"/>
        <color rgb="FFFF0000"/>
        <name val="Calibri"/>
        <scheme val="minor"/>
      </font>
      <fill>
        <patternFill patternType="solid">
          <fgColor theme="8" tint="0.79998168889431442"/>
          <bgColor theme="8" tint="0.79998168889431442"/>
        </patternFill>
      </fill>
      <alignment horizontal="center" vertical="center" textRotation="0" wrapText="1" indent="0" justifyLastLine="0" shrinkToFit="0" readingOrder="0"/>
      <border diagonalUp="0" diagonalDown="0">
        <left style="medium">
          <color theme="0"/>
        </left>
        <right style="medium">
          <color theme="0"/>
        </right>
        <top style="medium">
          <color theme="0"/>
        </top>
        <bottom style="medium">
          <color theme="0"/>
        </bottom>
      </border>
    </dxf>
    <dxf>
      <font>
        <b val="0"/>
        <i val="0"/>
        <strike val="0"/>
        <condense val="0"/>
        <extend val="0"/>
        <outline val="0"/>
        <shadow val="0"/>
        <u val="none"/>
        <vertAlign val="baseline"/>
        <sz val="12"/>
        <color theme="0"/>
        <name val="Calibri"/>
        <family val="2"/>
        <scheme val="minor"/>
      </font>
      <fill>
        <patternFill patternType="solid">
          <fgColor theme="8" tint="0.79998168889431442"/>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2060"/>
        <name val="Calibri"/>
        <scheme val="minor"/>
      </font>
      <fill>
        <patternFill patternType="solid">
          <fgColor theme="8" tint="0.79998168889431442"/>
          <bgColor theme="8" tint="0.79998168889431442"/>
        </patternFill>
      </fill>
      <alignment horizontal="center" vertical="center" textRotation="0" wrapText="1" indent="0" justifyLastLine="0" shrinkToFit="0" readingOrder="0"/>
      <border diagonalUp="0" diagonalDown="0">
        <left style="medium">
          <color theme="0"/>
        </left>
        <right style="medium">
          <color theme="0"/>
        </right>
        <top style="medium">
          <color theme="0"/>
        </top>
        <bottom style="medium">
          <color theme="0"/>
        </bottom>
        <vertical/>
        <horizontal/>
      </border>
    </dxf>
    <dxf>
      <font>
        <b val="0"/>
        <i val="0"/>
        <strike val="0"/>
        <condense val="0"/>
        <extend val="0"/>
        <outline val="0"/>
        <shadow val="0"/>
        <u val="none"/>
        <vertAlign val="baseline"/>
        <sz val="12"/>
        <color theme="0"/>
        <name val="Calibri"/>
        <family val="2"/>
        <scheme val="minor"/>
      </font>
      <fill>
        <patternFill patternType="solid">
          <fgColor theme="8" tint="0.79998168889431442"/>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2060"/>
        <name val="Calibri"/>
        <scheme val="minor"/>
      </font>
      <fill>
        <patternFill patternType="solid">
          <fgColor theme="8" tint="0.79998168889431442"/>
          <bgColor theme="8" tint="0.79998168889431442"/>
        </patternFill>
      </fill>
      <alignment horizontal="center" vertical="center" textRotation="0" wrapText="1" indent="0" justifyLastLine="0" shrinkToFit="0" readingOrder="0"/>
      <border diagonalUp="0" diagonalDown="0">
        <left style="medium">
          <color theme="0"/>
        </left>
        <right style="medium">
          <color theme="0"/>
        </right>
        <top style="medium">
          <color theme="0"/>
        </top>
        <bottom style="medium">
          <color theme="0"/>
        </bottom>
        <vertical/>
        <horizontal/>
      </border>
    </dxf>
    <dxf>
      <font>
        <b val="0"/>
        <i val="0"/>
        <strike val="0"/>
        <condense val="0"/>
        <extend val="0"/>
        <outline val="0"/>
        <shadow val="0"/>
        <u val="none"/>
        <vertAlign val="baseline"/>
        <sz val="12"/>
        <color theme="0"/>
        <name val="Calibri"/>
        <family val="2"/>
        <scheme val="minor"/>
      </font>
      <fill>
        <patternFill patternType="solid">
          <fgColor theme="8" tint="0.79998168889431442"/>
          <bgColor rgb="FF002060"/>
        </patternFill>
      </fill>
      <alignment horizontal="center" vertical="center" textRotation="0" wrapText="1"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8" tint="0.79998168889431442"/>
          <bgColor rgb="FF002060"/>
        </patternFill>
      </fill>
      <alignment horizontal="center" vertical="center" textRotation="0" wrapText="1" indent="0" justifyLastLine="0" shrinkToFit="0" readingOrder="0"/>
    </dxf>
    <dxf>
      <font>
        <b/>
        <i val="0"/>
        <strike val="0"/>
        <condense val="0"/>
        <extend val="0"/>
        <outline val="0"/>
        <shadow val="0"/>
        <u val="none"/>
        <vertAlign val="baseline"/>
        <sz val="11"/>
        <color rgb="FF002060"/>
        <name val="Calibri"/>
        <scheme val="minor"/>
      </font>
      <fill>
        <patternFill patternType="solid">
          <fgColor theme="8" tint="0.79998168889431442"/>
          <bgColor theme="8" tint="0.79998168889431442"/>
        </patternFill>
      </fill>
      <alignment horizontal="center" vertical="center" textRotation="0" wrapText="1" indent="0" justifyLastLine="0" shrinkToFit="0" readingOrder="0"/>
      <border diagonalUp="0" diagonalDown="0">
        <left style="medium">
          <color theme="0"/>
        </left>
        <right style="medium">
          <color theme="0"/>
        </right>
        <top style="medium">
          <color theme="0"/>
        </top>
        <bottom style="medium">
          <color theme="0"/>
        </bottom>
        <vertical/>
        <horizontal/>
      </border>
    </dxf>
    <dxf>
      <font>
        <b val="0"/>
        <i val="0"/>
        <strike val="0"/>
        <condense val="0"/>
        <extend val="0"/>
        <outline val="0"/>
        <shadow val="0"/>
        <u val="none"/>
        <vertAlign val="baseline"/>
        <sz val="12"/>
        <color theme="0"/>
        <name val="Calibri"/>
        <family val="2"/>
        <scheme val="minor"/>
      </font>
      <fill>
        <patternFill patternType="solid">
          <fgColor theme="8" tint="0.79998168889431442"/>
          <bgColor rgb="FF002060"/>
        </patternFill>
      </fill>
      <alignment horizontal="center" vertical="center" textRotation="0" wrapText="1" indent="0" justifyLastLine="0" shrinkToFit="0" readingOrder="0"/>
    </dxf>
    <dxf>
      <font>
        <strike val="0"/>
        <outline val="0"/>
        <shadow val="0"/>
        <u val="none"/>
        <vertAlign val="baseline"/>
        <sz val="12"/>
        <color rgb="FFFFFFFF"/>
        <name val="Calibri"/>
        <scheme val="none"/>
      </font>
      <fill>
        <patternFill patternType="solid">
          <fgColor rgb="FFD9E1F2"/>
          <bgColor rgb="FF002060"/>
        </patternFill>
      </fill>
    </dxf>
    <dxf>
      <font>
        <b val="0"/>
        <i val="0"/>
        <strike val="0"/>
        <condense val="0"/>
        <extend val="0"/>
        <outline val="0"/>
        <shadow val="0"/>
        <u val="none"/>
        <vertAlign val="baseline"/>
        <sz val="11"/>
        <color rgb="FF002060"/>
        <name val="Calibri"/>
        <scheme val="none"/>
      </font>
      <fill>
        <patternFill patternType="solid">
          <fgColor rgb="FFD9E1F2"/>
          <bgColor rgb="FFD9E1F2"/>
        </patternFill>
      </fill>
      <alignment horizontal="center" vertical="center" textRotation="0" wrapText="1" indent="0" justifyLastLine="0" shrinkToFit="0" readingOrder="0"/>
    </dxf>
    <dxf>
      <border>
        <bottom style="medium">
          <color rgb="FFFFFFFF"/>
        </bottom>
      </border>
    </dxf>
    <dxf>
      <font>
        <b/>
        <i val="0"/>
        <strike val="0"/>
        <condense val="0"/>
        <extend val="0"/>
        <outline val="0"/>
        <shadow val="0"/>
        <u val="none"/>
        <vertAlign val="baseline"/>
        <sz val="12"/>
        <color theme="0"/>
        <name val="Calibri"/>
        <scheme val="minor"/>
      </font>
      <fill>
        <patternFill patternType="solid">
          <fgColor theme="1"/>
          <bgColor rgb="FF002060"/>
        </patternFill>
      </fill>
      <alignment horizontal="center" vertical="center" textRotation="0" wrapText="1" indent="0" justifyLastLine="0" shrinkToFit="0" readingOrder="0"/>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numFmt numFmtId="4" formatCode="#,##0.00"/>
    </dxf>
    <dxf>
      <font>
        <color rgb="FFFF0000"/>
      </font>
    </dxf>
    <dxf>
      <font>
        <color rgb="FFFF0000"/>
      </font>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center" readingOrder="0"/>
    </dxf>
    <dxf>
      <alignment horizontal="center" readingOrder="0"/>
    </dxf>
    <dxf>
      <font>
        <b val="0"/>
        <i val="0"/>
        <strike val="0"/>
        <condense val="0"/>
        <extend val="0"/>
        <outline val="0"/>
        <shadow val="0"/>
        <u val="none"/>
        <vertAlign val="baseline"/>
        <sz val="12"/>
        <color theme="0"/>
        <name val="Calibri"/>
        <family val="2"/>
        <scheme val="minor"/>
      </font>
      <numFmt numFmtId="35" formatCode="_-* #,##0.00_-;\-* #,##0.00_-;_-* &quot;-&quot;??_-;_-@_-"/>
      <fill>
        <patternFill patternType="solid">
          <fgColor theme="8" tint="0.79998168889431442"/>
          <bgColor rgb="FF002060"/>
        </patternFill>
      </fill>
      <alignment horizontal="center" vertical="center" textRotation="0" wrapText="1" indent="0" justifyLastLine="0" shrinkToFit="0" readingOrder="0"/>
    </dxf>
    <dxf>
      <font>
        <strike val="0"/>
        <outline val="0"/>
        <shadow val="0"/>
        <u val="none"/>
        <vertAlign val="baseline"/>
        <sz val="11"/>
        <color rgb="FF002060"/>
        <name val="Calibri"/>
        <scheme val="minor"/>
      </font>
      <numFmt numFmtId="34" formatCode="_-&quot;R$&quot;\ * #,##0.00_-;\-&quot;R$&quot;\ * #,##0.00_-;_-&quot;R$&quot;\ * &quot;-&quot;??_-;_-@_-"/>
    </dxf>
    <dxf>
      <font>
        <b val="0"/>
        <i val="0"/>
        <strike val="0"/>
        <condense val="0"/>
        <extend val="0"/>
        <outline val="0"/>
        <shadow val="0"/>
        <u val="none"/>
        <vertAlign val="baseline"/>
        <sz val="12"/>
        <color theme="0"/>
        <name val="Calibri"/>
        <family val="2"/>
        <scheme val="minor"/>
      </font>
      <fill>
        <patternFill patternType="solid">
          <fgColor theme="8" tint="0.79998168889431442"/>
          <bgColor rgb="FF002060"/>
        </patternFill>
      </fill>
      <alignment horizontal="center" vertical="center" textRotation="0" wrapText="1" indent="0" justifyLastLine="0" shrinkToFit="0" readingOrder="0"/>
    </dxf>
    <dxf>
      <font>
        <strike val="0"/>
        <outline val="0"/>
        <shadow val="0"/>
        <u val="none"/>
        <vertAlign val="baseline"/>
        <sz val="11"/>
        <color rgb="FFFF0000"/>
        <name val="Calibri"/>
        <scheme val="minor"/>
      </font>
      <numFmt numFmtId="19" formatCode="dd/mm/yyyy"/>
      <fill>
        <patternFill patternType="solid">
          <fgColor theme="8" tint="0.79998168889431442"/>
          <bgColor theme="8" tint="0.79998168889431442"/>
        </patternFill>
      </fill>
      <alignment horizontal="center" vertical="center" textRotation="0" wrapText="1" indent="0" justifyLastLine="0" shrinkToFit="0" readingOrder="0"/>
      <border diagonalUp="0" diagonalDown="0">
        <left style="thin">
          <color theme="8" tint="0.59999389629810485"/>
        </left>
        <right style="medium">
          <color theme="0"/>
        </right>
        <top style="medium">
          <color theme="0"/>
        </top>
        <bottom style="medium">
          <color theme="0"/>
        </bottom>
        <vertical/>
        <horizontal/>
      </border>
    </dxf>
    <dxf>
      <font>
        <b val="0"/>
        <i val="0"/>
        <strike val="0"/>
        <condense val="0"/>
        <extend val="0"/>
        <outline val="0"/>
        <shadow val="0"/>
        <u val="none"/>
        <vertAlign val="baseline"/>
        <sz val="12"/>
        <color theme="0"/>
        <name val="Calibri"/>
        <family val="2"/>
        <scheme val="minor"/>
      </font>
      <fill>
        <patternFill patternType="solid">
          <fgColor theme="8" tint="0.79998168889431442"/>
          <bgColor rgb="FF002060"/>
        </patternFill>
      </fill>
      <alignment horizontal="center" vertical="center" textRotation="0" wrapText="1" indent="0" justifyLastLine="0" shrinkToFit="0" readingOrder="0"/>
    </dxf>
    <dxf>
      <font>
        <strike val="0"/>
        <outline val="0"/>
        <shadow val="0"/>
        <u val="none"/>
        <vertAlign val="baseline"/>
        <sz val="11"/>
        <color rgb="FFFF0000"/>
        <name val="Calibri"/>
        <scheme val="minor"/>
      </font>
      <numFmt numFmtId="19" formatCode="dd/mm/yyyy"/>
      <fill>
        <patternFill patternType="solid">
          <fgColor theme="8" tint="0.79998168889431442"/>
          <bgColor theme="8" tint="0.79998168889431442"/>
        </patternFill>
      </fill>
      <alignment horizontal="center" vertical="center" textRotation="0" wrapText="1" indent="0" justifyLastLine="0" shrinkToFit="0" readingOrder="0"/>
      <border diagonalUp="0" diagonalDown="0">
        <left style="thin">
          <color theme="8" tint="0.59999389629810485"/>
        </left>
        <right style="medium">
          <color theme="0"/>
        </right>
        <top style="medium">
          <color theme="0"/>
        </top>
        <bottom style="medium">
          <color theme="0"/>
        </bottom>
        <vertical/>
        <horizontal/>
      </border>
    </dxf>
    <dxf>
      <font>
        <b val="0"/>
        <i val="0"/>
        <strike val="0"/>
        <condense val="0"/>
        <extend val="0"/>
        <outline val="0"/>
        <shadow val="0"/>
        <u val="none"/>
        <vertAlign val="baseline"/>
        <sz val="12"/>
        <color theme="0"/>
        <name val="Calibri"/>
        <family val="2"/>
        <scheme val="minor"/>
      </font>
      <fill>
        <patternFill patternType="solid">
          <fgColor theme="8" tint="0.79998168889431442"/>
          <bgColor rgb="FF002060"/>
        </patternFill>
      </fill>
      <alignment horizontal="center" vertical="center" textRotation="0" wrapText="1" indent="0" justifyLastLine="0" shrinkToFit="0" readingOrder="0"/>
    </dxf>
    <dxf>
      <font>
        <strike val="0"/>
        <outline val="0"/>
        <shadow val="0"/>
        <u val="none"/>
        <vertAlign val="baseline"/>
        <sz val="11"/>
        <color rgb="FF002060"/>
        <name val="Calibri"/>
        <scheme val="minor"/>
      </font>
      <border outline="0">
        <right style="thin">
          <color theme="8" tint="0.59999389629810485"/>
        </right>
      </border>
    </dxf>
    <dxf>
      <font>
        <b val="0"/>
        <i val="0"/>
        <strike val="0"/>
        <condense val="0"/>
        <extend val="0"/>
        <outline val="0"/>
        <shadow val="0"/>
        <u val="none"/>
        <vertAlign val="baseline"/>
        <sz val="12"/>
        <color theme="0"/>
        <name val="Calibri"/>
        <family val="2"/>
        <scheme val="minor"/>
      </font>
      <fill>
        <patternFill patternType="solid">
          <fgColor theme="8" tint="0.79998168889431442"/>
          <bgColor rgb="FF002060"/>
        </patternFill>
      </fill>
      <alignment horizontal="center" vertical="center" textRotation="0" wrapText="1" indent="0" justifyLastLine="0" shrinkToFit="0" readingOrder="0"/>
    </dxf>
    <dxf>
      <font>
        <strike val="0"/>
        <outline val="0"/>
        <shadow val="0"/>
        <u val="none"/>
        <vertAlign val="baseline"/>
        <sz val="11"/>
        <color rgb="FF002060"/>
        <name val="Calibri"/>
        <scheme val="minor"/>
      </font>
    </dxf>
    <dxf>
      <font>
        <b val="0"/>
        <i val="0"/>
        <strike val="0"/>
        <condense val="0"/>
        <extend val="0"/>
        <outline val="0"/>
        <shadow val="0"/>
        <u val="none"/>
        <vertAlign val="baseline"/>
        <sz val="12"/>
        <color theme="0"/>
        <name val="Calibri"/>
        <family val="2"/>
        <scheme val="minor"/>
      </font>
      <fill>
        <patternFill patternType="solid">
          <fgColor theme="8" tint="0.79998168889431442"/>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2060"/>
        <name val="Calibri"/>
        <scheme val="minor"/>
      </font>
      <fill>
        <patternFill patternType="solid">
          <fgColor theme="8" tint="0.79998168889431442"/>
          <bgColor theme="8" tint="0.79998168889431442"/>
        </patternFill>
      </fill>
      <alignment horizontal="center" vertical="center" textRotation="0" wrapText="1" indent="0" justifyLastLine="0" shrinkToFit="0" readingOrder="0"/>
      <border diagonalUp="0" diagonalDown="0">
        <left style="thin">
          <color theme="8" tint="0.59999389629810485"/>
        </left>
        <right style="medium">
          <color theme="0"/>
        </right>
        <top style="medium">
          <color theme="0"/>
        </top>
        <bottom style="medium">
          <color theme="0"/>
        </bottom>
        <vertical/>
        <horizontal/>
      </border>
    </dxf>
    <dxf>
      <font>
        <b val="0"/>
        <i val="0"/>
        <strike val="0"/>
        <condense val="0"/>
        <extend val="0"/>
        <outline val="0"/>
        <shadow val="0"/>
        <u val="none"/>
        <vertAlign val="baseline"/>
        <sz val="12"/>
        <color theme="0"/>
        <name val="Calibri"/>
        <family val="2"/>
        <scheme val="minor"/>
      </font>
      <fill>
        <patternFill patternType="solid">
          <fgColor theme="8" tint="0.79998168889431442"/>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2060"/>
        <name val="Calibri"/>
        <scheme val="minor"/>
      </font>
      <fill>
        <patternFill patternType="solid">
          <fgColor theme="8" tint="0.79998168889431442"/>
          <bgColor theme="8" tint="0.79998168889431442"/>
        </patternFill>
      </fill>
      <alignment horizontal="center" vertical="center" textRotation="0" wrapText="1" indent="0" justifyLastLine="0" shrinkToFit="0" readingOrder="0"/>
      <border diagonalUp="0" diagonalDown="0" outline="0">
        <left style="medium">
          <color theme="0"/>
        </left>
        <right style="medium">
          <color theme="0"/>
        </right>
        <top style="medium">
          <color theme="0"/>
        </top>
        <bottom style="medium">
          <color theme="0"/>
        </bottom>
      </border>
    </dxf>
    <dxf>
      <font>
        <b val="0"/>
        <i val="0"/>
        <strike val="0"/>
        <condense val="0"/>
        <extend val="0"/>
        <outline val="0"/>
        <shadow val="0"/>
        <u val="none"/>
        <vertAlign val="baseline"/>
        <sz val="12"/>
        <color theme="0"/>
        <name val="Calibri"/>
        <family val="2"/>
        <scheme val="minor"/>
      </font>
      <fill>
        <patternFill patternType="solid">
          <fgColor theme="8" tint="0.79998168889431442"/>
          <bgColor rgb="FF002060"/>
        </patternFill>
      </fill>
      <alignment horizontal="center" vertical="center" textRotation="0" wrapText="1" indent="0" justifyLastLine="0" shrinkToFit="0" readingOrder="0"/>
    </dxf>
    <dxf>
      <font>
        <b val="0"/>
        <i val="0"/>
        <strike val="0"/>
        <condense val="0"/>
        <extend val="0"/>
        <outline val="0"/>
        <shadow val="0"/>
        <u val="none"/>
        <vertAlign val="baseline"/>
        <sz val="11"/>
        <color rgb="FFFF0000"/>
        <name val="Calibri"/>
        <family val="2"/>
        <scheme val="minor"/>
      </font>
      <fill>
        <patternFill patternType="solid">
          <fgColor theme="8" tint="0.79998168889431442"/>
          <bgColor theme="8" tint="0.79998168889431442"/>
        </patternFill>
      </fill>
      <alignment horizontal="center" vertical="center" textRotation="0" wrapText="1" indent="0" justifyLastLine="0" shrinkToFit="0" readingOrder="0"/>
      <border diagonalUp="0" diagonalDown="0">
        <left style="thin">
          <color theme="8" tint="0.59999389629810485"/>
        </left>
        <right style="medium">
          <color theme="0"/>
        </right>
        <top style="medium">
          <color theme="0"/>
        </top>
        <bottom style="medium">
          <color theme="0"/>
        </bottom>
        <vertical/>
        <horizontal/>
      </border>
    </dxf>
    <dxf>
      <font>
        <b val="0"/>
        <i val="0"/>
        <strike val="0"/>
        <condense val="0"/>
        <extend val="0"/>
        <outline val="0"/>
        <shadow val="0"/>
        <u val="none"/>
        <vertAlign val="baseline"/>
        <sz val="12"/>
        <color theme="0"/>
        <name val="Calibri"/>
        <family val="2"/>
        <scheme val="minor"/>
      </font>
      <fill>
        <patternFill patternType="solid">
          <fgColor theme="8" tint="0.79998168889431442"/>
          <bgColor rgb="FF002060"/>
        </patternFill>
      </fill>
      <alignment horizontal="center" vertical="center" textRotation="0" wrapText="1" indent="0" justifyLastLine="0" shrinkToFit="0" readingOrder="0"/>
    </dxf>
    <dxf>
      <font>
        <strike val="0"/>
        <outline val="0"/>
        <shadow val="0"/>
        <u val="none"/>
        <vertAlign val="baseline"/>
        <sz val="11"/>
        <color rgb="FF002060"/>
        <name val="Calibri"/>
        <scheme val="minor"/>
      </font>
    </dxf>
    <dxf>
      <font>
        <b/>
        <i val="0"/>
        <strike val="0"/>
        <condense val="0"/>
        <extend val="0"/>
        <outline val="0"/>
        <shadow val="0"/>
        <u val="none"/>
        <vertAlign val="baseline"/>
        <sz val="12"/>
        <color theme="0"/>
        <name val="Calibri"/>
        <family val="2"/>
        <scheme val="minor"/>
      </font>
      <fill>
        <patternFill patternType="solid">
          <fgColor theme="8" tint="0.79998168889431442"/>
          <bgColor rgb="FF002060"/>
        </patternFill>
      </fill>
      <alignment horizontal="center" vertical="center" textRotation="0" wrapText="1" indent="0" justifyLastLine="0" shrinkToFit="0" readingOrder="0"/>
    </dxf>
    <dxf>
      <font>
        <strike val="0"/>
        <outline val="0"/>
        <shadow val="0"/>
        <u val="none"/>
        <vertAlign val="baseline"/>
        <sz val="11"/>
        <color rgb="FFFF0000"/>
        <name val="Calibri"/>
        <scheme val="minor"/>
      </font>
      <numFmt numFmtId="19" formatCode="dd/mm/yyyy"/>
      <fill>
        <patternFill patternType="solid">
          <fgColor theme="8" tint="0.79998168889431442"/>
          <bgColor theme="8" tint="0.79998168889431442"/>
        </patternFill>
      </fill>
      <alignment horizontal="center" vertical="center" textRotation="0" wrapText="1" indent="0" justifyLastLine="0" shrinkToFit="0" readingOrder="0"/>
      <border diagonalUp="0" diagonalDown="0">
        <left style="thin">
          <color theme="8" tint="0.59999389629810485"/>
        </left>
        <right style="medium">
          <color theme="0"/>
        </right>
        <top style="medium">
          <color theme="0"/>
        </top>
        <bottom style="medium">
          <color theme="0"/>
        </bottom>
        <vertical/>
        <horizontal/>
      </border>
    </dxf>
    <dxf>
      <font>
        <b val="0"/>
        <i val="0"/>
        <strike val="0"/>
        <condense val="0"/>
        <extend val="0"/>
        <outline val="0"/>
        <shadow val="0"/>
        <u val="none"/>
        <vertAlign val="baseline"/>
        <sz val="12"/>
        <color theme="0"/>
        <name val="Calibri"/>
        <family val="2"/>
        <scheme val="minor"/>
      </font>
      <fill>
        <patternFill patternType="solid">
          <fgColor theme="8" tint="0.79998168889431442"/>
          <bgColor rgb="FF002060"/>
        </patternFill>
      </fill>
      <alignment horizontal="center" vertical="center" textRotation="0" wrapText="1" indent="0" justifyLastLine="0" shrinkToFit="0" readingOrder="0"/>
    </dxf>
    <dxf>
      <font>
        <strike val="0"/>
        <outline val="0"/>
        <shadow val="0"/>
        <u val="none"/>
        <vertAlign val="baseline"/>
        <sz val="11"/>
        <color rgb="FF002060"/>
        <name val="Calibri"/>
        <scheme val="minor"/>
      </font>
    </dxf>
    <dxf>
      <font>
        <b val="0"/>
        <i val="0"/>
        <strike val="0"/>
        <condense val="0"/>
        <extend val="0"/>
        <outline val="0"/>
        <shadow val="0"/>
        <u val="none"/>
        <vertAlign val="baseline"/>
        <sz val="12"/>
        <color theme="0"/>
        <name val="Calibri"/>
        <family val="2"/>
        <scheme val="minor"/>
      </font>
      <fill>
        <patternFill patternType="solid">
          <fgColor theme="8" tint="0.79998168889431442"/>
          <bgColor rgb="FF002060"/>
        </patternFill>
      </fill>
      <alignment horizontal="center" vertical="center" textRotation="0" wrapText="1" indent="0" justifyLastLine="0" shrinkToFit="0" readingOrder="0"/>
    </dxf>
    <dxf>
      <font>
        <strike val="0"/>
        <outline val="0"/>
        <shadow val="0"/>
        <u val="none"/>
        <vertAlign val="baseline"/>
        <sz val="11"/>
        <color rgb="FF002060"/>
        <name val="Calibri"/>
        <scheme val="minor"/>
      </font>
    </dxf>
    <dxf>
      <font>
        <strike val="0"/>
        <outline val="0"/>
        <shadow val="0"/>
        <u val="none"/>
        <vertAlign val="baseline"/>
        <sz val="12"/>
        <color rgb="FFFFFFFF"/>
        <name val="Calibri"/>
        <scheme val="none"/>
      </font>
      <fill>
        <patternFill patternType="solid">
          <fgColor rgb="FFD9E1F2"/>
          <bgColor rgb="FF002060"/>
        </patternFill>
      </fill>
    </dxf>
    <dxf>
      <font>
        <b val="0"/>
        <i val="0"/>
        <strike val="0"/>
        <condense val="0"/>
        <extend val="0"/>
        <outline val="0"/>
        <shadow val="0"/>
        <u val="none"/>
        <vertAlign val="baseline"/>
        <sz val="11"/>
        <color rgb="FF002060"/>
        <name val="Calibri"/>
        <scheme val="none"/>
      </font>
      <fill>
        <patternFill patternType="solid">
          <fgColor rgb="FFD9E1F2"/>
          <bgColor rgb="FFD9E1F2"/>
        </patternFill>
      </fill>
      <alignment horizontal="center" vertical="center" textRotation="0" wrapText="1" indent="0" justifyLastLine="0" shrinkToFit="0" readingOrder="0"/>
    </dxf>
    <dxf>
      <border>
        <bottom style="medium">
          <color rgb="FFFFFFFF"/>
        </bottom>
      </border>
    </dxf>
    <dxf>
      <font>
        <b/>
        <i val="0"/>
        <strike val="0"/>
        <condense val="0"/>
        <extend val="0"/>
        <outline val="0"/>
        <shadow val="0"/>
        <u val="none"/>
        <vertAlign val="baseline"/>
        <sz val="12"/>
        <color theme="0"/>
        <name val="Calibri"/>
        <scheme val="minor"/>
      </font>
      <fill>
        <patternFill patternType="solid">
          <fgColor theme="1"/>
          <bgColor rgb="FF002060"/>
        </patternFill>
      </fill>
      <alignment horizontal="center" vertical="center" textRotation="0" wrapText="1" indent="0" justifyLastLine="0" shrinkToFit="0" readingOrder="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4" formatCode="#,##0.00"/>
    </dxf>
    <dxf>
      <font>
        <color auto="1"/>
      </font>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center" readingOrder="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4" formatCode="#,##0.00"/>
    </dxf>
    <dxf>
      <alignment horizontal="center"/>
    </dxf>
    <dxf>
      <alignment horizontal="center"/>
    </dxf>
    <dxf>
      <font>
        <color rgb="FFFF0000"/>
      </font>
    </dxf>
    <dxf>
      <font>
        <color rgb="FFFF0000"/>
      </font>
    </dxf>
    <dxf>
      <alignment horizontal="center"/>
    </dxf>
    <dxf>
      <alignment horizontal="center"/>
    </dxf>
    <dxf>
      <alignment horizontal="center"/>
    </dxf>
    <dxf>
      <alignment horizontal="center"/>
    </dxf>
    <dxf>
      <alignment horizontal="center"/>
    </dxf>
    <dxf>
      <alignment horizontal="center"/>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35" formatCode="_-* #,##0.00_-;\-* #,##0.00_-;_-* &quot;-&quot;??_-;_-@_-"/>
    </dxf>
    <dxf>
      <alignment horizontal="center"/>
    </dxf>
    <dxf>
      <alignment horizontal="center"/>
    </dxf>
    <dxf>
      <font>
        <color auto="1"/>
      </font>
    </dxf>
    <dxf>
      <font>
        <color rgb="FFFF0000"/>
      </font>
    </dxf>
    <dxf>
      <font>
        <color rgb="FFFF0000"/>
      </font>
    </dxf>
    <dxf>
      <alignment horizontal="cent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0" readingOrder="0"/>
    </dxf>
    <dxf>
      <alignment wrapTex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horizontal="center" readingOrder="0"/>
    </dxf>
    <dxf>
      <alignment horizontal="center" readingOrder="0"/>
    </dxf>
    <dxf>
      <alignment wrapText="1"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color auto="1"/>
      </font>
    </dxf>
    <dxf>
      <font>
        <color rgb="FF002060"/>
      </font>
    </dxf>
    <dxf>
      <alignment horizontal="general" readingOrder="0"/>
    </dxf>
    <dxf>
      <alignment horizontal="general" readingOrder="0"/>
    </dxf>
    <dxf>
      <alignment horizontal="general" readingOrder="0"/>
    </dxf>
    <dxf>
      <alignment horizontal="general" readingOrder="0"/>
    </dxf>
    <dxf>
      <alignment horizontal="general" readingOrder="0"/>
    </dxf>
    <dxf>
      <alignment horizontal="general"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general" readingOrder="0"/>
    </dxf>
    <dxf>
      <alignment horizontal="center" readingOrder="0"/>
    </dxf>
    <dxf>
      <font>
        <b val="0"/>
        <i val="0"/>
        <strike val="0"/>
        <condense val="0"/>
        <extend val="0"/>
        <outline val="0"/>
        <shadow val="0"/>
        <u val="none"/>
        <vertAlign val="baseline"/>
        <sz val="12"/>
        <color rgb="FF002060"/>
        <name val="Calibri"/>
        <family val="2"/>
        <scheme val="minor"/>
      </font>
      <numFmt numFmtId="30" formatCode="@"/>
      <fill>
        <patternFill patternType="solid">
          <fgColor indexed="64"/>
          <bgColor theme="4" tint="0.59999389629810485"/>
        </patternFill>
      </fill>
      <alignment horizontal="left" vertical="top" textRotation="0" wrapText="0" indent="0" justifyLastLine="0" shrinkToFit="0" readingOrder="0"/>
      <border diagonalUp="0" diagonalDown="0">
        <left style="thick">
          <color theme="0"/>
        </left>
        <right style="thick">
          <color theme="0"/>
        </right>
        <top/>
        <bottom style="thick">
          <color theme="0"/>
        </bottom>
        <vertical/>
        <horizontal/>
      </border>
    </dxf>
    <dxf>
      <font>
        <strike val="0"/>
        <outline val="0"/>
        <shadow val="0"/>
        <u val="none"/>
        <vertAlign val="baseline"/>
        <sz val="12"/>
        <color rgb="FF002060"/>
      </font>
      <numFmt numFmtId="30" formatCode="@"/>
      <fill>
        <patternFill patternType="solid">
          <fgColor indexed="64"/>
          <bgColor theme="4" tint="0.59999389629810485"/>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4" tint="0.59999389629810485"/>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4" tint="0.59999389629810485"/>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fill>
        <patternFill patternType="solid">
          <fgColor indexed="64"/>
          <bgColor theme="9" tint="0.39997558519241921"/>
        </patternFill>
      </fill>
      <alignment horizontal="left"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9" tint="0.39997558519241921"/>
        </patternFill>
      </fill>
      <alignment horizontal="left"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9" tint="0.39997558519241921"/>
        </patternFill>
      </fill>
      <alignment horizontal="left"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0" formatCode="General"/>
      <fill>
        <patternFill patternType="solid">
          <fgColor indexed="64"/>
          <bgColor theme="9" tint="0.39997558519241921"/>
        </patternFill>
      </fill>
      <alignment horizontal="left"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19" formatCode="dd/mm/yyyy"/>
      <fill>
        <patternFill patternType="solid">
          <fgColor indexed="64"/>
          <bgColor theme="9" tint="0.39997558519241921"/>
        </patternFill>
      </fill>
      <alignment horizontal="left" vertical="top"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2"/>
        <color rgb="FF002060"/>
        <name val="Calibri"/>
        <scheme val="minor"/>
      </font>
      <numFmt numFmtId="19" formatCode="dd/mm/yyyy"/>
      <fill>
        <patternFill patternType="solid">
          <fgColor indexed="64"/>
          <bgColor theme="9" tint="0.39997558519241921"/>
        </patternFill>
      </fill>
      <alignment horizontal="left"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9" tint="0.39997558519241921"/>
        </patternFill>
      </fill>
      <alignment horizontal="left"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0" formatCode="General"/>
      <fill>
        <patternFill patternType="solid">
          <fgColor indexed="64"/>
          <bgColor theme="9" tint="0.39997558519241921"/>
        </patternFill>
      </fill>
      <alignment horizontal="left"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9" tint="0.39997558519241921"/>
        </patternFill>
      </fill>
      <alignment horizontal="left"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9" tint="0.39997558519241921"/>
        </patternFill>
      </fill>
      <alignment horizontal="left"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9" tint="0.39997558519241921"/>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family val="2"/>
        <scheme val="minor"/>
      </font>
      <numFmt numFmtId="30" formatCode="@"/>
      <fill>
        <patternFill patternType="solid">
          <fgColor indexed="64"/>
          <bgColor theme="3" tint="0.79998168889431442"/>
        </patternFill>
      </fill>
      <alignment horizontal="left"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9" tint="0.39997558519241921"/>
        </patternFill>
      </fill>
      <alignment horizontal="left" vertical="top"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2"/>
        <color rgb="FF002060"/>
        <name val="Calibri"/>
        <family val="2"/>
        <scheme val="minor"/>
      </font>
      <numFmt numFmtId="30" formatCode="@"/>
      <fill>
        <patternFill patternType="solid">
          <fgColor indexed="64"/>
          <bgColor theme="9" tint="0.39997558519241921"/>
        </patternFill>
      </fill>
      <alignment horizontal="left" vertical="top" textRotation="0" wrapText="0" indent="0" justifyLastLine="0" shrinkToFit="0" readingOrder="0"/>
      <border diagonalUp="0" diagonalDown="0">
        <left/>
        <right style="thick">
          <color theme="0"/>
        </right>
        <top/>
        <bottom style="thick">
          <color theme="0"/>
        </bottom>
        <vertical/>
        <horizontal/>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9" tint="0.39997558519241921"/>
        </patternFill>
      </fill>
      <alignment horizontal="left"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3" tint="0.79998168889431442"/>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3" tint="0.79998168889431442"/>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5" tint="0.59999389629810485"/>
        </patternFill>
      </fill>
      <alignment horizontal="left"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5" tint="0.59999389629810485"/>
        </patternFill>
      </fill>
      <alignment horizontal="left"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5" tint="0.59999389629810485"/>
        </patternFill>
      </fill>
      <alignment horizontal="left"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5" tint="0.59999389629810485"/>
        </patternFill>
      </fill>
      <alignment horizontal="left" vertical="top" textRotation="0" wrapText="0" indent="0" justifyLastLine="0" shrinkToFit="0" readingOrder="0"/>
      <border diagonalUp="0" diagonalDown="0" outline="0">
        <left/>
        <right style="thick">
          <color theme="0"/>
        </right>
        <top/>
        <bottom style="thick">
          <color theme="0"/>
        </bottom>
      </border>
    </dxf>
    <dxf>
      <border outline="0">
        <left style="thick">
          <color rgb="FFFFFFFF"/>
        </left>
        <right style="thick">
          <color rgb="FFFFFFFF"/>
        </right>
      </border>
    </dxf>
    <dxf>
      <font>
        <strike val="0"/>
        <outline val="0"/>
        <shadow val="0"/>
        <u val="none"/>
        <vertAlign val="baseline"/>
        <sz val="12"/>
      </font>
      <alignment horizontal="left" vertical="top"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ck">
          <color theme="0"/>
        </left>
        <right style="thick">
          <color theme="0"/>
        </right>
        <top/>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4" tint="0.59999389629810485"/>
        </patternFill>
      </fill>
      <alignment horizontal="center"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4" tint="0.59999389629810485"/>
        </patternFill>
      </fill>
      <alignment horizontal="center"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4" tint="0.59999389629810485"/>
        </patternFill>
      </fill>
      <alignment horizontal="center" vertical="top" textRotation="0" wrapText="0" indent="0" justifyLastLine="0" shrinkToFit="0" readingOrder="0"/>
      <border diagonalUp="0" diagonalDown="0" outline="0">
        <left style="thick">
          <color theme="0"/>
        </left>
        <right style="thick">
          <color theme="0"/>
        </right>
        <top/>
        <bottom/>
      </border>
    </dxf>
    <dxf>
      <font>
        <b val="0"/>
        <i val="0"/>
        <strike val="0"/>
        <condense val="0"/>
        <extend val="0"/>
        <outline val="0"/>
        <shadow val="0"/>
        <u val="none"/>
        <vertAlign val="baseline"/>
        <sz val="12"/>
        <color rgb="FF002060"/>
        <name val="Calibri"/>
        <scheme val="minor"/>
      </font>
      <numFmt numFmtId="0" formatCode="General"/>
      <fill>
        <patternFill patternType="solid">
          <fgColor indexed="64"/>
          <bgColor theme="4" tint="0.59999389629810485"/>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4" tint="0.59999389629810485"/>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4" tint="0.59999389629810485"/>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4" tint="0.59999389629810485"/>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4" tint="0.59999389629810485"/>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4" tint="0.59999389629810485"/>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4" formatCode="_-&quot;R$&quot;\ * #,##0.00_-;\-&quot;R$&quot;\ * #,##0.00_-;_-&quot;R$&quot;\ * &quot;-&quot;??_-;_-@_-"/>
      <fill>
        <patternFill patternType="solid">
          <fgColor indexed="64"/>
          <bgColor theme="7" tint="0.79998168889431442"/>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4" formatCode="_-&quot;R$&quot;\ * #,##0.00_-;\-&quot;R$&quot;\ * #,##0.00_-;_-&quot;R$&quot;\ * &quot;-&quot;??_-;_-@_-"/>
      <fill>
        <patternFill patternType="solid">
          <fgColor indexed="64"/>
          <bgColor theme="7" tint="0.79998168889431442"/>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1" formatCode="0"/>
      <fill>
        <patternFill patternType="solid">
          <fgColor indexed="64"/>
          <bgColor theme="7" tint="0.79998168889431442"/>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9" tint="0.39997558519241921"/>
        </patternFill>
      </fill>
      <alignment horizontal="left"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9" tint="0.39997558519241921"/>
        </patternFill>
      </fill>
      <alignment horizontal="left"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9" tint="0.39997558519241921"/>
        </patternFill>
      </fill>
      <alignment horizontal="left" vertical="top" textRotation="0" wrapText="0" indent="0" justifyLastLine="0" shrinkToFit="0" readingOrder="0"/>
      <border diagonalUp="0" diagonalDown="0">
        <left/>
        <right style="thick">
          <color theme="0"/>
        </right>
        <top/>
        <bottom style="thick">
          <color theme="0"/>
        </bottom>
        <vertical/>
        <horizontal/>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9" tint="0.39997558519241921"/>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0" formatCode="General"/>
      <fill>
        <patternFill patternType="solid">
          <fgColor indexed="64"/>
          <bgColor theme="9" tint="0.39997558519241921"/>
        </patternFill>
      </fill>
      <alignment horizontal="left"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19" formatCode="dd/mm/yyyy"/>
      <fill>
        <patternFill patternType="solid">
          <fgColor indexed="64"/>
          <bgColor theme="9" tint="0.39997558519241921"/>
        </patternFill>
      </fill>
      <alignment horizontal="left" vertical="top" textRotation="0" wrapText="0" indent="0" justifyLastLine="0" shrinkToFit="0" readingOrder="0"/>
      <border diagonalUp="0" diagonalDown="0" outline="0">
        <left style="thick">
          <color theme="0"/>
        </left>
        <right/>
        <top/>
        <bottom style="thick">
          <color theme="0"/>
        </bottom>
      </border>
    </dxf>
    <dxf>
      <font>
        <b val="0"/>
        <i val="0"/>
        <strike val="0"/>
        <condense val="0"/>
        <extend val="0"/>
        <outline val="0"/>
        <shadow val="0"/>
        <u val="none"/>
        <vertAlign val="baseline"/>
        <sz val="12"/>
        <color rgb="FF002060"/>
        <name val="Calibri"/>
        <scheme val="minor"/>
      </font>
      <numFmt numFmtId="19" formatCode="dd/mm/yyyy"/>
      <fill>
        <patternFill patternType="solid">
          <fgColor indexed="64"/>
          <bgColor theme="9" tint="0.39997558519241921"/>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165" formatCode="[$-416]mmmm\-yy;@"/>
      <fill>
        <patternFill patternType="solid">
          <fgColor indexed="64"/>
          <bgColor theme="9" tint="0.39997558519241921"/>
        </patternFill>
      </fill>
      <alignment horizontal="left" vertical="top" textRotation="0" wrapText="0" indent="0" justifyLastLine="0" shrinkToFit="0" readingOrder="0"/>
      <border diagonalUp="0" diagonalDown="0">
        <left/>
        <right style="thick">
          <color theme="0"/>
        </right>
        <top/>
        <bottom style="thick">
          <color theme="0"/>
        </bottom>
        <vertical/>
        <horizontal/>
      </border>
    </dxf>
    <dxf>
      <font>
        <b val="0"/>
        <i val="0"/>
        <strike val="0"/>
        <condense val="0"/>
        <extend val="0"/>
        <outline val="0"/>
        <shadow val="0"/>
        <u val="none"/>
        <vertAlign val="baseline"/>
        <sz val="12"/>
        <color rgb="FF002060"/>
        <name val="Calibri"/>
        <scheme val="minor"/>
      </font>
      <numFmt numFmtId="0" formatCode="General"/>
      <fill>
        <patternFill patternType="solid">
          <fgColor indexed="64"/>
          <bgColor theme="9" tint="0.39997558519241921"/>
        </patternFill>
      </fill>
      <alignment horizontal="center"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9" tint="0.39997558519241921"/>
        </patternFill>
      </fill>
      <alignment horizontal="left"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9" tint="0.39997558519241921"/>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family val="2"/>
        <scheme val="minor"/>
      </font>
      <numFmt numFmtId="30" formatCode="@"/>
      <fill>
        <patternFill patternType="solid">
          <fgColor indexed="64"/>
          <bgColor theme="3" tint="0.79998168889431442"/>
        </patternFill>
      </fill>
      <alignment horizontal="left" vertical="top" textRotation="0" wrapText="0" indent="0" justifyLastLine="0" shrinkToFit="0" readingOrder="0"/>
      <border diagonalUp="0" diagonalDown="0">
        <left style="thick">
          <color theme="0"/>
        </left>
        <right style="thick">
          <color theme="0"/>
        </right>
        <top style="thick">
          <color theme="0"/>
        </top>
        <bottom style="thick">
          <color theme="0"/>
        </bottom>
        <vertical/>
        <horizontal style="thick">
          <color theme="0"/>
        </horizontal>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9" tint="0.39997558519241921"/>
        </patternFill>
      </fill>
      <alignment horizontal="left" vertical="top" textRotation="0" wrapText="0" indent="0" justifyLastLine="0" shrinkToFit="0" readingOrder="0"/>
      <border diagonalUp="0" diagonalDown="0" outline="0">
        <left/>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9" tint="0.39997558519241921"/>
        </patternFill>
      </fill>
      <alignment horizontal="left"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9" tint="0.39997558519241921"/>
        </patternFill>
      </fill>
      <alignment horizontal="left"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3" tint="0.79998168889431442"/>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3" tint="0.79998168889431442"/>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3" tint="0.79998168889431442"/>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3" tint="0.79998168889431442"/>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3" tint="0.79998168889431442"/>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5" tint="0.59999389629810485"/>
        </patternFill>
      </fill>
      <alignment horizontal="left"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5" tint="0.59999389629810485"/>
        </patternFill>
      </fill>
      <alignment horizontal="left" vertical="top" textRotation="0" wrapText="0" indent="0" justifyLastLine="0" shrinkToFit="0" readingOrder="0"/>
      <border diagonalUp="0" diagonalDown="0" outline="0">
        <left/>
        <right style="thick">
          <color theme="0"/>
        </right>
        <top/>
        <bottom style="thick">
          <color theme="0"/>
        </bottom>
      </border>
    </dxf>
    <dxf>
      <font>
        <b val="0"/>
        <i val="0"/>
        <strike val="0"/>
        <condense val="0"/>
        <extend val="0"/>
        <outline val="0"/>
        <shadow val="0"/>
        <u val="none"/>
        <vertAlign val="baseline"/>
        <sz val="12"/>
        <color rgb="FF002060"/>
        <name val="Calibri"/>
        <scheme val="minor"/>
      </font>
      <numFmt numFmtId="30" formatCode="@"/>
      <fill>
        <patternFill patternType="solid">
          <fgColor indexed="64"/>
          <bgColor theme="5" tint="0.59999389629810485"/>
        </patternFill>
      </fill>
      <alignment horizontal="left" vertical="top" textRotation="0" wrapText="0" indent="0" justifyLastLine="0" shrinkToFit="0" readingOrder="0"/>
      <border diagonalUp="0" diagonalDown="0" outline="0">
        <left style="thick">
          <color theme="0"/>
        </left>
        <right style="thick">
          <color theme="0"/>
        </right>
        <top/>
        <bottom style="thick">
          <color theme="0"/>
        </bottom>
      </border>
    </dxf>
    <dxf>
      <font>
        <b val="0"/>
        <i val="0"/>
        <strike val="0"/>
        <condense val="0"/>
        <extend val="0"/>
        <outline val="0"/>
        <shadow val="0"/>
        <u val="none"/>
        <vertAlign val="baseline"/>
        <sz val="12"/>
        <color rgb="FFFF0000"/>
        <name val="Calibri"/>
        <family val="2"/>
        <scheme val="minor"/>
      </font>
      <numFmt numFmtId="19" formatCode="dd/mm/yyyy"/>
      <fill>
        <patternFill patternType="solid">
          <fgColor indexed="64"/>
          <bgColor theme="5" tint="0.59999389629810485"/>
        </patternFill>
      </fill>
      <alignment horizontal="left" vertical="top" textRotation="0" wrapText="0" indent="0" justifyLastLine="0" shrinkToFit="0" readingOrder="0"/>
      <border diagonalUp="0" diagonalDown="0">
        <left/>
        <right style="thick">
          <color theme="0"/>
        </right>
        <top/>
        <bottom/>
        <vertical/>
        <horizontal/>
      </border>
    </dxf>
    <dxf>
      <font>
        <b val="0"/>
        <i val="0"/>
        <strike val="0"/>
        <condense val="0"/>
        <extend val="0"/>
        <outline val="0"/>
        <shadow val="0"/>
        <u val="none"/>
        <vertAlign val="baseline"/>
        <sz val="12"/>
        <color rgb="FF002060"/>
        <name val="Calibri"/>
        <scheme val="minor"/>
      </font>
      <numFmt numFmtId="19" formatCode="dd/mm/yyyy"/>
      <fill>
        <patternFill patternType="solid">
          <fgColor indexed="64"/>
          <bgColor theme="5" tint="0.59999389629810485"/>
        </patternFill>
      </fill>
      <alignment horizontal="left" vertical="top" textRotation="0" wrapText="0" indent="0" justifyLastLine="0" shrinkToFit="0" readingOrder="0"/>
      <border diagonalUp="0" diagonalDown="0" outline="0">
        <left/>
        <right style="thick">
          <color theme="0"/>
        </right>
        <top/>
        <bottom style="thick">
          <color theme="0"/>
        </bottom>
      </border>
    </dxf>
    <dxf>
      <border outline="0">
        <left style="thick">
          <color theme="0"/>
        </left>
        <right style="thick">
          <color theme="0"/>
        </right>
      </border>
    </dxf>
    <dxf>
      <font>
        <strike val="0"/>
        <outline val="0"/>
        <shadow val="0"/>
        <u val="none"/>
        <vertAlign val="baseline"/>
        <sz val="12"/>
      </font>
      <alignment horizontal="left" vertical="top"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ck">
          <color theme="0"/>
        </left>
        <right style="thick">
          <color theme="0"/>
        </right>
        <top/>
        <bottom/>
      </border>
    </dxf>
    <dxf>
      <font>
        <color theme="0"/>
      </font>
      <fill>
        <patternFill>
          <bgColor rgb="FF002060"/>
        </patternFill>
      </fill>
    </dxf>
    <dxf>
      <font>
        <color theme="0"/>
      </font>
      <fill>
        <patternFill>
          <bgColor rgb="FF002060"/>
        </patternFill>
      </fill>
    </dxf>
    <dxf>
      <font>
        <color theme="0"/>
      </font>
      <fill>
        <patternFill>
          <bgColor rgb="FF002060"/>
        </patternFill>
      </fill>
    </dxf>
    <dxf>
      <font>
        <color theme="0"/>
      </font>
      <fill>
        <patternFill>
          <bgColor rgb="FF002060"/>
        </patternFill>
      </fill>
    </dxf>
  </dxfs>
  <tableStyles count="4" defaultTableStyle="TableStyleMedium2" defaultPivotStyle="Estilo de Tabela Dinâmica 2">
    <tableStyle name="Estilo de Tabela Dinâmica 1" table="0" count="0" xr9:uid="{00000000-0011-0000-FFFF-FFFF00000000}"/>
    <tableStyle name="Estilo de Tabela Dinâmica 2" table="0" count="0" xr9:uid="{00000000-0011-0000-FFFF-FFFF01000000}"/>
    <tableStyle name="Estilo de Tabela Dinâmica 3" table="0" count="1" xr9:uid="{00000000-0011-0000-FFFF-FFFF02000000}">
      <tableStyleElement type="pageFieldLabels" dxfId="955"/>
    </tableStyle>
    <tableStyle name="Estilo de Tabela Dinâmica 4" table="0" count="3" xr9:uid="{00000000-0011-0000-FFFF-FFFF03000000}">
      <tableStyleElement type="totalRow" dxfId="954"/>
      <tableStyleElement type="pageFieldLabels" dxfId="953"/>
      <tableStyleElement type="pageFieldValues" dxfId="952"/>
    </tableStyle>
  </tableStyles>
  <colors>
    <mruColors>
      <color rgb="FFFF58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[15. CONTRATOS_ARP_finalizados_PNCP e SITE.xlsx]Relat_Gestão GCC!Tabela dinâmica1</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pt-BR"/>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456786196107671E-2"/>
          <c:y val="7.407407407407407E-2"/>
          <c:w val="0.95454321380389229"/>
          <c:h val="0.71439596092155144"/>
        </c:manualLayout>
      </c:layout>
      <c:lineChart>
        <c:grouping val="standard"/>
        <c:varyColors val="0"/>
        <c:dLbls>
          <c:dLblPos val="t"/>
          <c:showLegendKey val="0"/>
          <c:showVal val="1"/>
          <c:showCatName val="0"/>
          <c:showSerName val="0"/>
          <c:showPercent val="0"/>
          <c:showBubbleSize val="0"/>
        </c:dLbls>
        <c:marker val="1"/>
        <c:smooth val="0"/>
        <c:axId val="21194287"/>
        <c:axId val="21195119"/>
      </c:lineChart>
      <c:catAx>
        <c:axId val="21194287"/>
        <c:scaling>
          <c:orientation val="minMax"/>
        </c:scaling>
        <c:delete val="0"/>
        <c:axPos val="b"/>
        <c:numFmt formatCode="[$-416]mmm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195119"/>
        <c:crosses val="autoZero"/>
        <c:auto val="1"/>
        <c:lblAlgn val="ctr"/>
        <c:lblOffset val="100"/>
        <c:noMultiLvlLbl val="0"/>
      </c:catAx>
      <c:valAx>
        <c:axId val="2119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1942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112059</xdr:colOff>
      <xdr:row>41</xdr:row>
      <xdr:rowOff>142315</xdr:rowOff>
    </xdr:from>
    <xdr:to>
      <xdr:col>13</xdr:col>
      <xdr:colOff>1253378</xdr:colOff>
      <xdr:row>55</xdr:row>
      <xdr:rowOff>173691</xdr:rowOff>
    </xdr:to>
    <xdr:graphicFrame macro="">
      <xdr:nvGraphicFramePr>
        <xdr:cNvPr id="2" name="Gráfico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Pedro Arnaud Ferreira Diniz" id="{E8595129-FA5F-4B56-90F7-C9D37A600A92}" userId="S::pedro.diniz@telebras.com.br::d9cc21f8-ce45-4332-afa3-7064d0c5a93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Arnaud Ferreira Diniz" refreshedDate="46286.494031365743" createdVersion="6" refreshedVersion="8" minRefreshableVersion="3" recordCount="161" xr:uid="{00000000-000A-0000-FFFF-FFFF02000000}">
  <cacheSource type="worksheet">
    <worksheetSource name="Base_CTRs_Finalizados"/>
  </cacheSource>
  <cacheFields count="36">
    <cacheField name="Data inicio processo" numFmtId="14">
      <sharedItems containsNonDate="0" containsDate="1" containsString="0" containsBlank="1" minDate="2023-10-24T00:00:00" maxDate="2026-06-25T00:00:00" count="55">
        <m/>
        <d v="2024-08-28T00:00:00"/>
        <d v="2024-09-03T00:00:00"/>
        <d v="2024-06-10T00:00:00"/>
        <d v="2024-08-06T00:00:00"/>
        <d v="2024-07-08T00:00:00"/>
        <d v="2024-11-08T00:00:00"/>
        <d v="2025-01-13T00:00:00"/>
        <d v="2024-10-22T00:00:00"/>
        <d v="2024-12-13T00:00:00"/>
        <d v="2024-11-21T00:00:00"/>
        <d v="2025-03-24T00:00:00"/>
        <d v="2025-02-13T00:00:00"/>
        <d v="2025-04-14T00:00:00"/>
        <d v="2024-12-26T00:00:00"/>
        <d v="2025-05-07T00:00:00"/>
        <d v="2025-07-04T00:00:00"/>
        <d v="2025-06-17T00:00:00"/>
        <d v="2025-04-29T00:00:00"/>
        <d v="2024-11-11T00:00:00"/>
        <d v="2025-02-05T00:00:00"/>
        <d v="2025-07-25T00:00:00"/>
        <d v="2025-03-10T00:00:00"/>
        <d v="2025-06-16T00:00:00"/>
        <d v="2025-09-18T00:00:00"/>
        <d v="2023-10-24T00:00:00"/>
        <d v="2025-09-04T00:00:00"/>
        <d v="2025-04-17T00:00:00"/>
        <d v="2025-10-14T00:00:00"/>
        <d v="2025-08-25T00:00:00"/>
        <d v="2025-06-23T00:00:00"/>
        <d v="2025-01-08T00:00:00"/>
        <d v="2025-08-26T00:00:00"/>
        <d v="2025-11-21T00:00:00"/>
        <d v="2025-12-15T00:00:00"/>
        <d v="2025-12-19T00:00:00"/>
        <d v="2026-01-07T00:00:00"/>
        <d v="2025-09-29T00:00:00"/>
        <d v="2026-02-05T00:00:00"/>
        <d v="2026-03-05T00:00:00"/>
        <d v="2026-03-04T00:00:00"/>
        <d v="2026-01-19T00:00:00"/>
        <d v="2025-04-16T00:00:00"/>
        <d v="2025-12-23T00:00:00"/>
        <d v="2025-10-22T00:00:00"/>
        <d v="2025-12-29T00:00:00"/>
        <d v="2026-03-17T00:00:00"/>
        <d v="2026-05-25T00:00:00"/>
        <d v="2026-06-24T00:00:00"/>
        <d v="2026-04-22T00:00:00"/>
        <d v="2025-12-18T00:00:00"/>
        <d v="2026-03-12T00:00:00"/>
        <d v="2026-05-05T00:00:00"/>
        <d v="2025-11-05T00:00:00"/>
        <d v="2024-09-02T00:00:00" u="1"/>
      </sharedItems>
    </cacheField>
    <cacheField name="DIRETORIA" numFmtId="49">
      <sharedItems containsBlank="1"/>
    </cacheField>
    <cacheField name="ÁREA REQUISITANTE" numFmtId="49">
      <sharedItems containsBlank="1" count="31">
        <s v="GPTC"/>
        <s v="GROP"/>
        <s v="GLOG"/>
        <s v="GGE"/>
        <s v="GEOS"/>
        <s v="GCC"/>
        <s v="GCONT"/>
        <s v="GGP"/>
        <s v="GPM"/>
        <s v="GMP"/>
        <s v="GIRC"/>
        <s v="GPR"/>
        <s v="GERP"/>
        <s v="GERP "/>
        <s v="GORS"/>
        <s v="GTI "/>
        <s v="GI"/>
        <s v="GFO"/>
        <s v="GJ"/>
        <s v="Protocolo"/>
        <s v="GPEI"/>
        <s v="GID"/>
        <s v="GJ "/>
        <s v="ARI"/>
        <s v="DG"/>
        <s v="DTO"/>
        <s v="GOC"/>
        <s v="ER-SP"/>
        <m/>
        <s v="ER-SPO" u="1"/>
        <s v="Assessoria de Relações com Investidores" u="1"/>
      </sharedItems>
    </cacheField>
    <cacheField name="Nº PROCESSO SIGA" numFmtId="49">
      <sharedItems containsBlank="1" count="141">
        <s v="TLB-PRO-2023/06838"/>
        <s v="TLB-PRO-2024/00201"/>
        <s v="TLB-PRO-2023/06269"/>
        <s v="TLB-PRO-2024/00927"/>
        <s v="TLB-PRO-2024/00195_x000a_"/>
        <s v="TLB-PRO-2024/00922"/>
        <s v="TLB-PRO-2024/01201"/>
        <s v="TLB-PRO-2024/01475"/>
        <s v="TLB-PRO-2023/05332"/>
        <s v="TLB-PRO-2023/06365"/>
        <s v="TLB-PRO-2024/01620"/>
        <s v="TLB-PRO-2024/01473"/>
        <s v="TLB-PRO-2024/02159"/>
        <s v="TLB-PRO-2024/01992"/>
        <s v="TLB-PRO-2024/00714"/>
        <s v="TLBPRO-2023/05847"/>
        <s v="TLB-PRO-2024/03100"/>
        <s v="TLB-PRO-2024/03371"/>
        <s v="TLB-PRO-2024/03035"/>
        <s v="TLB-PRO-2024/02951"/>
        <s v="TLB-PRO-2024/02467"/>
        <s v="TLB-PRO-2024/03684"/>
        <s v="TLB-PRO-2024/04037"/>
        <s v="TLB-PRO-2024/04850"/>
        <s v="TLB-PRO-2024/05179"/>
        <s v="TLB-PRO-2024/04517"/>
        <s v="TLB-PRO-2024/05477"/>
        <s v="TLB-PRO-2023/05467"/>
        <s v="TLB-PRO-2024/00576"/>
        <s v="TLB-PRO-2024/00577"/>
        <s v="TLB-PRO-2023/02578"/>
        <s v="TLB-PRO-2023/04555"/>
        <s v="TLB-PRO-2023/05717"/>
        <s v="TLB-PRO-2023/06316"/>
        <s v="TLB-PRO-2023/06327"/>
        <s v="TLB-PRO-2023/04125"/>
        <s v=" TLB-PRO-2024/00765"/>
        <s v="TLB-PRO-2024/00764"/>
        <s v="TLB-PRO-2021/17104"/>
        <s v="TLB-PRO-2023/01936"/>
        <s v="TLB-PRO-2023/05342"/>
        <s v="TLB-PRO-2023/03220"/>
        <s v="TLB-PRO-2023/05093"/>
        <s v="TLB-PRO-2023/02958"/>
        <s v="TLB-PRO-2023/00762"/>
        <s v="TLB-PRO-2024/01101"/>
        <s v="TLB-PRO-2024/00728"/>
        <s v="TLB-PRO-2023/04328"/>
        <s v="TLB-PRO-2024/01130"/>
        <s v="TLB-PRO-2023/06205"/>
        <s v="TLB-PRO-2023/03855"/>
        <s v=" TLB-PRO-2023/00682"/>
        <s v=" TLB-PRO-2023/06864"/>
        <s v=" TLB-PRO-2024/02467"/>
        <s v=" TLB-PRO-2024/01417"/>
        <s v=" TLB-PRO-2024/00769"/>
        <s v=" TLB-PRO-2024/00521"/>
        <s v=" TLB-PRO-2024/01936"/>
        <s v="TLB-PRO-2024/03711"/>
        <s v="TLB-PRO-2024/03124"/>
        <s v="TLB-PRO-2024/05280"/>
        <s v="TLB-PRO-2023/04725"/>
        <s v="TLB-PRO-2024/03255"/>
        <s v="TLB-PRO-2024/04046"/>
        <s v="TLB-PRO-2024/03665"/>
        <s v="TLB-PRO-2024/06032"/>
        <s v="TLB-PRO-2024/06802"/>
        <s v="TLB-PRO-2024/04040"/>
        <s v="TLB-PRO-2024/05723"/>
        <s v="TLB-PRO-2024/06064"/>
        <s v="TLB-PRO-2024/06203"/>
        <s v="TLB-PRO-2024/06226"/>
        <s v="TLB-PRO-2024/06217"/>
        <s v="TLB-PRO-2024/06221"/>
        <s v="TLB-PRO-2024/06280"/>
        <s v="TLB-PRO-2024/06285"/>
        <s v="TLB-PRO-2024/06308"/>
        <s v="TLB-PRO-2024/06369"/>
        <s v="TLB-PRO-2024/06355"/>
        <s v="TLB-PRO-2024/06358"/>
        <s v="TLB-PRO-2024/06390"/>
        <s v="TLB-PRO-2024/06363"/>
        <s v="TLB-PRO-2024/06341"/>
        <s v="TLB-PRO-2024/01946"/>
        <s v="TLB-PRO-2024/02695"/>
        <s v="TLB-PRO-2024/02577"/>
        <s v="TLB-PRO-2024/03168"/>
        <s v="TLB-PRO-2025/01026"/>
        <s v="TLB-PRO-2024/02177"/>
        <s v="TLB-PRO-2024/04607"/>
        <s v="TLB-PRO-2024/05944"/>
        <s v="TLB-PRO-2025/01180"/>
        <s v="TLB-PRO-2024/05271"/>
        <s v="TLB-PRO-2024/06558"/>
        <s v="TLB-PRO-2024/06151"/>
        <s v="TLB-PRO-2025/01491"/>
        <s v="TLB-PRO-2023/05476"/>
        <s v="TLB-PRO-2025/00927"/>
        <s v="TLB-PRO-2024/02538"/>
        <s v="TLB-PRO-2025/02012"/>
        <s v="TLB-PRO-2024/01832"/>
        <s v="TLB-PRO-2025/03118"/>
        <s v="TLB-PRO-2025/00533"/>
        <s v="TLB-PRO-2025/02807"/>
        <s v="TLB-PRO-2024/04999"/>
        <s v="TLB-PRO-2025/00760"/>
        <s v="TLB-PRO-2025/01337"/>
        <s v="TLB-PRO-2025/05108"/>
        <s v="TLB-PRO-2023/02862"/>
        <s v="TLB-PRO-2025/01231"/>
        <s v="TLB-PRO-2025/01043"/>
        <s v="TLB-PRO-2024/05136"/>
        <s v="TLB-PRO-2025/03416"/>
        <s v="TLB-PRO-2025/04031"/>
        <s v="TLB-PRO-2025/00611"/>
        <s v="TLB-PRO-2024/06004"/>
        <s v="TLB-PRO-2025/01134"/>
        <s v="TLB-PRO-2025/01607"/>
        <s v="TLB-PRO-2025/06493"/>
        <s v="TLB-PRO-2025/07019"/>
        <s v="TLB-PRO-2025/07285"/>
        <s v="TLB-PRO-2025/05495"/>
        <s v="TLB-PRO-2025/01133"/>
        <s v="TLB-PRO-2026/01355"/>
        <s v="TLB-PRO- 2026/00394"/>
        <s v="TLB-PRO-2025/00832"/>
        <s v="TLB-PRO-2025/00992"/>
        <s v="TLB-PRO-2025/05007"/>
        <s v="TLB-PRO-2025/04588"/>
        <s v="TLB-PRO-2025/00998"/>
        <s v="TLB-PRO-2024/05917"/>
        <s v="TLB-PRO-2026/03298"/>
        <s v="TLB-PRO-2026/03934"/>
        <s v="TLB-PRO-2026/02400 "/>
        <s v="TLB-PRO-2026/02422"/>
        <s v="TLB-PRO-2025/06400"/>
        <s v="TLB-PRO-2026/00280"/>
        <s v="TLB-PRO-2026/02672"/>
        <s v="TLB-PRO-2026/04830"/>
        <s v="TLB-PRO-2026/05017"/>
        <m/>
      </sharedItems>
    </cacheField>
    <cacheField name="MODALIDADE" numFmtId="49">
      <sharedItems containsBlank="1" count="6">
        <s v="Inexigibilidade"/>
        <s v="Dispensa"/>
        <s v="Pregão Eletrônico"/>
        <s v="Afastamento"/>
        <s v="Pregão Eletrônico SRP"/>
        <m/>
      </sharedItems>
    </cacheField>
    <cacheField name="FUNDAMENTAÇÃO DA MODALIDADE" numFmtId="49">
      <sharedItems containsBlank="1" longText="1"/>
    </cacheField>
    <cacheField name="JUSTIFICATIVA  DA CONTRATAÇÃO" numFmtId="0">
      <sharedItems containsBlank="1" count="132" longText="1">
        <s v="Em 03 de dezembro de 2012,a Telebras iniciou o Processo de Contratação nº509/2012-TB (TLB-PRO-2020/0932), cujo objeto foi definido como “Contrato de compartilhamento de infraestrutura da CEMAR para lançamento de cabos FOda Telebras em Imperatriz/MA”.3.2A Gerência Jurídica (GJ) da Telebras emitiu, em 03/01/2013, o Parecer nº004/2013/GJRL/1200 com as propostas de modificação no contrato encaminhado pela CEMAR. Em março 2013 a Telebras encaminhou à CEMAR e-mail informando as propostas de modificações. Em 21/03/2013 a CEMAR enviou resposta à Telebras, onde informa, em síntese, sobre os itens propostos."/>
        <s v="A área de comunicação por satélite, nos últimos anos, tem sido protagonista no cenário mundial de telecom, sendo a TELEBRAS, nesse contexto, um pilar brasileiro na redução de fronteiras digitais. O evento Satellite é conhecido por ser a maior conferência e exposição mundial na área de satélites. Presente desde 1981, o evento é referência dentro da comunidade aeroespacial em quantidade de expositores, conferências e debates, com nível técnico altíssimo."/>
        <s v="A aquisição dos televisores justifica-se pela necessidade de prover infraestrutura adequada ao pleno andamento das atividades da empresa, fornecendo os equipamentos de audiovisual necessários para as salas dos Diretores, Presidente e ambientes de reuniões corporativas."/>
        <s v="A realização do Telebras Day, destinado à Alta Direção e seus gestores, com a inclusão de um Palestrante-Moderador externo, alinha-se estrategicamente à Instrução Normativa Nº 24, de 18 de março de 2020, artigo 3, inciso V. O propósito central deste evento é definir e avançar com projetos e ações estratégicas que serão incorporados aos Planos Diretores, parte integrante do Plano Estratégico Institucional para 2024-2028. A seleção do palestrante da  palestrante especializado em planejamento estratégico, liderança e inovação da INLABS CAPACITAÇÃO PROFISSIONAL LTDA, sobretudo com experiência no setor de telecomunicações, é fundamental. Este setor, marcado por sua complexidade e evolução acelerada, demanda uma abordagem que esteja em harmonia com tendências globais e desafios locais específicos da empresa."/>
        <s v="a Telebras não possui expertise necessária, assim como, não possui equipe preparada para organização direta de eventos, faz-se necessária a contratação de empresa especializada na prestação de serviços de organização de eventos e demais serviços correlatos, compreendendo a organização, a execução, a recepção, a operacionalização, a produção, a assessoria, a locação do espaço e demais infraestrutura necessária compreendendo os insumos e todos os demais materiais e serviços indispensáveis à plena execução do evento. "/>
        <s v="A participação dos colaboradores da GEOS  na ISSFD é uma oportunidade valiosa para a TELEBRAS. Além de oferecer acesso a novos conhecimentos e tendências em dinâmica de voo espacial, também possibilitará a troca de experiências com profissionais de destaque, trará benefícios tanto em termos de aprendizado quanto de visibilidade e networking. "/>
        <s v="O produto Zênite Fácil é um acervo de informações com matérias relacionadas à contratação pública desde o planejamento e julgamento da licitação até a execução e a fiscalização do contrato, além de temas referentes a concessões e permissões, termos de parceria e contratações do Sistema S, dispostas de forma a possibilitar pesquisa avançada por assunto, edição, seção, palavras ou expressões no período da contratação. O acesso é seguro e as páginas da empresa Zênite contam com certificados de segurança estando protegida da interceptação de terceiros."/>
        <s v="A legislação tributária no Brasil é extremamente complexa, desde a promulgação da Constituição Federal de 1988, foram editadas mais de 377 mil normas, sendo quase 32 mil federais. Somente em 2017, a RFB editou mais de três mil atos com possível impacto na vida dos contribuintes. O quadro revela uma frequente atualização legislativa para alteração de obrigações. _x000a__x000a_Em complemento, foi detectada a ausência de um documento único que compile a legislação tributária vigente relativa a cada um dos tributos, conforme exige o art. 212 do Código Tributário Nacional (CTN). A dispersão de normas prejudica o cumprimento das obrigações tributárias._x000a__x000a_Assim, a GCONT entende, para mitigar os riscos inerentes à gestão tributária e à apuração de obrigações principais e acessórias, que a capacitação dos colaboradores torna-se necessária, posto que é indiscutível a mudança da legislação pelas diversos entes federados. Há que se observar que a legislação atual já é complicada e que está em andamento a reforma tributária, ainda não internalizada nos estados e municípios."/>
        <s v="ara o controle físico dos equipamentos de superfície metálica, utiliza-se etiquetas patrimoniais do tipo flag. O estoque existente dessas etiquetas foi distribuído para os Centros de Manutenções da Telebras, para realização do inventário anual de 2023. Por esse motivo, para se manter o controle patrimonial dos equipamentos a serem adquiridos no futuro, é necessário a aquisição de novas etiquetas."/>
        <s v="Considerando que os materiais de consumo em estoque são insuficientes para atender a demanda dos colaboradores, faz-se necessário a aquisição de materiais de expediente e escritório para suprir as necessidades de fornecimento interno do almoxarifado sede, tendo em vista tais materiais serem necessários ao desenvolvimento das atividades administrativas e operacionais rotineiras dos setores da TELEBRAS."/>
        <m/>
        <s v="A GCONT entende, para mitigar os riscos inerentes à gestão tributária e à apuração de obrigações principais e acessórias, que a capacitação dos colaboradores torna-se necessária, posto que é indiscutível a mudança da legislação pelas diversos entes federados. Há que se observar que a legislação atual já é complicada e que está em andamento a reforma tributária, ainda não internalizada nos estados e municípios."/>
        <s v=" Implementação da rede privativa de comunicação da administração pública federal;_x000a__x000a_4.1.2.      Prestação de apoio e suporte às políticas públicas de conexão à internet em banda larga para universidades, centros de pesquisa, escolas, hospitais, postos de atendimento, telecentros comunitários e outros pontos de interesse público;_x000a__x000a_4.1.3.      Provisão de infraestrutura e de redes de suporte a serviços de telecomunicações prestados por empresas privadas, pelos Estados, pelo Distrito Federal, pelos Municípios e por entidades sem fins lucrativos;_x000a__x000a_4.1.4.      Prestação de serviço de conexão à internet em banda larga para usuários finais, apenas em localidades onde inexista oferta adequada daqueles serviços."/>
        <s v="O Plano Estratégico da Telebras, na perspectiva Aprendizado e Crescimento, tem como Objetivo Estratégico 2 - Dispor das Competências Requeridas, visando contribuir para o alcance o presente objetivo, bem como, contribuir para alavancar o processo de Treinamento e Desenvolvimento da Telebras justifica-se a contratação do presente treinamento. _x000a__x000a_2.2. A contratação do curso de formação em Treinamento e Desenvolvimento é essencial para desenvolver as competências exigidas do profissional de T&amp;D"/>
        <s v="Para manter os equipamentos em condições de operação seguindo as especificações do fabricante é necessária a atuação das equipes de operação e manutenção do Segmento Solo do SGDC. Eventualmente essas atuações resultam na troca de equipamentos e/ou componentes._x000a__x000a_ A fim de alcançar e manter os níveis de serviços comprometidos com seus clientes e parceiros, bem como manter a alta qualidade dos serviços prestados pelo SGDC, a Gerência Engenharia e Operações de Satélite (GEOS) identificou a necessidade de adequação da quantidade de unidades sobressalentes com o objetivo de evitar a descontinuidade dos serviços de comunicação satelital, por meio das estações terrestres de acesso (gateways) do SGDC."/>
        <s v="A demanda tem caráter imediata devido à necessidade de disponibilidade para pronto atendimento de potenciais falhas dos produtos instalados para atendimento de emergência de calamidade no RS onde há 54 terminais T3SAT disponíveis para uso, com quase sua totalidade já instalada e as demais unidades aguardando disponibilidade de transporte para instalação."/>
        <s v="Evento para atualização profissional em relação às novas tendências, tecnologias e melhores práticas nos campos de gestão de dados, documentos e informações. "/>
        <s v="Conforme o Regimento Interno da TELEBRAS, art. 25, inciso XII, compete à Gerência de Logística fornecer atividade de suporte e de infraestrutura física necessária à realização das atribuições da TELEBRAS._x000a__x000a_As películas protetoras proporcionam maior controle na filtragem de raios ultravioleta e consequente auxílio no equilíbrio térmico, redução de energia do uso de ar condicionado, aumento da resistência dos vidros, evitando que se despedace e espalhe diversos fragmentos., maior segurança, conforto, climatização e privacidade para colaboradores e clientes._x000a__x000a_Nesse sentido, há a necessidade da prestação desse serviço uma vez que irá atender demandas da TELEBRAS, contribuindo para conservação do local de trabalho, conforto térmico, economia de energia e conferir mais privacidade ao ambiente."/>
        <s v="O CONARH 2024, promovido pela ABRH - Associação Brasileira de Recursos Humanos, considerada uma instituição representativa e mobilizadora, é um congresso de referência no Brasil e no mundo. A participação no Congresso, que abordará temas como enfrentamento de crises, perspectivas do futuro do trabalho, educação, criatividade, diversidade, entre outros, será crucial para o desenvolvimento de ações de gestão de pessoas na Telebras, focadas na superação dos desafios do trabalho e na utilização das competências emergentes no cenário atual. Espera-se que a aquisição desses conhecimentos contribua para a proposição de práticas de gestão de pessoas alinhadas com os desafios contemporâneos."/>
        <s v="O Seminário Nacional de TIC para a Gestão Pública – SECOP – é o principal encontro de tecnologia para Governo do País, com presença maciça de representantes de TIC das esferas Federal, Estadual e Municipal e principalmente com as Empresas de Processamento de Dados de todo o país (conhecidas como PRODs) – com cerca de 700 participantes por edição, o SECOP se posiciona como gerador de tendências e discussões sobre TIC pública: são 2 dias inteiros de networking, novas ideias e produtos, com foco na qualidade do serviço prestado ao cidadão, que é um dos focos da Telebras."/>
        <s v="O treinamento tem  como objetivo capacitar, atualizar e certificar os novos membros indicados e eleitos  nas ações de formação e/ou condução de trabalhos da CIPAA (Gestão 2024/2025), em atendimento ao currículo básico dos componentes da referida comissão,  previsto pela Norma Regulamentadora nº 05"/>
        <s v="O curso visa qualificar profissionais para liderarem as áreas de governança corporativa, capazes de assegurar a adoção das melhores práticas nas organizações e, desta forma, também contribuir para um ambiente de negócios mais ético e sustentável._x000a__x000a_O curso permitirá uma imersão em temas de governança corporativa e instigará os participantes a solucionar problemas e desafios comuns ao cotidiano dos Governance Officers por meio de atividades práticas, cujas vivências em aula demandarão habilidades não só técnicas como comportamentais. "/>
        <s v="A controladoria é um apoio essencial no processo decisório das empresas, permitindo uma visão clara das operações financeiras e seu impacto no desempenho empresarial. Desenvolvido por professores e pesquisadores da FGV, o curso alia tradição acadêmica e práticas de mercado, preparando profissionais para enfrentar os desafios contemporâneos."/>
        <s v="O 25º Congresso IBGC - Cultura de Governança e os Desafios do Brasil representa uma valiosa  oportunidade para para a Telebras,  tendo vista que os indicados para participarem do congresso IBGC são Conselheiros de Administração, Conselheiros Fiscais e Membros do Comitê de Auditoria Estatutário (COAUD) da Telebras, que atuam nos respectivos conselhos da empresa. Esses profissionais poderão aprofundar seus conhecimentos em Governança Corporativa, além de participar de um ambiente de debate e troca de experiências com especialistas renomados e demais participantes, contribuindo para o fortalecimento das práticas de governança na Telebras."/>
        <s v="Amparados pela legislação trabalhista, os empregados que desempenham atividades com exposição a riscos específicos foram designados para este pedido de capacitação estão lotados na GEOS e GMP e, conforme análise de documentos ocupacionais emitidos pela empresa de Segurança do Trabalho contratada pela TELEBRAS, é imprescindível que realizem os treinamentos relacionados às NRs 06, 10, 12, 20 e 35."/>
        <s v="Oficialização de demanda para renovação dos recursos de numeração, composto pelo bloco de endereços IP (Internet Protocol) e pelo número de sistema autônomo (Autonomous System Number - ASN), para rede de comunicação de dados baseada em protocolo IP/MPLS (Internet Protocol / Multi-Protocol Label Switching"/>
        <s v="Implementação da rede privativa de comunicação da administração pública federal;_x000a_Prestação de apoio e suporte às políticas públicas de conexão à internet em banda larga para universidades, centros de pesquisa, escolas, hospitais, postos de atendimento, telecentros comunitários e outros pontos de interesse público;_x000a_ Provisão de infraestrutura e de redes de suporte a serviços de telecomunicações prestados por empresas privadas, pelos Estados, pelo Distrito Federal, pelos Municípios e por entidades sem fins lucrativos;_x000a_ Prestação de serviço de conexão à internet em banda larga para usuários finais, apenas em localidades onde inexista oferta adequada daqueles serviços."/>
        <s v=" Implementação da rede privativa de comunicação da administração pública federal;_x000a_ Prestação de apoio e suporte às políticas públicas de conexão à internet em banda larga para universidades, centros de pesquisa, escolas, hospitais, postos de atendimento, telecentros comunitários e outros pontos de interesse público;_x000a_Provisão de infraestrutura e de redes de suporte a serviços de telecomunicações prestados por empresas privadas, pelos Estados, pelo Distrito Federal, pelos Municípios e por entidades sem fins lucrativos;_x000a_Prestação de serviço de conexão à internet em banda larga para usuários finais, apenas em localidades onde inexista oferta adequada daqueles serviços."/>
        <s v="O presente documento dá início ao processo de contratação de empresa para prestação de serviços técnicos e fornecimento de equipamentos destinados a compor a solução para implantação do Centro de Operação de Serviços da Rede Via Satélite (COS-VSAT) e do Centro de Operação de Serviços de Rede Terrestre (COS-REDE).A contratação pretendida tem por objetivo, respeitada a isonomia entre os LICITANTES, selecionar a proposta mais vantajosa para a Administração e promover o desenvolvimento nacional, garantindo a boa qualidade dos equipamentos e serviços de empresas comprometidas com o desenvolvimento do país e a custos mais reduzidos, contribuindo para o fortalecimento dos vários segmentos da economia brasileira e para a diminuição dos gastos._x000a__x000a_3.7  Para a implantação do COS-VSAT e do COS-REDE, a TELEBRAS já tem disponível toda a infraestrutura básica para receber e instalar todos os equipamentos de forma correta e segura para o bom funcionamento e desempenho do serviço que será prestado ao país._x000a__x000a_3.8  O Centro de Operação de Serviços da Rede Via Satélite (COS-VSAT) e o Centro de Operação de Serviços de Rede Terrestre (COS-REDE), serão instalados no edifício do Centro de Operações Espaciais - Principal - COPE-P da TELEBRAS, em Brasília/DF, com o objetivo de integrar as atividades de gerenciamento da rede VSAT e as atividades de gerenciamento de operações de redes e serviços da rede terrestre da TELEBRAS."/>
        <s v="A contratação justifica-se  pelo atendimento ao Decreto n° 9.612/18 que dispõe sobre políticas públicas de telecomunicações, onde a Telebras tem o papel de apoiar às políticas públicas de conexão à Internet em banda larga, prover a infraestrutura de redes de suporte a serviços de telecomunicações prestados por empresas privadas, pelos Estados, pelo Distrito Federal, pelos Municípios e por entidades sem fins lucrativos, prestar serviço de conexão à internet em banda larga para usuários finais em localidades onde inexista oferta adequada daqueles serviços, além de outras atribuições. "/>
        <s v="O objeto a ser contratado consiste em aquisição de peças de infraestrutura associadas a fontes retificadoras e sistema de CFTV, sobressalentes necessários à manutenibilidade da Planta da Rede Nacional de Telecomunicações, consistindo em peças, partes ou subpartes de equipamentos integrantes das Estações de Telecomunicações."/>
        <s v="Implementação da rede privativa de comunicação da administração pública federal; Prestação de apoio e suporte às políticas públicas de conexão à internet em banda larga para universidades, centros de pesquisa, escolas, hospitais, postos de atendimento, tele centros comunitários e outros pontos de interesse público; Provisão de infraestrutura e de redes de suporte a serviços de telecomunicações prestados por empresas privadas, pelos Estados, pelo Distrito Federal, pelos Municípios e por entidades sem fins lucrativos; e"/>
        <s v="A TELEBRAS tem se empenhado na aquisição de tecnologias compatíveis com a complexidade imposta pela sua área de atuação, para manter uma vantagem competitiva e suprir suas necessidades. Em 2022 a TELEBRAS adquiriu certificados digitais SSL com validade de 2 (dois) anos para os seus serviços, e com isso, no ano de 2024, uma nova aquisição será necessária para manter a validação e segurança dos serviços disponibilizados através da WEB._x000a__x000a_O Certificado digital SSL faz parte do escopo desta contratação, ele é o instrumento que possibilita oferecer um serviço de conexão segura, assim provendo um caminho criptografado seguro entre o cliente e os serviços de internet, especialmente aqueles que realizam trânsito de informações sensíveis com os serviços WEB da TELEBRAS."/>
        <s v="Consta amplamente explanada no Processo de Aquisição Nº TLB-PRO-2023/00355 a motivação da aquisição e cabe agora a elaboração de Contrato em atendimento ao inicialmente previsto, de forma que a motivação desta Nota Técnica é permitir o prosseguimento da Contratação prevista no Processo inicial."/>
        <s v=" Consta amplamente explanada no Processo de Aquisição Nº TLB-PRO-2023/00355 a motivação da aquisição e cabe agora a elaboração de Contrato em atendimento ao inicialmente previsto, de forma que a motivação desta Nota Técnica é permitir o prosseguimento da Contratação prevista no Processo inicial."/>
        <s v="2.1 A Telebras, sociedade de economia mista vinculada ao Ministério das Comunicações, trabalha para democratizar o acesso à tecnologia da informação e comunicação no Brasil. Com o lançamento do Satélite Geoestacionário de Defesa e Comunicações Estratégicas (SGDC) em 2017 a companhia passou a oferecer cobertura de internet em todo território nacional, sendo a única empresa de telecomunicações brasileira capaz de oferecer banda larga a todos os munícipios do Brasil._x000a__x000a_2.2 Para que a empresa consiga fornecer o serviço de internet em todo o território nacional, é necessária uma ampla infraestrutura de solo para processar o sinal de internet e transmiti-lo ao SGDC na banda de frequência Ka (enlace direto). Da mesma forma, os equipamentos de solo devem receber os sinais de RF enviados pelo SGDC e processá-los para completar o enlace reverso de comunicação dos usuários, localizados nas coberturas dos beams do SGDC. A infraestrutura de solo da Telebras, para transmitir e receber os sinais do SGDC, possui 5 antenas gateways, localizadas nas capitais de Brasília, Campo Grande, Florianópolis, Rio de Janeiro e Salvador. Em adição, há 8 estações fixas de monitoração de sinal do SGDC, com capacidade de receber sinais de monitoração e transmitir sinais de teste ao satélite. Estas estão localizadas nos municípios de Assis-SP, Boa Vista-RR, Guarulhos-SP, Piripiri-PI, Rio Branco-AC, São José de Piranhas-PB, São Mateus-ES e Vilhena-RO."/>
        <s v="2.1. A TELEBRAS, vinculada ao Ministério das Comunicações, é a empresa estatal que conecta o serviço público ao cidadão. Somos uma empresa mista, de capital aberto, que fornece soluções de telecomunicações com atuação nacional e o propósito de levar conectividade em alta capacidade a todas as localidades do país, promovendo as políticas públicas de inclusão digital do Estado e atende às demandas de soluções em serviços de conexão para a Administração Pública. Fazemos isso por meio de uma rede óptica de alta resiliência de 32 mil km e da cobertura em todo território nacional do Satélite Geoestacionário de Defesa e Comunicações Estratégicas (SGDC) cujo papel é essencial para a universalização da banda larga no Brasil._x000a__x000a_2.2. Além do seu papel social, a TELEBRAS atua também estimulando o desenvolvimento do mercado de telecomunicações ao fornecer infraestrutura para internet banda larga aos provedores regionais, o que estimula as economias regionais e fomenta a concorrência no setor de telecomunicações. A TELEBRAS atua no atendimento aos Provedores Regionais e a Pontos de Interesse Público do Governo Federal._x000a__x000a_2.3. Devido a evolução tecnológica existente no mercado de Tecnologia da Informação, os equipamentos de microinformática entram em defasagem de forma muito dinâmica motivo pelo qual foi estabelecido no PDTI a substituição trienal dos equipamentos de forma a não prejudicar a execução dos trabalhos."/>
        <s v="2.1. O Brasil é um dos maiores países em extensão territorial do planeta e ainda é carente no que diz respeito a infraestrutura e redes de comunicações. Diante dessa realidade e com o escopo de atender aos seus objetivos sociais e de defesa, o Governo Federal, por meio do Decreto nº 7.769, de 28 de junho de 2012, dispôs sobre a gestão do planejamento, da construção e do lançamento do SGDC;_x000a__x000a_2.2. O Projeto SGDC é considerado de alta relevância para o Governo brasileiro, tendo em vista a sua importância para a sociedade, no que diz respeito aos programas de inclusão digital e de universalização do acesso à banda larga, e para o Estado brasileiro, no tocante às comunicações militares;_x000a__x000a_2.3. O satélite foi construído, lançado e operacionalizado com a aplicação de um elevado investimento público e deve ser preservado ao longo de toda a sua vida útil;"/>
        <s v="De acordo com o artigo 56 do Regimento Interno da Telebras, a Gerência de Integridade, Riscos, Conformidade e Controle Interno tem a responsabilidade de gerir as atividades normativas e operacionais relacionadas à gestão de riscos, ao controle interno, à conformidade, integridade e transparência. Esta gerência é também incumbida de elaborar, propor e coordenar a implementação e atualização de normas destinadas à prevenção da corrupção e à promoção da transparência, da ética e da integridade._x000a__x000a_2.2. Além disso, a Gerência de Integridade, Riscos, Conformidade e Controle Interno tem o dever de gerir o Sistema Normativo da Telebras, bem como de acompanhar as alterações na legislação e nas normas vigentes no setor de atuação da Telebras._x000a__x000a_2.3. Diante disso, se faz desejável a contratação de um sistema de consulta de normas técnicas brasileiras, com o objetivo de apoiar a Gerência em suas atividades, contribuindo com a conformidade, integridade e a adoção de boas práticas no desempenho de suas funções."/>
        <s v="1.1 O serviço de recepção é considerado essencial para o bom funcionamento da Telebras, pois visa receber pessoas na entrada principal da empresa. Esta entrada é a primeira medida de controle para monitorar o fluxo de pessoas, assim como, evitar o acesso de terceiros estranhos à empresa. Ademais, são os profissionais da recepção que atendem as chamadas telefônicas externas e repassam aos empregados, anotam recados, orientam e encaminham o público em geral, inclusive autoridades; de modo que a interrupção deste serviço comprometeria o andamento das atividades e a segurança da Telebras._x000a__x000a_1.2 Desse modo, tendo em vista a solicitação de rescisão por parte da atual empresa contratada (mediante o ofício nº TLB-AUT-2023/21801), a proximidade do encerramento do atual contrato justifica a pretensa contratação para, assim, garantir a continuidade da prestação desse serviço classificado como essencial."/>
        <s v=" Enfim, destaca-se que esta contratação está alinhada com o Plano Estratégico da companhia, representando uma materialização do valor &quot;valorização do capital humano&quot; previsto no Mapa Estratégico da Companhia disponível em https://www.telebras.com.br/conheca-a-telebras/plano-estrategico/. Destaca-se que o objetivo dessa contratação é promover a transformação do PCR atual da Telebras em um instrumento de valorização dos empregados da empresa, melhorando continuamente a estrutura de carreira e remuneração. Dessa forma, busca-se fortalecer a empresa e prepará-la para enfrentar desafios futuros de maneira mais eficiente."/>
        <s v="2.1.1 Os serviços de limpeza, higienização e conservação diária são considerados essenciais para o bom funcionamento da empresa, uma vez que proporcionam um ambiente de trabalho salubre a todos os colaboradores, de modo que a interrupção desse serviço pode comprometer a saúde de pessoas e a higienização das instalações físicas da sede da TELEBRAS. Ademais, as rotinas limpeza e higienização continuam sendo consideradas como medidas preventivas eficazes contra a disseminação da COVID-19 no ambiente laboral._x000a__x000a_2.1.2 Desse modo, tendo em vista a proximidade de encerramento da vigência do contrato atual do referido serviço (31/08/2023), a pretensa contratação justifica-se para garantir a continuidade da prestação desse serviço classificado como essencial._x000a__x000a_2.1.3 Os serviços a serem contratados são de natureza continuada e se enquadram nos pressupostos do Decreto 9.507, de 21 de setembro de 2018, constituindo-se em atividades materiais acessórias, instrumentais ou complementares à área de competência legal do órgão licitante, não inerentes às categorias funcionais abrangidas pelo seu respectivo plano de cargos."/>
        <s v="3.1. A Telebras é uma sociedade de economia mista exploradora de Serviços de Comunicações Multimídia (SCM). A empresa tem como foco o fornecimento de internet para provedores regionais e governo em geral._x000a__x000a_3.2. Como forma de fazer frente aos índices de inadimplência, a Telebras necessita de instrumentos adicionais além dos já disponíveis para possibilitar o recebimento de valores não pagos pelos clientes._x000a__x000a_3.3. Desta forma, objetivando municiar a área de arrecadação da Gerência Financeira e Orçamentária de meios para o atendimento às ações de cobrança, faz-se necessária a contratação de uma empresa especializada em serviço de proteção de crédito._x000a__x000a_ "/>
        <s v="Diante do reduzido quadro de pessoal na Telebras e da relevância de se alcançar os resultados almejados no Programa de Gestão do Conhecimento, a contratação de uma empresa de consultoria se torna essencial. O conhecimento especializado e a experiência que uma consultoria pode oferecer  são fundamentais para orientar e impulsionar o desenvolvimento e evolução das ações do programa, visando alcançar resultados estratégicos da Telebras. Ao trazer uma perspectiva externa e imparcial, a consultoria pode identificar lacunas, propor soluções inovadoras e implementar melhores práticas de gestão do conhecimento de forma ágil e eficiente. Essa contratação não apenas otimizará os recursos existentes, mas também acelerará a obtenção de resultados tangíveis, garantindo o sucesso a longo prazo do programa."/>
        <s v="Atendimento das demandas oriundas do Decreto nº 9.612, de 17/12/2018, que instituiu em seu art. 12 as atribuições da Telebras como sendo: Implementação da rede privativa de comunicação da administração pública federal."/>
        <s v="A governança corporativa busca gerar valor de forma sustentável para a organização, seus acionistas e a sociedade, baseando-se em princípios, normas, estruturas e processos que promovem a direção e o controle das atividades da organização. A incorporação de boas práticas de governança corporativa na administração pública favorece transparência, equidade, accountability e responsabilidade social, além de harmonizar os interesses de todos os envolvidos."/>
        <s v="A contratação justifica-se pelo atendimento ao Decreto n° 9.612/18 que dispõe sobre políticas públicas de telecomunicações, onde a Telebras tem o papel de apoiar às políticas públicas de conexão à Internet em banda larga, prover a infraestrutura de redes de suporte a serviços de telecomunicações prestados por empresas privadas, pelos Estados, pelo Distrito Federal, pelos Municípios e por entidades sem fins lucrativos, prestar serviço de conexão à internet em banda larga para usuários finais em localidades onde inexista oferta adequada daqueles serviços, além de outras atribuições. "/>
        <s v="O presente contrato tem por objeto a contratação de empresa especializada na prestação de serviços de Copeiragem e Garçonaria, com fornecimento de materiais, equipamentos e utensílios de copa, para atender as necessidades da sede da TELEBRAS, mediante o fornecimento de mão de obra exclusiva."/>
        <s v="O Programa de Estágio, por meio da contratação de Agente de Integração de Estágio, é ato educativo que visa à preparação para o trabalho produtivo do estudante, agregando-lhe complementação do ensino, experiência, vivência em grupo, como também, no âmbito da TELEBRAS, o exercício de colaborar na formação do futuro profissional, integrando conhecimento e prática, dando efetividade à política pública de inserção social, estabelecida pela Lei nº 11.788/2008, em seu 1º artigo:_x000a__x000a_Art. 1º (...) § 2º O estágio visa ao aprendizado de competências próprias da atividade profissional e à contextualização curricular, objetivando o desenvolvimento do educando para a vida cidadã e para o trabalho."/>
        <s v="contratação de empresa, para fazer recrutamento e seleção de 1 (um) candidato para compor o Comitê de Auditoria Estatutário (COAUD), tendo em vista o término do mandato da senhora Glauben Teixeira de Carvalho"/>
        <s v="A aquisição em questão justifica-se pela necessidade de substituição das cadeiras que compõem o mobiliário atual da sede da TELEBRAS, as quais estão em uso há aproximadamente dez anos e apresentam desgastes e danos naturais do uso."/>
        <s v="A impressão de documentos ainda é uma atividade necessária para o bom andamento das atividades da TELEBRAS, portanto é importantíssimo que a sede, COPE-S e COPE-P disponham de equipamentos sempre em boas condições de funcionamento, buscando assim a economicidade de recursos orçamentários na aquisição de peças e insumos que poderiam não ser utilizados, e evitar o desperdício de recursos humanos na realização de diversas licitações especificas para cada peça ou insumos a serem utilizados."/>
        <s v="A utilização de cartões visita com logotipo e demais dados que identificam o profissional e o departamento em que trabalha, promovem a presença e o consequente fortalecimento da imagem daquele nos diversos ambientes em que são utilizados. A aquisição de cartões de visita para uso pelos representantes dos colaboradores da Telebras, reflete uma maior eficácia na comunicação com os interessados que com eles contatam, ou desejam contatar, seja por meio telefônico, ou virtual, proporcionando resultados positivos nas relações interpessoais. Assim sendo, faz-se necessária a contratação de serviço especializada na confecção de cartões de visita físicos, uma vez que a Telebras não dispõe dos equipamentos e materiais adequados para realização da produção in loco."/>
        <s v="Estes serviços visam manter em perfeitas condições de uso os equipamentos que integram o sistema de prevenção de incêndio da Telebras, em atendimento às normas vigentes, atentando-se apara as especificações e quantidades instaladas na sede desta Sociedade e, para a validade dos procedimentos de recarga constantes de suas etiquetas."/>
        <s v="O objetivo deste documento é detalhar o estudo técnico realizado pela Gerência de Planejamento e Controle e registrado nas Notas Técnicas de Planejamento (NTP), preparando para o processo licitatório, desenvolvendo o documento PROJETO BÁSICO e seus anexos, que irão compor o processo licitatório."/>
        <s v="Esta  contrataÁ„o  est·  alinhada  ao  Plano Plurianual  (PPA)  2024 – 2027  do  Governo  Federal  que  estabelece,  de  forma regionalizada, as diretrizes, os objetivos e as metas da administraÁ„o p ̇blica para as despesas de capital e outras delas decorrentes, e para as relativas aos programas de duraÁ„o continuada."/>
        <s v="Diante do exposto, ficou comprovado que a contratação em tela irá auxiliar no desenvolvimento da área de Controladoria, e trará inúmeros benefícios para a Telebras. Esta capacitação será realizada pela Fundação Getúlio Vargas, que é uma referência em educação executiva no país, com profissionais de notória especialização, especialistas em suas respectivas áreas de atuação, em face de suas formações técnicas"/>
        <s v="Contratação de empresa especializada em assessoria esportiva, organização, apoio técnico, logístico e estrutural para participação da equipe de colaboradores da Telebras, em caminhada (3km) e corrida (5km e  10km), em comemoração ao aniversário de 52 anos da empresa e a Semana Interna de Prevenção de Acidentes do Trabalho (SIPAT). A participação dos colaboradores será no evento Maratona Monumental de Brasília/DF, no dia 23 de novembro de 2024, com largada prevista para às 18h,  na Esplanada dos Ministérios, em Brasília/DF."/>
        <s v="Visando atender a despesa com a contratação da capacitação &quot;Credenciamento na lei N° 14.133/2021 e na Lei N ° 13.303/2016 - Com enfoque aplicado&quot;"/>
        <s v="Visando atender a despesa com a contratação da capacitação “Governança Corporativa para Empresas Estatais”"/>
        <s v="Visando atender a despesa com a Contratação do treinamento na “Trilha: Tecnologia celular 4G – LTE”"/>
        <s v="Visando atender a despesa com a contratação da capacitação “Formação de Facilitadores em Modelagem da Cultura Organizacional”"/>
        <s v="Visando atender a despesa com a contratação da capacitação &quot;Técnica em Comunicação e Produção de Conteúdo para Gestão do Conhecimento&quot;"/>
        <s v="Visando atender a despesa com a contratação da capacitação “Desenvolvimento de Talentos e Gestão de Carreiras”"/>
        <s v="Visando atender a despesa com a contratação da capacitação &quot;COBIT® 2019 Foundation&quot;"/>
        <s v="Visando atender a despesa com a contratação empresa para inscrição de 10 empregados, da GTI no curso &quot;DevOps Fundamentos&quot;. O curso será promovido pela TRAINNING Education Center (ornecedor:MINDWORKS -TECNOLOGIA E TREINAMENTO LTDA)"/>
        <s v="Visando atender a despesa com a contratação do Curso Relações com Investidores na prática: Completo, promovido pela Faculdade FIPECAFI, realizado no formato on-line, totalizando 40h/a"/>
        <s v="Visando atender a despesa com a contratação da capacitação &quot;Business Intelligence usando o Microsoft Power BI - Analyzing Data with Power BI - MS - PL-300 (Power BI)&quot;"/>
        <s v="Visando atender a despesa com a contratação da capacitação “Formação Cientista de Dados com Big Data - Data Science &amp; Analytics - Python Foundation + Python Aplicado a Big Data + Big Data Hadoop + Business Intelligence usando o Microsoft Power BI”"/>
        <s v="Visando atender a despesa com a contratação da capacitação &quot;Treinamento Executivo Risk University Imersão&quot;"/>
        <s v="Visando atender a despesa com a contratação do treinamento e certificação CISSP - Certified Information Systems Security Professional"/>
        <s v="O objeto da contratação, qual seja: Contratação de empresa especializada para fornecimento de solução de ampliação da maturidade de ambiente computacional, envolvendo operação de Central de Suporte Técnico (Service Desk), com registro e acompanhamento de serviços especializados, aferidos e remunerados exclusivamente por Acordos de Nível de Serviço (ANS), visando prover a TELEBRAS de manutenção e evolução da saúde operacional de sua infraestrutura, conforme especificação do termo de referência, enquadra-se na categoria de bens e serviços comuns, de que trata a Lei nº 14.133/2021, o Decreto nº 3.555/2000 e o art. 93, § 1° do Regulamento de Licitações da Telebras por possuir padrões de desempenho e características gerais e específicas usualmente encontradas no mercado, podendo ser licitado por meio da modalidade Pregão, conforme item 5 do Termo de Referência nº TLB-REF-2024/00114-A, de 23 de setembro de 2024."/>
        <s v="Em um cenário empresarial cada vez mais competitivo, a realização de eventos corporativos de sucesso é fundamental para fortalecer a marca, engajar colaboradores e prospectar novos clientes. No entanto, a organização de um evento demanda tempo, expertise e recursos que muitas vezes as empresas não possuem internamente. É nesse contexto que a contratação de uma empresa especializada em eventos corporativos se torna uma solução estratégica."/>
        <s v="Visando implantação, integração, treinamento e suporte técnico de plataforma DNS (Domain Name Service), a fim de ampliar o sistema atualmente existente na Rede da Telebras aproveitando as licenças perpetua atualmente existentes"/>
        <s v="Contratação de soluções de infraestrutura de rede de dados e telecomunicações, serviços de conectividade de rede local com fio (LAN) e sem fio (WLAN), proteção de redes com equipamentos do tipo Firewall UTM NGFW, solução de controle de acesso à rede, solução de identificação e autenticação centralizada, solução de plataforma SD-WAN, além de solução de múltiplo fator de autenticação (Token MFA), bem como os serviços necessários para sua implementação e operação,"/>
        <s v="A contratação de empresa especializada para prestação de serviços continuados de transporte, com fornecimento de veículos e mão de obra de motoristas habilitados, por possuir padrões de desempenho e características gerais e específicas, usualmente encontradas no mercado."/>
        <s v="A contratação de empresa especializada para prestação de serviços continuados de serviço de carregadores na Sede da Telebras, por possuir padrões de desempenho e características gerais e específicas, usualmente encontradas no mercado"/>
        <s v=" A contratação dos serviços descritos no objeto se faz necessária para tornar mais eficientes as atualizações e as pesquisas feitas pelos colaboradores da Gerência de Contabilidade (13 usuários), Gerência de Gestão de Pessoas (2 usuários), Gerência Jurídica (2 usuários), Gerência Jurídica (2 usuários), Gerência de Integridade, Riscos, Conformidade e Controle Interno (2 usuários), Gerência de Auditoria Interna (3 usuários) e Assessoria de Relações com Investidores (2 usuários) sobre temas de natureza fiscal, trabalhista/previdenciária, contábil/auditoria e societária."/>
        <s v="Faz-se imprescindível relembrar que, toda a suíte de softwares de produtividade instaladas em máquinas da Telebras hoje, Office 2016, está atingindo seu fim de suporte (End-of-Support ou End-of-Life – EOL). O primeiro marco do término de suporte da Microsoft para tais ferramentas ocorre em 2025, momento em que serão encerradas quaisquer atualizações, momento em que o conjunto de softwares, Microsoft Word, Excel, PowerPoint, Outlook, na versão adquirida pela Telebras deixarão de receber também atualizações de segurança. Pelos riscos associados a segurança da informação de se manter softwares instalados na rede de TI da Telebras que não tenham atualizações de segurança, recomenda-se, tecnicamente, que a partir da referida data seja realizada a desinstalação definitiva dos softwares."/>
        <s v="As contratações propostas nos itens 2.1 a 2.9 visam dotar a Telebras de suporte preventivo e corretivo, prevendo a reposição de peças e atendimento de forma on-site/remota, tanto para falhas como para informações de suporte da operação. Ao contratar os serviços, a empresa manterá as características atuais dos equipamentos, com a consequente extensão de sua vida útil, substituição de hardwares defeituosos e atualização de softwares. Naqueles casos em a solução  "/>
        <s v="Aquisição de impressora de cartão PVC/crachá para a Telebras.Aquisição de impressora de cartão PVC/crachá para a Telebras."/>
        <s v="para a contratação de escritório de advocacia de notória especialização em matéria tributária em atendimento à deliberação da 1786ª Reunião Ordinária da Diretoria Executiva da Telebras"/>
        <s v="A contratação justifica-se pela necessidade de garantir aos colaboradores da TELEBRAS a possibilidade de deslocamento a serviço da empresa, para que possam exercer suas funções institucionais, no âmbito do DF e entorno."/>
        <s v="Desde o mês de agosto de 2024 foram verificadas manchas escuras e úmidas nas lajes da Cabine de Medição e da Subestação (Anexo 1)._x000a_Após as constatações das manchas escuras e úmidas nas lajes, a empresa de manutenção especializada contratada pela Telebras realizou algumas intervenções pontuais nas estruturas com o intuito de inibir e minimizar as infiltrações, entretanto, desde janeiro de 2025, foram verificados pontos de infiltrações próximos ao Painel de Média Tensão e Transformador da Cabine de Medição."/>
        <s v="Diante dessa realidade e com o compromisso em atender aos seus objetivos sociais e institucionais, a TELEBRAS, sociedade de economia mista vinculada ao Ministério das Comunicações, incumbida de implementar o Programa Nacional de Banda Larga - PNBL, verificou que a comunicação por meio de satélites mostrou-se vantajosa, certamente a única possibilidade de integração de vasta parcela da população aos meios de comunicações, com qualidade e modicidade."/>
        <s v=" A TELEBRAS, vinculada ao Ministério das Comunicações, é a empresa estatal que conecta o serviço público ao cidadão. Somos uma empresa mista, de capital aberto, que fornece soluções de telecomunicações com atuação nacional e o propósito de levar conectividade em alta capacidade a todas as localidades do país, promovendo as políticas públicas de inclusão digital do Estado e atende às demandas de soluções em serviços de conexão para a Administração Pública. Fazemos isso por meio de uma rede óptica de alta resiliência de 32 mil km e cobertura em todo território nacional do Satélite Geoestacionário de Defesa e Comunicações Estratégicas (SGDC), cujo papel é essencial para a universalização da banda larga no Brasil."/>
        <s v="Para alcançar esse objetivo, uma das estratégias da Diretoria Comercial, através da Gerência de Planejamento e Marketing (GPM), se alicerçou, ao longo desses anos, na gestão de ações promocionais em eventos, seguidos de estratégias segmentadas de marketing para vendas, percebendo benefícios insubstituíveis da interação humana à sua marca e ao seu negócio que só os eventos presenciais permitem, tais como: iniciativas de natureza negocial e consolidação da ampliação de vendas; estabelecimento de confiança; construção de relacionamentos com públicos de interesse; promoção de networking; divulgação de produtos e serviços; consolidação de valor à marca institucional; refinamento de seu mailing de prospecção sobre potenciais clientes e fornecedores, público influenciador e formador de opinião; intercâmbio de ideias e parcerias."/>
        <s v="Este projeto foi executado com vultosos recursos públicos a título de investimento, o qual necessita ser preservado ao longo da vida útil do satélite"/>
        <s v="TED desenvolvido pelo Ministério das Comunicações para atendimento ao Projeto Infovia Maranhão, com o atendimento a 7 municípios, levando conectividade às prefeituras e outros órgãos destes locais; "/>
        <s v="TED desenvolvido pelo MinistÈrio das ComunicaÁıes para atendimento ao Projeto Infovia Maranh„o, com o atendimento a 18 municÌpios, levando conectividade ‡s prefeituras e outros Ûrg„os destes locais;"/>
        <s v="O contrato de manutenção pretendido visa mitigar riscos e manter o alinhamento com o negócio, além de observar boas práticas, recomendações e normativos nacionais. De modo a manter o nível requerido do uso, se faz necessário que os equipamentos possuam ampla cobertura contra falhas e desgastes normais ao uso, além de possuir cobertura para upgrades de software lançados pelo fabricante. Isso garantirá ainda a continuidade das operações em casos de defeito neste hardware."/>
        <s v="O Conselho de Administração da Telebras, em sua 514ª reunião ordinária, bem como a Diretoria executiva, em sua 1806ª REDIR, aprovaram a contratação de escritório de advocacia para, em face do resultado adverso do processo Administrativo Sancionador nº RJ2018/5158 (Processo Eletrônico SEI19957.007825/2018-11), instaurado pela Comissão de Valores Mobiliários (CVM), ingressar com processo na esfera civil, a fim de obter a reversão da decisão proferida, limitado o valor máximo de até R$ 50.000,00(cinquenta mil reais)"/>
        <s v="O seguro de responsabilidade civil para administradores (Seguro D&amp;O - Director and Officers) é um instrumento capaz de resguardar diretores e conselheiros de eventuais perdas financeiras pessoais decorrentes de atos, não dolosos,  por estes praticados quando da administração da empresa. Trata-se de boa prática de mercado com a adesão de várias empresas estatais, estas sujeitas ao regramento legal Civil, mais especificamente o Direito Administrativo, vez que busca proteger os administradores em processos movidos em seu desfavor, em razão de atos regulares de sua gestão."/>
        <s v="Atendimento às demandas oriundas do projeto ao SGDC (Satélite Geoestacionário de Defesa e Comunicações Estratégicas) cujo objetivo é: Prover comunicações seguras para o sistema de defesa nacional e para as comunicações estratégicas do Governo; Promover o desenvolvimento socioeconômico do Brasil, proporcionando a todos os brasileiros um país conectado por meio da massificação da banda larga; Em 20 de julho de 2020 a TELEBRAS assinou com a NTT BRASIL COMÉRCIO E SERVIÇOS DE TECNOLOGIA LTDA a Ata de Registro de Preço nº TLB-ARP-2020/00010 para contratação de solução de rede de comunicação de dados baseada no Protocolo IP e MPLS, necessários ao processo de ampliação da capacidade de escoamento de tráfego dos roteadores de Edge, Outer, Peering e Reflector, suportando a expansão do tráfego IP atual e a demanda comercial prospectada.Os roteadores começaram a ser instalados na virada de 2020 para 2021. E juntamente com eles foram instalados os materiais de necessários a implantação do roteador como cabos Breakout que interligam as portas de 40Gbps dos roteadores Cisco ao DIO de Topo de RACK. Após quatro anos de sua instalação dos primeiros roteadores alguns destes cabos apresentaram problemas e precisam ser trocados pela equipe de manutenção da Telebras que não possuiu este material em estoque. Sendo necessário a aquisição destes cabos para compor o estoque da engenharia e dos centros de manutenção como sobressalente."/>
        <s v="Com o crescimento exponencial de novas formas e ferramentas para a prática de cibercrimes, a necessidade de continuidade do negócio e a evolução de ameaças das mais variadas espécies criam a necessidade de contratação de uma solução que proteja as informações dos órgãos e diminua os riscos de acesso indevido às mesmas. Dentro do contexto analisado, o firewall, o antivírus, a anti-bot, o IPS e o anti-spam são quesitos de segurança fundamentais, uma vez que regula o tráfego de dados entre redes distintas e impede a transmissão e recepção de informações a partir de acessos nocivos e impedem ataques de malware. A solução tecnológica objeto da contratação representa a camada de proteção de perímetro da rede de comunicação da Telebras. O atual cenário da Telebras tem como objetivo, a atualização com suporte e manutenção da solução de firewall existente da Telebras a fim de viabilizar o pleno exercício das atribuições estabelecidas no que se refere às demandas encaminhadas."/>
        <s v="A fim de alcançar e manter os níveis de serviços comprometidos com seus clientes e parceiros, bem como manter a alta qualidade dos serviços prestados pelo SGDC, as Gerências de Tecnologia e Soluções de Satélites (GTSS) e de Engenharia e Operações de Satélite (GEOS) identificaram a necessidade de adequação da quantidade de unidades sobressalentes com o objetivo de reduzir riscos de descontinuidades dos serviços de comunicação via satélite, por meio das estações terrestres de acesso (gateways) do SGDC."/>
        <s v="A contratação dos serviços de tradução da Telebras a requisitos legais e normativos, e traz benefícios em termos de eficácia, eficiência, efetividade, economicidade. Trazendo recursos humanos capacitados técnicos, diminuindo o tempo de atendimento e melhorando a qualidade na prestação do serviço. "/>
        <s v="Diante da relevância da temática e da limitação de recursos humanos disponíveis, a contratação de uma consultoria especializada permitirá acelerar a implementação dessas práticas, com base em metodologias consolidadas e experiências bem-sucedidas em outros contextos organizacionais. Trata-se de uma iniciativa estratégica que reafirma o compromisso da Telebras com a melhoria contínua, a inovação e a valorização do conhecimento como ativo essencial à sua missão institucional."/>
        <s v="A infraestrutura de satélites HTS (High Throughput Satellite) é bastante complexa, envolvendo montante elevado de investimentos e alto grau de especialização - o que é demonstrado pelo reduzido número de empresas que fabricam, integram, lançam e operam satélites e seus equipamentos. O uso da banda Ka é muito recente no mundo e o SGDC, por enquanto, é o único satélite brasileiro que opera nessa banda com tecnologia HTS, com cobertura total do território nacional. Essa solução tecnológica é aceita mundialmente como uma das soluções mais apropriadas para a transmissão satelital em banda larga._x000a__x000a_2.7. Para garantir a operação continuada e integrada da Rede Satelital em Banda Ka, de modo a evitar falhas ou interrupções não programadas, restaurar rapidamente o sistema ou o equipamento defeituoso para o seu estado de funcionamento normal, é imprescindível que as ações de reparo dos equipamentos não sejam descontinuadas, mantendo a disponibilidade de pessoal especializado, instrumental, ferramental e itens sobressalentes, com as características e quantidades adequadas. Desta maneira, é necessária a contratação de empresa especializada para a execução de serviço de reparo dos equipamentos das Estações do SGDC;_x000a__x000a_2.8 Assim sendo, para garantir a operação continuada e integrada da Rede Satelital para suporte às políticas públicas do governo federal, faz-se necessária a contratação de empresa especializada no atendimento do objeto definido neste Projeto Básico"/>
        <s v="A infraestrutura de satélites HTS (High Throughput Satellite) é bastante complexa, envolvendo montante elevado de investimentos e alto grau de especialização - o que é demonstrado pelo reduzido número de empresas que fabricam, integram, lançam e operam satélites e seus equipamentos. O uso da banda Ka é muito recente no mundo e o SGDC, por enquanto, é o único satélite brasileiro que opera nessa banda com tecnologia HTS, com cobertura total do território nacional. Essa solução tecnológica é aceita mundialmente como uma das soluções mais apropriadas para a transmissão satelital em banda larga.Para garantir a operação continuada e integrada da Rede Satelital em Banda Ka, de modo a evitar falhas ou interrupções não programadas, restaurar rapidamente o sistema ou o equipamento defeituoso para o seu estado de funcionamento normal, é imprescindível que as ações de reparo dos equipamentos não sejam descontinuadas, mantendo a disponibilidade de pessoal especializado, instrumental, ferramental e itens sobressalentes, com as características e quantidades adequadas. Desta maneira, é necessária a contratação de empresa especializada para a execução de serviço de reparo dos equipamentos das Estações do SGDC;Assim sendo, para garantir a operação continuada e integrada da Rede Satelital para suporte às políticas públicas do governo federal, faz-se necessária a contratação de empresa especializada no atendimento do objeto definido neste Projeto Básico"/>
        <s v="Dessa forma, é imperiosa a previsão de cadastro reserva de colaboradores para os 04 (quatro) anos seguintes ao vencimento do Concurso 2021, tendo em vista a impossibilidade de reposição de empregados após o prazo fatal ou o fim do cadastro reserva de aprovados no Concurso vigente, visando evitar a evasão de conhecimento, o atraso ou a impossibilidade de atendimento às políticas públicas demandadas à Telebras, bem como o risco da continuidade do negócio."/>
        <s v="Por força da sua atuação em todas as unidades da federação a manutenção dos endereços fiscais atualizados nas citadas Unidades Federadas, é condição indispensável para que sejam mantidas as inscrições estaduais nos Cadastros Fiscais dos respectivos estados e Capitais. Além disso, a Telebras tem outras obrigações com os fiscos estaduais, tais como: cadastro fiscal, entrega de documentos fiscais, recebimento notificações e outras exigências._x000a_Diante disso, resta claro que a Telebras necessita cumprir as exigências das Secretarias de Fazenda Estaduais, no sentido de manter um domicilio fiscal, com o mínimo de infraestrutura, para receber notificações, entregar as obrigações fiscais acessórias nos prazos legais e demais atos inerentes ao bom desempenho das funções correlatas."/>
        <s v="A presente necessidade se apresenta para possuir acesso a ferramental que permita o desempenho das atividades de produção de peças publicitárias de comunicação interna e de comunicação externa, bem como a manutenção do portal da Telebras na internet/intranet e as atividades de produção de materiais que comporão os eventos internos das áreas conforme documento de oficialização TLB-NTE-2025/00086 encaminhado pela Assessoria de Comunicação da Telebras (ASCOM)."/>
        <s v="O acesso a informações atualizadas sobre os temas afetos à governança corporativa é essencial para que a GIRC e a Diretoria de Governança possam realizar com competência suas atribuições institucionais. O IBGC, como maior referência em governança corporativa no país, permite, por meio da  associação, acesso ao conhecimento atualizado e a troca de experiências e boas práticas entre empresas que estão buscando, como a Telebras, elevar sua capacidade geração de valor por meio da governança, valorizando a ética, a sustentabilidade e a transparência."/>
        <s v="As estações gateways / teleportos de Florianópolis e Salvador estão em operação oficial desde maio de 2018, localizadas nos seguintes logradouros:  Gateway (Data Center) / Teleporto de Florianópolis - SC, situada no Destacamento do Controle do Espaço Aéreo (DCEA-FL), no Aeroporto Hercílio Luz, Avenida Santos Dumont S/No - Florianópolis - SC;  Gateway (Data Center) / Teleporto de Salvador - BA, situada na Área Militar da Base Aérea de Salvador, na Avenida Tenente Frederico Gustavo dos Santos S/No - São Cristóvão - Salvador - BA._x000a_As infraestruturas críticas implantadas nas Estações de Acesso (Gateways) compõem um Data Center de nível TIER III que engloba: sistema de geração de energia, sistema de energia ininterrupta (Uninterruptible Power Supply - UPS), bancos de baterias, chaves estáticas (STS), chaves de transição automáticas (ATS), subestação de média tensão, painéis de média e baixa tensão, sistema de ar condicionado com condicionadores de precisão - Self Contained (SCP) -, controle de acesso, circuito fechado de televisão (CFTV), cabeamento estruturado, dentre outros. Esses equipamentos são essenciais para a manutenção da alta confiabilidade e disponibilidade exigida pelos equipamentos satelitais que atendem ao projeto SGDC e equipamentos terrestres das salas Point of Presence (PoP)."/>
        <s v="Atualmente, o serviço de Central de Atendimento-Contact Center da TELEBRAS é executado pela empresa TELLUS INFORMÁTICA E TELECOMUNICAÇÕES LTDA, vencedora do processo licitatório TLB-PRO-2022/00164, detentora do Contrato nº 2022/00064, de 27/10/2022._x000a__x000a_No momento da renovação contratual para o período de 30 meses, o fornecedor Tellus manifestou que não havia interesse na renovação, pois deixará de atuar no segmento de Contact Center, propondo uma renovação para o período de apenas seis meses._x000a__x000a_ Na 1814ª Reunião de Diretoria-REDIR, realizada em 19/03/2025 foi apresentado pela GOC o pleito de renovação para o prazo apontado pelo fornecedor  e determinado o início de licitação para a contratação de novo fornecedor."/>
        <s v="A Telebras tem se empenhado em atender o princípio da eficiência para que a atividade administrativa sejaexercida com presteza, primando pela adoção dos critérios legais e morais necessários para a melhor utilizaçãopossível dos recursos já adquiridos, de maneira a evitar-se desperdícios e garantir-se a melhor e mais eficienteutilização de tecnologias compatíveis com a complexidade imposta por sua área de atuação."/>
        <s v="O presente Contrato tem por objeto a contratação de empresa especializada na prestação de serviços de saúde do trabalho, visando à execução do Programa de Controle Médico de Saúde Ocupacional (PCMSO) e demais atividades correlatas, em atendimento à SEDE e COPE-P (DF), COPE-S (RJ) e Escritório Regional de Belém (PA)."/>
        <s v="Atendimento das demandas oriundas do Decreto nº 9.612, de 17 de dezembro de 2018, que instituiu em seu art.12 as atribuições da Telebras como sendo: Implementação da rede privativa de comunicação da administração pública federal;Prestação de apoio e suporte às políticas públicas de conexão à internet em banda larga para universidades, centros de pesquisa, escolas, hospitais, postos de atendimento, tele centros comunitários e outros pontos de interesse público;Provisão de infraestrutura e de redes de suporte a serviços de telecomunicações prestados por empresas privadas, pelos Estados, pelo Distrito Federal, pelos Municípios e por entidades sem fins lucrativos; e  Prestação de serviço de conexão à internet em banda larga para usuários finais, apenas em localidades onde inexista oferta adequada daqueles serviços."/>
        <s v="Os constantes ataques cibernéticos, a necessidade de continuidade do negócio e a evolução de ameaças das mais variadas espécies criam a necessidade de contratação de uma solução que proteja as informações da Telebras e diminua os riscos de acesso indevido às mesmas.4.2 A solução que deverá ser adquirida será responsável pela proteção de perímetro, controle e inspeção do tráfego da rede de DCN (Data Control Network) e rede da Sede da Telebras, supervisionando tanto o tráfego externo, entre redes, quanto o tráfego interno, que flui entre usuários, dispositivos e aplicações. Adicionalmente, o Firewall de DCN é responsável por viabilizar a segurança do acesso ao plano de controle da rede de telecomunicaçõe"/>
        <s v="Com o fim do contrato de locação TLB-PRO-2020 / 00827, definido para 17/03/2026, a Telebras é obrigada a efetuar a manutenção da sala deixando as mesmas condições de aquisição.  O Plano de Cargas e Salários da TELEBRAS não prevê a atividade de Eletricista e Pintor no quadro de funcionários da empresa e por essa razão a contratação em tela se faz necessária. "/>
        <s v="O Governo Federal, por intermédio do Decreto nº 7.769, de 28 de junho de 2012, dispôs sobre a gestão do planejamento, da construção e do lançamento do Satélite Geoestacionário de Defesa e Comunicações Estratégicas - SGDC, onde a Telebras ficou incumbida no desenvolvimento do sistema de Satélite Geoestacionário de Defesa e Comunicações Estratégicas (SGDC)"/>
        <s v=" Considerando as atribuições da Telebras e sua atuação em âmbito nacional, a contratação de serviços de locação de escritórios empresariais, com suporte de recepção e mensageria é necessária para possibilitar o cumprimento de obrigações legais e fiscais perante os fiscos estaduais, incluindo a manutenção das inscrições estaduais nos cadastros fiscais, recebimento de notificações, entrega de documentos fiscais e atendimento a outras exigências normativas"/>
        <s v=" O presente Termo Aditivo tem por objeto: (i) a prorrogação da vigência do Contrato por mais 12 (doze) meses; e (ii) o acréscimo quantitativo do objeto, limitado a 25% (vinte e cinco por cento) do valor global originalmente pactuado, com a correspondente atualização do valor global do Contrato."/>
        <s v=" presente Contrato tem por objeto a aquisição de 125 (cento e vinte e cinco) cadeiras ergonômicas a serem utilizadas pelos colaboradores que exercerão suas atividades funcionais na nova sede da TELEBRAS"/>
        <s v="Solicitação da Diretoria Administrativo-Financeira e de Relações com Investidores para contratação de Solução de Assembleias Digitais."/>
        <s v="O presente contrato tem por objeto a contratação dos serviços de atualização de versão, manutenção, suporte técnico e implantação de melhorias do software GUEPARDO integrado ao ambiente ERP/SAP Telebras."/>
        <s v=" O objeto a ser contratado trata-se de sobressalente necessário à manutenibilidade da Planta da Rede Nacional de Telecomunicações, consistindo em peças, partes ou subpartes de equipamentos integrantes das Estações de Telecomunicações"/>
        <s v="Contratação de serviços de escrituração e gerenciamento de ações escriturais."/>
        <s v="Contratação de solução para aluguel de veículos sem motorista em todo o território nacional."/>
        <s v="sobressalentes de infraestrutura associadas ao GMG - Grupo Motor Gerador, das estações de telecomunicações da Rede Nacional de Telecomunicações da TELEBRAS."/>
        <s v="Motivação essencial dessa Contratação é garantir o atendimento da obrigação de fornecimento de sobressalentes de equipamentos DWDM por parte da TELEBRAS S/A no Contrato TLB-CTR-2022/00067 e, por conseguinte, garantir o cumprimento dos Objetivos Estratégicos da TELEBRAS S/A, já explanadas no item “2” do Termo de Referência TLB-REF-2022/00146 do referido Contrato TLB-CTR-2022/00067. "/>
        <s v="A contratação emergencial de auditoria pela Telebras em 2026 se justifica porque o contrato vigente não poderia ser prorrogado além do limite legal de 25% previsto na Lei nº 13.303/2016. O novo aditivo cobre apenas o 1º trimestre, deixando os demais períodos sem auditoria, o que gera risco de descumprimento de prazos e obrigações legais. Como companhia aberta listada na B3, a Telebras deve cumprir o art. 177, §3º da Lei nº 6.404/76, que exige auditoria independente registrada na CVM. Assim, a dispensa de licitação é medida transitória para garantir a continuidade em 2026, enquanto se prepara licitação definitiva pelo RELIC para os anos seguintes."/>
        <s v="A demanda trata da atualização da identidade visual da Telebras em razão da adoção do novo logotipo. Os adesivos serão aplicados no Gabinete da Presidência, espaço de representação institucional, garantindo padronização e alinhamento à nova marca. A substituição dos materiais assegura a correta aplicação da identidade visual e fortalece a imagem institucional perante visitantes, autoridades e parceiros."/>
        <s v="Contratação de seguro contra perdas e danos para o Satélite Geoestacionário de Defesa e Comuni-cação (SGDC) em Órbita, durante o período de 12 (doze) meses. "/>
        <s v="é necessária a contratação de instalação de Rede de proteção/ Rede anti-pássaro para a Estação de Acesso/ Gateway Campo Grande visando: impedir o acesso de pombos, evitar a formação de ninhos, reduzir a sujeira e contaminação e manter o ambiente ventilado."/>
        <s v="-"/>
        <s v="Para a contratação de empresa especializada para fornecimento de suporte e garantia dos switches Dell da TELEBRAS, com fornecimento integral de peças de reposição" u="1"/>
        <s v="Uma cadeira ergonômica garante que os usuários mantenham-se em uma posição adequada durante suas atividades, prevenindo lesões e conferindo mais conforto. Nos escritórios, é comum que os profissionais fiquem sentados por longos períodos para realizar suas funções, isto faz com que seja necessário a disponibilização de um mobiliário adequado._x000a__x000a_Cadeiras ergonômicas ajudam a evitar problemas na coluna. De acordo com a NR-17, que trata de ergonomia, alguns dos elementos que devem ser levados em consideração para garantir a boa postura, são: o suporte para lombar, os apoios ajustáveis para os braços, as opções de regulagem de altura do assento e a estabilidade._x000a__x000a_Apesar de a Telebras ter feito um processo de compra recente por ata de registro de preços, TLB-PRO-2022/02311, observou-se que ainda existem cadeiras a serem trocadas, especialmente nas salas de reuniões e no COPE-P, as quais foram adquiridas há quase 10 anos e apresentam desgastes naturais do uso. _x000a__x000a_Os benefícios esperados com essa aquisição é trazer mais conforto para os colaboradores em suas atividades cotidianas. " u="1"/>
        <s v="Para a contratação de empresa  especializada  para  fornecimento  de  suporte  e  garantia  dos  servidores  Dell  da TELEBRAS, com fornecimento integral de peças de reposição, por um período até o fim de vida de suporte" u="1"/>
        <s v="Contratação de empresa especializada para fornecimento de serviço de valor adicionado (SVA) de Backup as a Service (BaaS)" u="1"/>
        <s v="Contratação de empresa especializada para fornecimento de serviço de valor adicionado (SVA) de Backup as a Service (BaaS) - Dell Technologies" u="1"/>
      </sharedItems>
    </cacheField>
    <cacheField name="Nº COMPRA _x000a_(RATIFICAÇÃO)" numFmtId="49">
      <sharedItems containsBlank="1" containsMixedTypes="1" containsNumber="1" containsInteger="1" minValue="0" maxValue="0" count="121">
        <n v="0"/>
        <s v="TLB-TRM-2024/00160"/>
        <s v="TLB-TRM-2024/00169"/>
        <s v="TLB-TRM-2024/00183"/>
        <s v="TLB-TRM-2024/00195_x000a_"/>
        <s v="TLB-TRM-2024/00242"/>
        <s v="TLB-TRM-2024/00239"/>
        <s v="TLB-TRM-2024/00275"/>
        <s v="TLB-TRM-2024/00150"/>
        <s v="TLB-TRM-2024/00154"/>
        <m/>
        <s v="TLB-TRM-2024/00311"/>
        <s v="TLB-TRM-2024/00297"/>
        <s v="TLB-TRM-2024/00335"/>
        <s v="TLB-TRM-2024/00422"/>
        <s v="TLB-TRM-2024/00449"/>
        <s v="TLB-TRM-2024/00467"/>
        <s v="TLB-TRM-2024/00496"/>
        <s v="TLB-TRM-2024/00505"/>
        <s v="TLB-TRM-2024/00503"/>
        <s v="TLB-TRM-2024/00520"/>
        <s v="TLB-TRM-2024/00546"/>
        <s v="TLB-TRM-2024/00640"/>
        <s v="TLB-TRM-2024/00651"/>
        <s v="TLB-TRM-2024/00671"/>
        <s v="TLB-TRM-2024/00700"/>
        <s v="TLB-TRM-2023/02025"/>
        <s v="TLB-TRM-2024/00251"/>
        <s v="TLB-TRM-2024/00253"/>
        <s v="18/2023"/>
        <s v="23"/>
        <s v="TLB-NTE-2024/00021"/>
        <s v="TLB-NTE-2024/00018"/>
        <s v="TLB-TRM-2023/01852"/>
        <s v="TLB-NTE-2024/00103"/>
        <s v="TLB-NTE-2024/00102"/>
        <s v="TLB-AUT-2024/01286"/>
        <s v="TLB-AUT-2023/28264"/>
        <s v="TLB-TRM-2024/00220"/>
        <s v="TLB-TRM-2024/00075"/>
        <s v="TLB-AUT-2024/06164"/>
        <s v="TLB-AUT-2024/07610"/>
        <s v="TLB-NTE-2024/00386"/>
        <s v="TLB-TRM-2024/00254"/>
        <s v="TLB-TRM-2024/00397"/>
        <s v="n/d"/>
        <s v=" TLB-TRM-2024/00363 "/>
        <s v="TLB-TRM-2023/01884"/>
        <s v="TLB-TRM-2023/01332"/>
        <s v="TLB-TRM-2023/00047"/>
        <s v="TLB-TRM-2024/00320_x000a_"/>
        <s v="TLB-TRM-2024/00284"/>
        <s v="TLB-TRM-2024/00511"/>
        <s v="TLB-TRM-2024/00295"/>
        <s v="TLB-TRM-2024/00619"/>
        <s v="TLB-TRM-2024/00479"/>
        <s v="TLB-TRM-2024/00734"/>
        <s v="TLB-TRM-2023/01502"/>
        <s v="TLB-TRM-2024/00576"/>
        <s v="TLB-TRM-2024/00758"/>
        <s v="TLB-TRM-2024/00676"/>
        <s v="TLB-TRM-2024/00749"/>
        <s v="TLB-TRM-2024/01250"/>
        <s v="TLB-TRM-2024/00586"/>
        <s v="TLB-TRM-2024/00740"/>
        <s v="TLB-TRM-2024/00773"/>
        <s v="TLB-TRM-2024/00857"/>
        <s v="TLB-TRM-2024/00917"/>
        <s v="TLB-TRM-2024/00922"/>
        <s v="TLB-TRM-2024/00918"/>
        <s v="TLB-TRM-2024/00973"/>
        <s v="TLB-TRM-2024/01035"/>
        <s v="TLB-TRM-2024/00993"/>
        <s v="TLB-TRM-2024/01030"/>
        <s v="TLB-TRM-2024/01047"/>
        <s v="TLB-TRM-2024/01024"/>
        <s v="TLB-TRM-2024/01048"/>
        <s v="TLB-TRM-2024/01049"/>
        <s v="TLB-TRM-2024/01180"/>
        <s v="TLB-TRM-2024/00637"/>
        <s v="TLB-TRM-2024/00614"/>
        <s v="TLB-TRM-2024/00677"/>
        <s v="TLB-TRM-2025/00113"/>
        <s v="TLB-TRM-2024/00514"/>
        <s v="TLB-TRM-2024/00754"/>
        <s v="TLB-TRM-2025/00119"/>
        <s v="TLB-TRM-2025/00290"/>
        <s v="TLB-TRM-2025/00058"/>
        <s v="TLB-TRM-2025/00047"/>
        <s v="TLB-TRM-2025/00064"/>
        <s v="TLB-TRM-2025/00209"/>
        <s v="TLB-TRM-2024/00032"/>
        <s v="TLB-TRM-2025/00252"/>
        <s v="TLB-TRM-2025/00032"/>
        <s v="TLB-TRM-2025/00337"/>
        <s v="TLB-TRM-2025/00341"/>
        <s v="TLB-TRM-2025/00373"/>
        <s v="TLB-TRM-2025/00340"/>
        <s v="TLB-TRM-2025/00485"/>
        <s v="TLB-TRM-2025/00414"/>
        <s v="TLB-TRM-2025/00228"/>
        <s v="TLB-TRM-2025/00437"/>
        <s v="TLB-TRM-2025/00201"/>
        <s v="TLB-PRB-2023/00022"/>
        <s v="TLB-TRM-2025/00258"/>
        <s v="TLB-TRM-2025/00705"/>
        <s v="TLB-TRM-2025/00785"/>
        <s v="TLB-TRM-2025/00831"/>
        <s v="TLB-TRM-2025/00514"/>
        <s v="TLB-TRM-2025/00394"/>
        <s v="TLB-TRM-2025/00098"/>
        <s v="TLB-RMS-2025/00179"/>
        <s v="TLB-TRM-2025/00417"/>
        <s v="TLB-TRM-2025/00858"/>
        <s v="TLB-TRM-2026/00033"/>
        <s v="TLB-TRM-2025/00589"/>
        <s v="TLB-TRM-2026/00178"/>
        <s v="TLB-TRM-2026/00228"/>
        <s v="TLB-TRM-2026/00010"/>
        <s v="TLB-TRM-2026/00506"/>
        <s v="-"/>
      </sharedItems>
    </cacheField>
    <cacheField name="ANO AUTOR" numFmtId="0">
      <sharedItems containsBlank="1" containsMixedTypes="1" containsNumber="1" containsInteger="1" minValue="2023" maxValue="2025"/>
    </cacheField>
    <cacheField name="TIPO DO CONTRATO" numFmtId="49">
      <sharedItems containsBlank="1" count="5">
        <s v="Contrato de Adesão"/>
        <s v="Empenho"/>
        <s v="Contrato"/>
        <s v="Termo de Adesão"/>
        <m/>
      </sharedItems>
    </cacheField>
    <cacheField name="NATUREZA DO CONTRATO" numFmtId="49">
      <sharedItems containsBlank="1" count="5">
        <s v="COMPARTILHAMENTO"/>
        <s v="ADMINISTRATIVO"/>
        <s v="ENERGIA "/>
        <s v="LOCAÇÃO "/>
        <m/>
      </sharedItems>
    </cacheField>
    <cacheField name="Nº CONTRATO" numFmtId="49">
      <sharedItems containsBlank="1" count="185">
        <s v="1085612695/2024"/>
        <s v="2024NE000566"/>
        <s v="2024NE000575"/>
        <s v="2024NE000576"/>
        <s v="2024NE000601"/>
        <s v="2024NE000606"/>
        <s v="2024NE000628"/>
        <s v="2024NE000632"/>
        <s v="2024NE000653"/>
        <s v="2024NE000661"/>
        <s v="2024NE000669"/>
        <s v="2024NE000670"/>
        <s v="2024NE000682"/>
        <s v="2024NE000684"/>
        <s v="2024NE000688"/>
        <s v="2024NE000689"/>
        <s v="2024NE000711"/>
        <s v="2024NE000817"/>
        <s v="2024NE000831"/>
        <s v="2024NE000840"/>
        <s v="2024NE000869"/>
        <s v="2024NE000885"/>
        <s v="2024NE000893"/>
        <s v="2024NE000895"/>
        <s v="2024NE000896"/>
        <s v="2024NE000909"/>
        <s v="2024NE000915"/>
        <s v="2024NE000971"/>
        <s v="2024NE000972"/>
        <s v="2024NE000985"/>
        <s v="2024NE001046"/>
        <s v="TLB-AUT-2024/02455"/>
        <s v="TLB-AUT-2024/02815"/>
        <s v="TLB-AUT-2024/04886"/>
        <s v="TLB-CTR-2024/00002"/>
        <s v="TLB-CTR-2024/00004"/>
        <s v="TLB-CTR-2024/00005"/>
        <s v="TLB-CTR-2024/00006"/>
        <s v="TLB-CTR-2024/00007"/>
        <s v="TLB-CTR-2024/00009"/>
        <s v="TLB-CTR-2024/00010"/>
        <s v="TLB-CTR-2024/00011"/>
        <s v="TLB-CTR-2024/00019"/>
        <s v="TLB-CTR-2024/00020"/>
        <s v="TLB-CTR-2024/00023"/>
        <s v="TLB-CTR-2024/00024"/>
        <s v="TLB-CTR-2024/00026"/>
        <s v="TLB-CTR-2024/00032"/>
        <s v="TLB-CTR-2024/00035"/>
        <s v="TLB-CTR-2024/00036"/>
        <s v="TLB-CTR-2024/00040"/>
        <s v="TLB-CTR-2024/00044"/>
        <s v="TLB-CTR-2024/00045"/>
        <s v="TLB-CTR-2024/00048"/>
        <s v="TLB-CTR-2024/00049"/>
        <s v="TLB-CTR-2024/00051"/>
        <s v="TLB-CTR-2024/00053"/>
        <s v="TLB-CTR-2024/00056"/>
        <s v="TLB-CTR-2024/00057"/>
        <s v="TLB-CTR-2024/00060"/>
        <s v="TLB-CTR-2024/00063"/>
        <s v="TLB-CTR-2024/00064"/>
        <s v="TLB-CTR-2024/00065"/>
        <s v="TLB-CTR-2024/00072"/>
        <s v="TLB-CTR-2024/00081"/>
        <s v="TLB-CTR-2024/00083"/>
        <s v="TLB-CTR-2024/00084"/>
        <s v="TLB-CTR-2024/00086"/>
        <s v="TLB-CTR-2024/00090"/>
        <s v="TLB-CTR-2024/00091"/>
        <s v="TLB-CTR-2024/00092"/>
        <s v="TLB-CTR-2024/00093"/>
        <s v="TLB-CTR-2024/00095"/>
        <s v="TLB-CTR-2024/00096"/>
        <s v="2024NE000946"/>
        <s v="2024NE001059"/>
        <s v="2024NE001078"/>
        <s v="2024NE001081"/>
        <s v="2024NE001084"/>
        <s v="2024NE001085"/>
        <s v="2024NE001082"/>
        <s v="2024NE001088"/>
        <s v="2024NE001105"/>
        <s v="2024NE001098"/>
        <s v="2024NE001103"/>
        <s v="2024NE001108"/>
        <s v="2024NE001104"/>
        <s v="2024NE001110"/>
        <s v="2024NE001109"/>
        <s v="2024NE001137"/>
        <s v="TLB-CTR-2025/00003"/>
        <s v="TLB-CTR-2025/00007"/>
        <s v="TLB-CTR-2025/00004"/>
        <s v="TLB-CTR-2025/00011"/>
        <s v="TLB-ASS-2024/11008"/>
        <s v="TLB-CTR-2025/00013"/>
        <s v="TLB-CTR-2025/00014"/>
        <s v="TLB-CTR-2025/00017"/>
        <s v="TLB-CTR-2025/00021"/>
        <s v="TLB-CTR-2025/00022"/>
        <s v="TLB-CTR-2025/00023"/>
        <s v="TLB-CTR-2025/00024"/>
        <s v="TLB-CTR-2025/00026"/>
        <s v="TLB-CTR-2025/00029"/>
        <s v="TLB-CTR-2025/00034"/>
        <s v="TLB-CTR-2025/00037"/>
        <s v="TLB-CTR-2025/00039"/>
        <s v="TLB-CTR-2025/00047"/>
        <s v="TLB-CTR-2025/00048"/>
        <s v="TLB-CTR-2025/00049"/>
        <s v="TLB-CTR-2025/00041"/>
        <s v="TLB-CTR-2025/00042"/>
        <s v="TLB-CTR-2025/00057"/>
        <s v="TLB-CTR-2025/00058"/>
        <s v="TLB-CTR-2025/00059"/>
        <s v="TLB-CTR-2025/00061"/>
        <s v="TLB-CTR-2025/00062"/>
        <s v="TLB-CTR-2025/00064"/>
        <s v="TLB-CTR-2025/00066"/>
        <s v="TLB-CTR-2025/00089"/>
        <s v="TLB-CTR-2025/00043"/>
        <s v="TLB-CTR-2025/00044"/>
        <s v="TLB-CTR-2025/00099"/>
        <s v="TLB-CTR-2025/00100"/>
        <s v="TLB-CTR-2025/00103"/>
        <s v="TLB-CTR-2025/00112"/>
        <s v="TLB-CTR-2025/00114"/>
        <s v="TLB-CTR-2025/00020"/>
        <s v="TLB-CTR-2025/00090"/>
        <s v="TLB-CTR-2025/00111"/>
        <s v="TLB-CTR-2025/00113"/>
        <s v="TLB-CTR-2025/00115"/>
        <s v="TLB-CTR-2025/00116"/>
        <s v="TLB-CTR-2025/00117"/>
        <s v="TLB-CTR-2026/00009"/>
        <s v="TLB-CTR-2026/00010"/>
        <s v="TLB-CTR-2026/00005"/>
        <s v="TLB-CTR-2026/00015"/>
        <s v="TLB-CTR-2026/00018"/>
        <s v="TLB-CTR-2026/00019"/>
        <s v="TLB-CTR-2026/00023"/>
        <s v="TLB-CTR-2026/00024"/>
        <s v="TLB-CTR-2026/00025"/>
        <s v="TLB-CTR-2026/00029"/>
        <s v="TLB-CTR-2026/00030"/>
        <s v="TLB-CTR-2026/00033"/>
        <s v="TLB-CTR-2026/00036"/>
        <s v="TLB-CTR-2026/00042"/>
        <s v="TLB-CTR-2026/00044"/>
        <s v="TLB-CTR-2026/00047"/>
        <s v="TLB-CTR-2026/00045"/>
        <s v="TLB-CTR-2026/00049"/>
        <s v="TLB-CTR-2026/00052"/>
        <s v="TLB-CTR-2026/00053"/>
        <s v="TLB-CTR-2026/00054"/>
        <m/>
        <s v="TLB-CTR-2026/00048"/>
        <s v="TLB-CTR-2026/00051"/>
        <s v="TLB-CTR-2026/00057"/>
        <s v="TLB-CTR-2025/00101" u="1"/>
        <s v="TLB-CTR-2025/00045" u="1"/>
        <s v="TLB-CTR-2025/00046" u="1"/>
        <s v="TLB-ARP-2024/00001" u="1"/>
        <s v="TLB-CTR-2024/00080" u="1"/>
        <s v="TLB-CTR-2024/00085" u="1"/>
        <s v="TLB-ASS-2024/01004" u="1"/>
        <s v="TLB-CTR-2024/00070" u="1"/>
        <s v="TLB-CTR-2024/00071" u="1"/>
        <s v="TLB-CTR-2024/00073" u="1"/>
        <s v="TLB-CTR-2025/00010" u="1"/>
        <s v="TLB-CTR-2024/00074" u="1"/>
        <s v="TLB-CTR-2024/00075" u="1"/>
        <s v="TLB-CTR-2024/00076" u="1"/>
        <s v="TLB-CTR-2024/00077" u="1"/>
        <s v="TLB-CTR-2024/00078" u="1"/>
        <s v=" TLB-CTR-2024/00009" u="1"/>
        <s v="TLB-CTR-2024/00079" u="1"/>
        <s v="TLB-AUT-2024/01214" u="1"/>
        <s v="TLB-CTR-2025/00003 -  Pendente assinatura " u="1"/>
        <s v="TLB-CTR-2025/00001" u="1"/>
        <s v="TLB-CTR-2024/00067" u="1"/>
        <s v="TLB-CTR-2024/00068" u="1"/>
        <s v="TLB-CTR-2024/00069" u="1"/>
        <s v=" TLB-CTR-2024/00045" u="1"/>
        <s v="TLB-CTR-2025/00009" u="1"/>
      </sharedItems>
    </cacheField>
    <cacheField name="Arquivo do contrato" numFmtId="0">
      <sharedItems containsBlank="1" count="152">
        <s v="-"/>
        <s v="https://www.telebras.com.br/wp-content/uploads/2024/12/12.2024NE000566-ACCESS-INTELLIGENCE-LLC.pdf"/>
        <s v="https://www.telebras.com.br/wp-content/uploads/2024/12/7.2024NE000575-JMC-PRESTACAO-DE-SERVICOS-DIVERSOS-LTDA.pdf"/>
        <s v="https://www.telebras.com.br/wp-content/uploads/2024/12/8.2024NE000576-PIRES-SANTOS-COMERCIO-LTDA.pdf"/>
        <s v="https://www.telebras.com.br/wp-content/uploads/2024/12/14.2024NE000601-INLABS-CAPACITACAO-PROFISSIONAL-LTDA.pdf"/>
        <s v="https://www.telebras.com.br/wp-content/uploads/2024/12/11.2024NE000606-PRONTO-EVENTOS-TECNOLOGIA-E-INTEGRACAO-LTDA.pdf"/>
        <s v="https://www.telebras.com.br/wp-content/uploads/2024/12/13.2024NE000628-ATP-SPECIALS-BV.pdf"/>
        <s v="https://www.telebras.com.br/wp-content/uploads/2024/12/16.2024NE000632-ZENITE-INFORMACAO-E-CONSULTORIA-SA.pdf"/>
        <s v="https://www.telebras.com.br/wp-content/uploads/2024/12/17.2024NE000653-CENOFISCO-CENTRO-DE-CAPACITACAO-PROFISSIONAL-LTDA.pdf"/>
        <s v="https://www.telebras.com.br/wp-content/uploads/2024/12/4.2024NE000661-SMARTX-IMPORTACAO-E-COMERCIO-LTDA.pdf"/>
        <s v="https://www.telebras.com.br/wp-content/uploads/2024/12/9.2024NE000669-GRAFICA-E-EDITORA-FERNANDES-E-LIRA-LTDA.pdf"/>
        <s v="https://www.telebras.com.br/wp-content/uploads/2024/12/10.2024NE000670-BRASILIA-COMERCIO-ATACADISTA-DE-SUPRIMENTOS-DE-PAPELARIA-LTDA.pdf"/>
        <s v="https://www.telebras.com.br/wp-content/uploads/2024/12/44.2024NE000682-COMERCIAL-ALVORADA-DE-PRODUTOS-PARA-LIMPEZA-E-DESCARTAVEIS-LTDA.pdf"/>
        <s v="https://www.telebras.com.br/wp-content/uploads/2024/12/34.2024NE000684-IBET-INSTITUTO-BRASILEIRO-DE-ESTUDOS-TRIBUTARIOS.pdf"/>
        <s v="https://www.telebras.com.br/wp-content/uploads/2024/12/35.2024NE000711-INTEGRACAO-ESCOLA-DE-NEGOCIOS-LTDA.pdf"/>
        <s v="https://www.telebras.com.br/wp-content/uploads/2024/12/45.2024NE000817-SUBLIMA-BOLSAS-LTDA.pdf"/>
        <s v="https://www.telebras.com.br/wp-content/uploads/2024/12/32.2024NE000831-LEGACY-DISTRIBUIDORA-DE-INFORMATICA-E-ELETROELETRONICOS-LTDA.pdf"/>
        <s v="https://www.telebras.com.br/wp-content/uploads/2024/12/33.2024NE000840-CALCAM-COMERCIAL-DE-SUPRIMENTOS-DE-INFORMATICA-LTDA.pdf"/>
        <s v="https://www.telebras.com.br/wp-content/uploads/2024/12/36.2024NE000869-SEC-POWER-COMERCIAL-IMPORTADORA-E-EXPORTADORA-LTDA.pdf"/>
        <s v="https://www.telebras.com.br/wp-content/uploads/2024/12/40.2024NE000885-PS-Treinamento-Profissional-e-Consultoria-Empresarial-Ltda.pdf"/>
        <s v="https://www.telebras.com.br/wp-content/uploads/2024/12/38.2024NE000893-ROBSON-O-DE-SOUZA.pdf"/>
        <s v="https://www.telebras.com.br/wp-content/uploads/2024/12/42.2024NE000895-ASSOCIACAO-BRASILEIRA-DE-RECURSOS-HUMANOS.pdf"/>
        <s v="https://www.telebras.com.br/wp-content/uploads/2024/12/41.2024NE000896-ASSOCIACAO-BRASILEIRA-DE-ENTIDADES-ESTADUAIS.pdf"/>
        <s v="https://www.telebras.com.br/wp-content/uploads/2024/12/39.2024NE000909-Bioseg-Brasilia-Solucoes-em-Seguranca-e-Medicina-do-Trabalho-Ltda.pdf"/>
        <s v="https://www.telebras.com.br/wp-content/uploads/2024/12/43.2024NE000915-INSTITUTO-BRASILEIRO-DE-GOVERNANCA-CORPORATIVA.pdf"/>
        <s v="https://www.telebras.com.br/wp-content/uploads/2024/12/55.2024NE000971-FUNDACAO-GETULIO-VARGAS.pdf"/>
        <s v="https://www.telebras.com.br/wp-content/uploads/2024/12/56.2024NE000972-INSTITUTO-BRASILEIRO-DE-GOVERNANCA-CORPORATIVA.pdf"/>
        <s v="https://www.telebras.com.br/wp-content/uploads/2024/12/58.2024NE000985-Bioseg-Brasilia-Solucoes-em-Seguranca-e-Medicina-do-Trabalho-Ltda.pdf"/>
        <s v="https://www.telebras.com.br/wp-content/uploads/2024/12/59.2024NE001046-NP-Tecnologia-e-Gestao-de-Dados-Ltda.pdf"/>
        <s v="https://www.telebras.com.br/wp-content/uploads/2026/09/TLB-AUT-2024-02455_NUCLEO_DE_INFORMACAO_E_COORDENACAO_DO_PONTO_BR_-_NIC.BR_LGPD.pdf"/>
        <s v="https://www.telebras.com.br/wp-content/uploads/2026/09/DOCUMENTO_MICROTECNICA_INFORMATICA_LTDA_LGPD.pdf"/>
        <s v="https://www.telebras.com.br/wp-content/uploads/2026/09/DOCUMENTO_TRANSCOURIER_LTDA_LGPD.pdf"/>
        <s v="https://www.telebras.com.br/wp-content/uploads/2026/09/DOCUMENTO_INFOPLAN_TECNOLOGIA_COMERCIO_E_SERVICOS_-_LTDA_LGPD.pdf"/>
        <s v="https://www.telebras.com.br/wp-content/uploads/2024/12/18.TLB-CTR-202400006-HC-COMUNICACAO-DE-DADOS-LTDA.pdf"/>
        <s v="https://www.telebras.com.br/wp-content/uploads/2024/12/19.TLB-CTR-202400007-HC-COMUNICACAO-DE-DADOS-LTDA.pdf"/>
        <s v="https://www.telebras.com.br/wp-content/uploads/2026/09/DOCUMENTO_CERTISIGN_CERTIFICADORA_DIGITAL_S.A_LGPD.pdf"/>
        <s v="https://www.telebras.com.br/wp-content/uploads/2026/09/DOCUMENTO_INFOPLAN_TECNOLOGIA_COMERCIO_E_SERVICOS_LTDA_LGPD.pdf"/>
        <s v="https://www.telebras.com.br/wp-content/uploads/2024/12/20.TLB-CTR-202400011-SECPOWER-COMERCIAL-IMPORTADORA-EXPORTADORA-LTDA.pdf"/>
        <s v="https://www.telebras.com.br/wp-content/uploads/2026/09/TLB-CTR-2024-00019_INSTITUTO_DE_PESQUISAS_TECNOLOGICAS_DO_ESTADO_DESAO_PAULO_S-A_-_IPT_LGPD-1.pdf"/>
        <s v="https://www.telebras.com.br/wp-content/uploads/2026/09/TLB-CTR-2024-00020_GLOBAL_DISTRIBUICAO_DE_BENS_DE_CONSUMO_LTDA_LGPD-1.pdf"/>
        <s v="https://www.telebras.com.br/wp-content/uploads/2026/09/TLB-CTR-2024-00023_NEXVIA_COMERCIO_E_SERVICOS_DE_EQUIPAMENTOS_DE_TELECOMUNICACOES_LTDA_LGPD-1.pdf"/>
        <s v="https://www.telebras.com.br/wp-content/uploads/2026/09/DOCUMENTO_TARGET_ENGENHARIA_E_CONSULTORIA_LTDA_LGPD.pdf"/>
        <s v="https://www.telebras.com.br/wp-content/uploads/2024/12/23.TLB-CTR-202400026-G9-FACILITIES-LTDA.pdf"/>
        <s v="https://www.telebras.com.br/wp-content/uploads/2024/12/26.TLB-CTR-202400032-QUANTICA-EMPRESA-DE-CONSULTORIA-E-SERVICOS-LTDA.pdf"/>
        <s v="https://www.telebras.com.br/wp-content/uploads/2024/12/27.TLB-CTR-202400035-CENTRAL-SERVICOS-E-GESTAO-LTDA.pdf"/>
        <s v="https://www.telebras.com.br/wp-content/uploads/2026/09/TLB-CTR-2024-00036_CAMARA_DE_DIRIGENTES_LOJISTA_DO_DISTRITO_FEDERAL_-_CDL_DF_LGPD-1.pdf"/>
        <s v="https://www.telebras.com.br/wp-content/uploads/2025/02/28.1.TLB-CTR-202400040-IMPAKT-CONSULTORIA-SS-LIMITADA.pdf"/>
        <s v="https://www.telebras.com.br/wp-content/uploads/2026/09/DOCUMENTO_MEGA_INFRA_SOLUCOES_EM_INFRAESTRUTURA_LTDA_LGPD.pdf"/>
        <s v="https://www.telebras.com.br/wp-content/uploads/2024/12/29.-TLB-CTR-2024-00045-INSTITUTO-BRASILEIRO-DE-GOVERNANCA-CORPORATIVA-IBGC.pdf"/>
        <s v="https://www.telebras.com.br/wp-content/uploads/2026/09/DOCUMENTO_EMPRESA_REI_DE_OURO_MUDANCAS_E_TRANSPORTE_LGPD.pdf"/>
        <s v="https://www.telebras.com.br/wp-content/uploads/2026/09/DOCUMENTO_REAL_JG_FACILITIES_S-A_LGPD.pdf"/>
        <s v="https://www.telebras.com.br/wp-content/uploads/2026/09/TLB-CTR-2024-00051_KEYSIGHT_TECHNOLOGIES_MEDICAO_BRASIL_LTDA_LGPD-1.pdf"/>
        <s v="https://www.telebras.com.br/wp-content/uploads/2026/09/DOCUMENTO_KOVR_SEGURADORA_S.A_LGPD.pdf"/>
        <s v="https://www.telebras.com.br/wp-content/uploads/2026/09/TLB-CTR-2024-00056_ASSOCIACAO_BRASILEIRA_DE_ENTIDADES_ESTADUAIS_E_PUBLICAS_DE_TECNOLOGIA_DA_INFORMACAO_E_COMUNICACOES_ABEP_LGPD.pdf"/>
        <s v="https://www.telebras.com.br/wp-content/uploads/2026/09/TLB-CTR-2024-00057_REDE_NACIONAL_DE_APRENDIZAGEM_PROMOCAO_SOCIAL_E_INTEGRACAO_-_RENAPSI_LGPD-2.pdf"/>
        <s v="https://www.telebras.com.br/wp-content/uploads/2026/09/DOCUMENTO_MAPFRE_SEGUROS_GERAIS_S.A_LGPD.pdf"/>
        <s v="https://www.telebras.com.br/wp-content/uploads/2026/09/TLB-CTR-2024-00063_NACIONAL_ELETRONICA_E_TELECOMUNICACOES_LTDA_LGPD-1.pdf"/>
        <s v="https://www.telebras.com.br/wp-content/uploads/2024/12/53.TLB-CTR-202400064-CONVERGY-SERVICOS-E-CONTABILIDADE-LTDA.pdf"/>
        <s v="https://www.telebras.com.br/wp-content/uploads/2026/09/DOCUMENTO_GRIFON_DIGITAL_SERVICOS_LTDA_LGPD.pdf"/>
        <s v="https://www.telebras.com.br/wp-content/uploads/2026/09/TLB-CTR-2024-00072_AGENCIA_DE_INTEGRACAO_EMPRESA_ESCOLA_-_AGIEL_LGPD-1.pdf"/>
        <s v="https://www.telebras.com.br/wp-content/uploads/2024/12/60.TLB-CTR-2024-00081-DINAMICA-CONSULTORIA-E-SOLUCOES-EMPRESARIAIS-LTDA.pdf"/>
        <s v="https://www.telebras.com.br/wp-content/uploads/2026/09/DOCUMENTO_TECNO2000_INDUSTRIA_E_COMERCIO_LTDA_LGPD.pdf"/>
        <s v="https://www.telebras.com.br/wp-content/uploads/2026/09/DOCUMENTO_OTT_SERVICOES_GRAFICOS_LTDA_LGPD.pdf"/>
        <s v="https://www.telebras.com.br/wp-content/uploads/2025/02/62.TLB-CTR-202400090-PRIME-COMERCIO-E-SERVICOS-DE-EXTINTORES.pdf"/>
        <s v="https://www.telebras.com.br/wp-content/uploads/2026/09/DOCUMENTO_CLEMAR_ENGENHARIA_LTDA_LGPD.pdf"/>
        <s v="https://www.telebras.com.br/wp-content/uploads/2026/09/TLB-CTR-2024-00092_ADTK_COMERCIO_E_SERVICOS_DE_INFORMATICA_E_TELECOMUNICACOES_S.A_LGPD.pdf"/>
        <s v="https://www.telebras.com.br/wp-content/uploads/2026/09/TLB-CTR-2024-00093_3CORP_TECHNOLOGY_INFRAESTRUTURA_DE_TELECOM_LTDA_LGPD-1.pdf"/>
        <s v="https://www.telebras.com.br/wp-content/uploads/2025/02/66.TLB-CTR-202400095-ADTK-COM-E-SERV-INFORM-E-TELECOM.pdf"/>
        <s v="https://www.telebras.com.br/wp-content/uploads/2025/02/67.TLB-CTR-202400096-HC-COMUNICACAO-DE-DADOS-LTDA.pdf"/>
        <s v="https://www.telebras.com.br/wp-content/uploads/2025/02/68.2024NE000946-Fundacao-Getulio-Vargas.pdf"/>
        <s v="https://www.telebras.com.br/wp-content/uploads/2025/02/69.2024NE001059-MARCIA-GONCALVES-FARIA-ROSA.pdf"/>
        <s v="https://www.telebras.com.br/wp-content/uploads/2025/02/70.2024NE001078-ZENITE-INFORMACAO-E-CONSULTORIA-SA.pdf"/>
        <s v="https://www.telebras.com.br/wp-content/uploads/2025/02/71.2024NE001081-INSTITUTO-BRASILEIRO-DE-GOVERNANCA-CORPORATIV_1.pdf"/>
        <s v="https://www.telebras.com.br/wp-content/uploads/2025/02/72.2024NE001084-FUNDACAO-INSTITUTO-NACIONAL-DE-TELECOMUNICACO_2.pdf"/>
        <s v="https://www.telebras.com.br/wp-content/uploads/2025/02/73.2024NE001085-AKADEMIA-DE-TRANSFORMACAO-ORGANIZACIONAL-LTDA.pdf"/>
        <s v="https://www.telebras.com.br/wp-content/uploads/2025/02/74.2024NE001082-MARIANA-RODRIGUES-DE-LIMA_3.pdf"/>
        <s v="https://www.telebras.com.br/wp-content/uploads/2025/02/75.2024NE001088-BMEC-EDUCACIONAL-LTDA_4.pdf"/>
        <s v="https://www.telebras.com.br/wp-content/uploads/2025/02/76.2024NE001105-SINGULARES-TECNOLOGIA-DA-INFORMACAO-LTDA.pdf"/>
        <s v="https://www.telebras.com.br/wp-content/uploads/2025/02/77.2024NE001098-MINDWORKS-TECNOLOGIA-E-TREINAMENTO-LTDA_5.pdf"/>
        <s v="https://www.telebras.com.br/wp-content/uploads/2025/02/78.2024NE001103-FUNDACAO-INSTITUTO-DE-PESQUISAS-CONTABEIS-AT.pdf"/>
        <s v="https://www.telebras.com.br/wp-content/uploads/2025/02/79.2024NE001108-MINDWORKS-TECNOLOGIA-E-TREINAMENTO-LTDA.pdf"/>
        <s v="https://www.telebras.com.br/wp-content/uploads/2025/02/80.2024NE001104-MINDWORKS-TECNOLOGIA-E-TREINAMENTO-LTDA.pdf"/>
        <s v="https://www.telebras.com.br/wp-content/uploads/2025/02/81.2024NE001110-KPMG-ASSURANCE-SERVICES-LTDA.pdf"/>
        <s v="https://www.telebras.com.br/wp-content/uploads/2025/02/82.2024NE001109-ABTD-ASSOCIACAO-BRASILEIRA-DE-TREINAMENTO_6.pdf"/>
        <s v="https://www.telebras.com.br/wp-content/uploads/2025/02/83.2024NE001137-KA-SOLUTION-INFORMATICA-LTDA_7.pdf"/>
        <s v="https://www.telebras.com.br/wp-content/uploads/2026/09/DOCUMENTO_G4F_SOLUCOES_CORPORATIVAS_LTDA_LGPD.pdf"/>
        <s v="https://www.telebras.com.br/wp-content/uploads/2026/09/DOCUMENTO_EXEMPLUS_COMUNICACAO_E_MARKETING_LTDA_LGPD.pdf"/>
        <s v="https://www.telebras.com.br/wp-content/uploads/2025/03/3.TLB-CTR-2025.00004-CONSORCIO-INBLOKO.pdf"/>
        <s v="https://www.telebras.com.br/wp-content/uploads/2026/09/DOCUMENTO_ALLTECH_SOLUCOES_EM_TECNOLOGIA_LTDA_LGPD.pdf"/>
        <s v="https://www.telebras.com.br/wp-content/uploads/2025/03/84.TLB-ASS-202411008-Fundacao-Nacional-da-Qualidade-FNQ.pdf"/>
        <s v="https://www.telebras.com.br/wp-content/uploads/2025/03/5.TLB-CTR-2025.00013-BR-22-ALUGUEL-DE-CARROS.pdf"/>
        <s v="https://www.telebras.com.br/wp-content/uploads/2026/09/DOCUMENTO_SAARA_OBRAS_E_SERVICOS_LTDA_LGPD.pdf"/>
        <s v="https://www.telebras.com.br/wp-content/uploads/2026/09/DOCUMENTO_LEGIS_JET_LTDA_LGPD.pdf"/>
        <s v="https://www.telebras.com.br/wp-content/uploads/2026/09/DOCUMENTO_BRASOFTWARE_INFORMATICA_LTDA_LGPD.pdf"/>
        <s v="https://www.telebras.com.br/wp-content/uploads/2025/04/5.TLB-CTR-2025.00022-DELL-COMPUTADORES-DO-BRASIL-LTDA.pdf"/>
        <s v="https://www.telebras.com.br/wp-content/uploads/2026/09/DOCUMENTO_DELL_COMPUTADORES_DO_BRASIL_LTDA_LGPD.pdf"/>
        <s v="https://www.telebras.com.br/wp-content/uploads/2025/04/11.TLB-CTR-2025.00024-SC-BRASIL-GROUP-SOLUCOES-TECNOLOGICAS-LTDA.pdf"/>
        <s v="https://www.telebras.com.br/wp-content/uploads/2025/05/12.TLB-CTR-2025.00026-SACHA-CALMON-MISABEL-DERZI-CONSULTORES-E-ADVOGADOS.pdf"/>
        <s v="https://www.telebras.com.br/wp-content/uploads/2026/09/DOCUMENTO_I9_SOLUTIONS_-_SOLUCOES_COMERCIAIS_E_GESTAO_DE_TRANSPORTE_LTDA_LGPD.pdf"/>
        <s v="https://www.telebras.com.br/wp-content/uploads/2026/09/TLB-CTR-2025-00034_G3_SERVICOS_DE_CONSTRUCOES_HIDRAULICA_E_IMPERMEABILIZACAO_LTDA_LGPD-1.pdf"/>
        <s v="https://www.telebras.com.br/wp-content/uploads/2026/09/DOCUMENTO_DIGITAL_SERVICOS_EM_TECNOLOGIA_LTDA_LGPD.pdf"/>
        <s v="https://www.telebras.com.br/wp-content/uploads/2026/09/DOCUMENTO_LENDA_INDUSTRIA_DE_AGUA_MINERAL_LTDA_LGPD.pdf"/>
        <s v="https://www.telebras.com.br/wp-content/uploads/2026/09/DOCUMENTO_3F_LTDA_LGPD.pdf"/>
        <s v="https://www.telebras.com.br/wp-content/uploads/2026/09/TLB-CTR-2025-00048_ASSOCIACAO_BRASILEIRA_DE_ENTIDADES_ESTADUAIS_E_PUBLICAS_DE_TECNOLOGIA_DA_INFORMACAO_E_COMUNICACAO_ABEP-TIC_LGPD.pdf"/>
        <s v="https://www.telebras.com.br/wp-content/uploads/2026/09/DOCUMENTO_MAPFRE_SEGUROS_GERAIS_S-A_LGPD.pdf"/>
        <s v="https://www.telebras.com.br/wp-content/uploads/2026/09/DOCUMENTO_HC_COMUNICACAO_DE_DADOS_LTDA_LGPD.pdf"/>
        <s v="https://www.telebras.com.br/wp-content/uploads/2026/09/DOCUMENTO_HC_COMUNICACAO_DE_DADOS_LTDA_LGPD-1.pdf"/>
        <s v="https://www.telebras.com.br/wp-content/uploads/2026/09/DOCUMENTO_INVITEC_SERVICO_DE_SEGURANCA_E_TECNOLOGIA_LTDA_LGPD.pdf"/>
        <s v="https://www.telebras.com.br/wp-content/uploads/2026/09/DOCUMENTO_BADIA_EQUARTIM_ADVOGADOS_-_BQA_LGPD.pdf"/>
        <s v="https://www.telebras.com.br/wp-content/uploads/2026/09/DOCUMENTO_KOVR_SEGURADORA_S.A_LGPD-1.pdf"/>
        <s v="https://www.telebras.com.br/wp-content/uploads/2026/09/DOCUMENTO_FONNET_COMERCIO_DE_EQUIPAMENTOS_DE_TELECOMUNICACOES_LTDA_LGPD.pdf"/>
        <s v="https://www.telebras.com.br/wp-content/uploads/2026/09/DOCUMENTO_NTSEC_SOLUCOES_EM_TELEINFORMATICA_LTDA_LGPD.pdf"/>
        <s v="https://www.telebras.com.br/wp-content/uploads/2026/09/DOCUMENTO_MASTER_SERVICOS_E_COMERCIO_LTDA_LGPD.pdf"/>
        <s v="https://www.telebras.com.br/wp-content/uploads/2026/09/DOCUMENTO_LGK_SERVICOS_EM_TECNOLOGIA_DA_INFORMACAO_LTDA_LGPD.pdf"/>
        <s v="https://www.telebras.com.br/wp-content/uploads/2026/09/DOCUMENTO_IMPAKT_CONSULTORIA_SS_LIMITADA_LGPD.pdf"/>
        <s v="https://www.telebras.com.br/wp-content/uploads/2026/09/TLB-CTR-2025-00043_ADTK_COMERCIO_E_SERVICOS_DE_INFOR-MATICA_E_TELECOMUNICACOES_S.A_LGPD.pdf"/>
        <s v="https://www.telebras.com.br/wp-content/uploads/2026/09/TLB-CTR-2025-00044_ADTK_COMERCIO_E_SERVICOS_DE_INFOR-MATICA_E_TELECOMUNICACOES_S.A_LGPD.pdf"/>
        <s v="https://www.telebras.com.br/wp-content/uploads/2026/09/DOCUMENTO_NEXVIA_COMERCIO_E_SERVICOS_DE_EQUIPAMENTOS_DE_TELECOMUNICACOES_LTDA_LGPD.pdf"/>
        <s v="https://www.telebras.com.br/wp-content/uploads/2026/09/DOCUMENTO_MASTER_SERVICOS_E_COMERCIO_LTDA_LGPD-1.pdf"/>
        <s v="https://www.telebras.com.br/wp-content/uploads/2026/09/DOCUMENTO_CENTRO_BRASILEIRO_DE_PESQUISA_EM_AVALIACAO_E_SELECAO_E_DE_PROMOCAO_DE_EVENTOS_CEBRASPE_LGPD.pdf"/>
        <s v="https://www.telebras.com.br/wp-content/uploads/2026/01/35.TLB-CTR-2025.00112-BLS-COMPANY-ASSESSORIA-CONTABIL-LTDA.pdf"/>
        <s v="https://www.telebras.com.br/wp-content/uploads/2026/01/36.TLB-CTR-2025.00114-MCR-SISTEMAS-E-CONSULTORIA-LTDA.pdf"/>
        <s v="https://www.telebras.com.br/wp-content/uploads/2026/09/TLB-CTR-2025-00020_INSTITUTO_BRASILEIRO_DE_GOVERNANCA_CORPORATIVA_-IBGC_LGPD.pdf"/>
        <s v="https://www.telebras.com.br/wp-content/uploads/2026/09/DOCUMENTO_VERTIV_TECNOLOGIA_DO_BRASIL_LTDA_LGPD.pdf"/>
        <s v="https://www.telebras.com.br/wp-content/uploads/2026/09/DOCUMENTO_ST_SERVICOS_EMPRESARIAIS_LTDA_LGPD.pdf"/>
        <s v="https://www.telebras.com.br/wp-content/uploads/2026/09/DOCUMENTO_PROJELITE_SOLUCOES_TECNOLOGICAS_LTDA_LGPD.pdf"/>
        <s v="https://www.telebras.com.br/wp-content/uploads/2026/01/41.TLB-CTR-2025.00115-MPV-SERVICOS-DE-CLINICA-MEDICA-CARDIOLOGIA-E-CIRURGIA-GERAL-LTDA.pdf"/>
        <s v="https://www.telebras.com.br/wp-content/uploads/2026/09/DOCUMENTO_PLANEJE_TECNOLOGIA_E_SERVICOS_LTDA_LGPD.pdf"/>
        <s v="https://www.telebras.com.br/wp-content/uploads/2026/03/TLB-CTR-202500117.pdf"/>
        <s v="https://www.telebras.com.br/wp-content/uploads/2026/03/TLB-CTR-202600009.pdf"/>
        <s v="https://www.telebras.com.br/wp-content/uploads/2026/09/DOCUMENTO_ROLLS_ROYCE_SOLUTIONS_LGPD.pdf"/>
        <s v="https://www.telebras.com.br/wp-content/uploads/2026/03/TLB-CTR-202600005.pdf"/>
        <s v="https://www.telebras.com.br/wp-content/uploads/2026/03/TLB-CTR-202600015.pdf"/>
        <s v="https://www.telebras.com.br/wp-content/uploads/2026/08/TLB-CTR-202600018.pdf"/>
        <s v="https://www.telebras.com.br/wp-content/uploads/2026/09/DOCUMENTO_RDM_TECHNOLOGY_LTDA_LGPD.pdf"/>
        <s v="https://www.telebras.com.br/wp-content/uploads/2026/09/TLB-CTR-2026-00023_NTT_DATA_BUSINESS_SOLUTIONS_SER-VICOS_DE_TECNOLOGIA_LTDA_LGPD.pdf"/>
        <s v="https://www.telebras.com.br/wp-content/uploads/2026/09/DOCUMENTO_INFOPLAN_TECNOLOGIA_COMERCIO_E_SERVICOS_LTDA_LGPD-1.pdf"/>
        <s v="https://www.telebras.com.br/wp-content/uploads/2026/04/TLBCTR202600025-BANCO-BRADESCO-SA-4.pdf"/>
        <s v="https://www.telebras.com.br/wp-content/uploads/2026/05/TLB-CTR-202600029_VIAGENS-BRASIL-TURISMO-LTDA.pdf"/>
        <s v="https://www.telebras.com.br/wp-content/uploads/2026/09/DOCUMENTO_GOIASTEC_COMERCIO_E_SERVICOS_LTDA_LGPD.pdf"/>
        <s v="https://www.telebras.com.br/wp-content/uploads/2026/09/DOCUMENTO_PADTEC_S.A_LGPD.pdf"/>
        <s v="https://www.telebras.com.br/wp-content/uploads/2026/09/DOCUMENTO_METROPOLE_-_AUDITORES_INDEPENDEN-TES_ASSOCIADOS_S-S_LGPD.pdf"/>
        <s v="https://www.telebras.com.br/wp-content/uploads/2026/09/DOCUMENTO_FORTE_GRAFICA_E_EDITORA_LTDA_LGPD.pdf"/>
        <s v="https://www.telebras.com.br/wp-content/uploads/2026/09/DOCUMENTO_ALLSEG_SEGURADORA_S-A_LGPD.pdf"/>
        <s v="https://www.telebras.com.br/wp-content/uploads/2026/09/TLB-CTR-2026-00047_MAUFE_TELAS_COMERCIO_E_SERVICOS_LTDA_LGPD-1.pdf"/>
        <s v="https://www.telebras.com.br/wp-content/uploads/2026/09/TLB-CTR-2026-00045_BUSINESS_INTEGRATION_PARTNERS_DO_BRASIL_CONSULTORIA_LTDA_LGPD-1.pdf"/>
        <s v="https://www.telebras.com.br/wp-content/uploads/2026/09/TLB-CTR-2026-00049_TELESPAZIO_BRASIL_S.A_LGPD.pdf"/>
        <s v="https://www.telebras.com.br/wp-content/uploads/2026/09/TLB-CTR-2026_00052_EVOLUE_SERVI_OS_DE_SAUDE_LGPD.pdf"/>
        <s v="https://www.telebras.com.br/wp-content/uploads/2026/09/TLB-CTR-2026-00053_FORTE_GRAFICA_E_EDITORA_LTDA_LGPD-1.pdf"/>
        <s v="https://www.telebras.com.br/wp-content/uploads/2026/09/TLB-CTR-2026_00054_FORTE_GR_FICA_LGPD-1.pdf"/>
        <m/>
        <s v="NÃO ASSINADO"/>
      </sharedItems>
    </cacheField>
    <cacheField name="Nº DEG " numFmtId="49">
      <sharedItems containsBlank="1" count="146">
        <s v="sem fiscal"/>
        <s v="TLB-DEG-2024/00013"/>
        <s v="TLB-DEG-2024/00014"/>
        <s v="TLB-DEG-2024/00016"/>
        <s v="TLB-DEG-2024/00018"/>
        <s v="TLB-DEG-2024/00025"/>
        <s v="TLB-DEG-2024/00027"/>
        <s v="TLB-DEG-2024/00031"/>
        <s v="TLB-DEG-2024/00040"/>
        <s v="TLB-DEG-2024/00038"/>
        <s v="TLB-DEG-2024/00047"/>
        <s v="TLB-DEG-2024/00044"/>
        <s v="TLB-DEG-2024/00041"/>
        <s v="TLB-DEG-2024/00051"/>
        <s v="TLB-DEG-2024/00054"/>
        <s v="TLB-DEG-2024/00061"/>
        <s v="TLB-DEG-2024/00067"/>
        <s v="TLB-DEG-2024/00075"/>
        <s v="TLB-DEG-2024/00078"/>
        <s v="TLB-DEG-2024/00082"/>
        <s v="TLB-DEG-2024/00080"/>
        <s v="TLB-DEG-2024/00085"/>
        <s v="TLB-DEG-2024/00088"/>
        <s v="TLB-DEG-2024/00117"/>
        <s v="TLB-DEG-2024/00116"/>
        <s v="TLB-DEG-2024/00118"/>
        <s v="TLB-DEG-2024/00125 "/>
        <s v="TLB-DEG-2024/00010"/>
        <s v="TLB-DEG-2024/00029"/>
        <s v="TLB-DEG-2024/00028"/>
        <s v="TLB-DEG-2024/00011"/>
        <s v="TLB-DEG-2024/00015"/>
        <s v="TLB-DEG-2024/00012"/>
        <s v="TLB-DEG-2024/00023"/>
        <s v="TLB-DEG-2024/00024"/>
        <s v="TLB-DEG-2024/00017"/>
        <s v="TLB-DEG-2024/00019"/>
        <s v="TLB-DEG-2024/00020"/>
        <s v="TLB-DEG-2024/00052"/>
        <s v="TLB-DEG-2024/00037"/>
        <s v="TLB-DEG-2024/00039"/>
        <s v="TLB-DEG-2024/00060"/>
        <s v="TLB-DEG-2024/00049"/>
        <s v="TMP-628024"/>
        <s v="TMP-635999"/>
        <s v="TLB-DEG-2024/00058"/>
        <s v=" TLB-DEG-2024/00062-A"/>
        <s v="TLB-DEG-2024/00071"/>
        <s v="TLB-DEG-2024/00070"/>
        <s v="TLB-DEG-2024/00074"/>
        <s v="TLB-DEG-2024/00076"/>
        <s v="TLB-DEG-2024/00073"/>
        <s v="TLB-DEG-2024/00077"/>
        <s v="TLB-DEG-2024/00081"/>
        <s v="TLB-DEG-2024/00104"/>
        <s v="TLB-DEG-2024/00111"/>
        <s v="TLB-DEG-2024/00109"/>
        <s v="TLB-DEG-2024/00115"/>
        <s v="TLB-DEG-2024/00120"/>
        <s v="TLB-DEG-2024/00127"/>
        <s v="TLB-DEG-2024/00131"/>
        <s v="TLB-DEG-2024/00146"/>
        <s v="TLB-DEG-2024/00151"/>
        <s v="TLB-DEG-2024/00152"/>
        <s v="TLB-DEG-2025/00002"/>
        <s v="TLB-DEG-2025/00003"/>
        <s v="TLB-DEG-2025/00001"/>
        <s v="TLB-DEG-2025/00005"/>
        <s v="TLB-DEG-2025/00004"/>
        <s v="TLB-DEG-2024/00106"/>
        <s v="TLB-DEG-2024/00126"/>
        <s v="TLB-DEG-2024/00129"/>
        <s v="TLB-DEG-2024/00130"/>
        <s v="TLB-DEG-2024/00134"/>
        <s v="TLB-DEG-2024/00135"/>
        <s v="TLB-DEG-2024/00136"/>
        <s v="TLB-DEG-2024/00138"/>
        <s v="TLB-DEG-2024/00145"/>
        <s v="TLB-DEG-2024/00139"/>
        <s v="TLB-DEG-2024/00140"/>
        <s v="TLB-DEG-2024/00142"/>
        <s v="TLB-DEG-2024/00143"/>
        <s v="TLB-DEG-2024/00144"/>
        <s v="TLB-DEG-2024/00147"/>
        <s v="TLB-DEG-2024/00150"/>
        <s v="TLB-DEG-2025/00006"/>
        <s v="TLB-DEG-2025/00012"/>
        <s v="TLB-DEG-2025/00018"/>
        <s v="TLB-DEG-2025/00036"/>
        <s v="TLB-DEG-2024/00098"/>
        <s v="TLB-DEG-2025/00040"/>
        <s v="TLB-DEG-2025/00037"/>
        <s v="TLB-DEG-2025/00048"/>
        <s v="TLB-DEG-2025/00044"/>
        <s v="TLB-DEG-2025/00057"/>
        <s v="TLB-DEG-2025/00058"/>
        <s v="TLB-DEG-2025/00038"/>
        <s v="TLB-DEG-2025/00064"/>
        <s v="TLB-DEG-2025/00073"/>
        <s v="TLB-DEG-2025/00083"/>
        <s v="TLB-DEG-2025/00084"/>
        <s v="TLB-DEG-2025/00081"/>
        <s v="TLB-DEG-2025/00089"/>
        <s v="TLB-DEG-2025/00100"/>
        <s v="Em elaboração"/>
        <s v="TLB-DEG-2025/00135"/>
        <s v="TLB-DEG-2025/00137"/>
        <s v="TLB-DEG-2026/00145"/>
        <s v="TLB-DEG-2025/00129"/>
        <s v="TLB-DEG-2025/00165"/>
        <s v="TLB-DEG-2025/00139"/>
        <s v="TLB-DEG-2025/00143"/>
        <s v="TLB-DEG-2025/00138"/>
        <s v="TLB-DEG-2025/00178"/>
        <s v="TLB-DEG-2025/00176"/>
        <s v="TLB-DEG-2025/00191"/>
        <s v="TLB-DEG-2025/00186"/>
        <s v="TLB-DEG-2025/00202"/>
        <s v="TLB-DEG-2026/00029"/>
        <s v="TLB-DEG-2025/00041"/>
        <s v="TLB-DEG-2025/00194"/>
        <s v="TLB-DEG-2026/00001"/>
        <s v="TLB-DEG-2026/00002"/>
        <s v="TLB-DEG-2026/00028"/>
        <s v="TLB-DEG-2026/00003"/>
        <s v="TLB-DEG-2026/00034"/>
        <s v="TLB-DEG-2026/00038"/>
        <s v="TLB-DEG-2026/00068"/>
        <s v="TLB-DEG-2026/00064"/>
        <s v="TLB-DEG-2026/00071"/>
        <s v="TLB-DEG-2026/00073"/>
        <s v="TLB-DEG-2026/00075"/>
        <s v="TLB-DEG-2026/00084"/>
        <s v="TLB-DEG-2026/00085"/>
        <s v="TLB-DEG-2026/00095"/>
        <s v="TLB-DEG-2026/00112"/>
        <s v="TLB-DEG-2026/00119"/>
        <s v="TLB-DEG-2026/00120"/>
        <s v="TLB-DEG-2026/00121"/>
        <s v="TLB-DEG-2026/00139"/>
        <s v="TLB-DEG-2026/00152"/>
        <s v="TLB-DEG-2026/00138"/>
        <s v="TLB-DEG-2026/00143"/>
        <s v="TLB-DEG-2026/00136"/>
        <m/>
        <s v="TLB-DEG-2025/00126" u="1"/>
      </sharedItems>
    </cacheField>
    <cacheField name="FISCAL DO CONTRATO" numFmtId="49">
      <sharedItems containsBlank="1" count="100">
        <s v="sem fiscal"/>
        <s v="Adriana Ramos de Oliveira "/>
        <s v="Regina Cássia Montenegro Braz Gomes"/>
        <s v="Igor Felipe De Oliveira Araújo"/>
        <s v="Márcia Manuela Medrado Nunes"/>
        <s v="Genara Lopes Bühler"/>
        <s v="Glahicon Rogério Gregório"/>
        <s v="Victor Coelho Assunção Carneiro"/>
        <s v="Nilton César Soares da Silva Lira"/>
        <s v="Adryana Ramos de Oliveira"/>
        <s v="Jorge Humberto Martins Lisboa"/>
        <s v="Mariana Rodrigues Boavista Leite"/>
        <s v="Samara Bittencourt Amui De Oliveira"/>
        <s v="PABLO HENRY CORREA"/>
        <s v="Nilton César Soares Da Silva Lira  "/>
        <s v="Rosilda Ferreira da Cunha"/>
        <s v="Allyne Cunha de Oliveira"/>
        <s v="Hugo Portieri Pignatti"/>
        <s v="Adryana Ramos de Oliveira "/>
        <s v="Rosilda Abreu da Silva"/>
        <s v="Micheli Viera Chervinski"/>
        <s v="Fernando Granjeiro de Meneses Junio"/>
        <s v="Raphael BlancoLombardi"/>
        <s v="Pablo Henry Correa "/>
        <s v="Ricardo Klein"/>
        <s v="Ricardo Luiz Miranda de Souza"/>
        <s v="Fernando Márcio Vieira Coutinho"/>
        <s v="Antônio Marcelo Oliveira Ribeiro"/>
        <s v="Marcelo Guimarães Mendes"/>
        <s v="Caio Cesar Goulart Bomfim"/>
        <s v="Ido Alexandre Rodrigues Alves"/>
        <s v="Marina Corbucci Campos"/>
        <s v="Marcel Moreira Viriato"/>
        <s v="Regina Cassia Montenegro Braz Gomes"/>
        <s v="Danilo Pereira de Freitas Quaresma"/>
        <s v="Camila Daniela Lima de Souza Gomes"/>
        <s v="José Matias de Santana "/>
        <s v="Antônio Celson de Jesus Neris"/>
        <s v="Raphael Blanco Lombardi"/>
        <s v="Tiago Carneiro de Lima"/>
        <s v="Walfrido Rodrigues Melo"/>
        <s v="Raphael Laurindo Bonini"/>
        <s v="Rodney Gomes Filipe"/>
        <s v="Hudson Lean da Costa Façanha"/>
        <s v="Gilson Souza dos Santos"/>
        <s v="Luiz Gabriel Xavier dos Santos"/>
        <s v="ELAYNE CRISTINA RAMALHO DE SOUSA "/>
        <s v="Sarah Lima Moreira Moura "/>
        <s v="Matheus Augusto Sartorio Alves"/>
        <s v="Fernando Granjeiro de Meneses Junior"/>
        <s v="Luiza de Albuquerque Thees Ribeiro"/>
        <s v="Andrei Tunes Claro de Oliveira"/>
        <s v="David Bernardes de Andrade Passos"/>
        <s v="Madalene Menezes Vertelo"/>
        <s v="Rafael de Carvalho Paniago"/>
        <s v="Mirele de Almeida Mencari"/>
        <s v="Janine Oliveira"/>
        <s v="Matheus Augusto Sartório Alves"/>
        <s v="Anna Paula Pedrosa Vieira "/>
        <s v="Elias Rodrigues da Silva"/>
        <s v="MARIA JOSÉ QUINTAS"/>
        <s v="EZIELMA BRAZ FERREIRA"/>
        <s v="FLÁVIA ELISABETH CARDOSO PIRES"/>
        <s v="Fernando Granjeiro de Meneses Junior "/>
        <s v="Henrique Soares Ebert"/>
        <s v="Iaracy Nayara Machado Braz"/>
        <s v="Mauricio Gagliardi Diniz de Paiva"/>
        <s v="DOUGLAS IVANOWSKI BERTELLI KIRCHNER"/>
        <s v="Walfrido Rodrigues de Melo"/>
        <s v="Daniel Siqueira"/>
        <s v="Dalva Helena Rosa Ferreira"/>
        <s v="Camila Daniela Lima de Souza Gomes_x000a_"/>
        <s v="Thiago da Silva Santana_x000a_Mirele de Almeida Mencari"/>
        <s v="ANNA CLÁUDIA AMORIM DA SILVA"/>
        <s v="Maria Luzineide Borges dos Santos"/>
        <s v="VALDO ORNA DE GUSMÃO JÚNIOR"/>
        <s v="Isac Pires Moraes Filho"/>
        <s v="Sibele Grasiela Guedes Godinho"/>
        <s v="SARAH LIMA MOREIRA MOURA"/>
        <s v="Mauro Antonio Pereira da Silva"/>
        <s v="Rodrigo Andrade Silveira de Araujo"/>
        <s v="THALES SETSUO YOSHIDA"/>
        <s v="LEANDRO NEVES DE OLIVEIRA BANDO"/>
        <s v="FERNANDO MARCIO VIEIRA COUTINHO"/>
        <s v="Mauricio de Souza Santos"/>
        <s v="PERICLES AUGUSTUS BARBOSA POVOA"/>
        <s v="Valdo Ornã de Gusmão Junior"/>
        <s v="RODNEY GOMES FELIPE"/>
        <s v="RODRIGO ANDADRE SILVEIRA DE ARAÚJO"/>
        <s v="ANNA PAULA PEDROSA VIEIRA_x000a_"/>
        <s v="FÁBIO DE OLIVEIRA PIRES / DANIEL SIQUEIRA"/>
        <s v="PATRICIA MILHOMENS GUIMARAES"/>
        <s v="VALDO ORNA DE GUSMAO JUNIOR"/>
        <m/>
        <s v="JORGE PEREIRA FRAGOSO NETTO" u="1"/>
        <s v="Em elaboração" u="1"/>
        <s v="Pendente assinatura " u="1"/>
        <s v="-" u="1"/>
        <s v="Em elaboralção " u="1"/>
        <s v="Em elaboração " u="1"/>
      </sharedItems>
    </cacheField>
    <cacheField name="ANO CTR" numFmtId="0">
      <sharedItems containsString="0" containsBlank="1" containsNumber="1" containsInteger="1" minValue="2024" maxValue="2026" count="4">
        <n v="2024"/>
        <n v="2025"/>
        <n v="2026"/>
        <m/>
      </sharedItems>
    </cacheField>
    <cacheField name="MÊS ASSINATURA" numFmtId="165">
      <sharedItems containsDate="1" containsBlank="1" containsMixedTypes="1" minDate="2013-06-01T00:00:00" maxDate="2026-08-27T00:00:00" count="102">
        <s v="jan/2024"/>
        <s v="fev/2024"/>
        <s v="abr/2024"/>
        <s v="mar/2024"/>
        <s v="mai/2024"/>
        <s v="jun/2024"/>
        <s v="jul/2024"/>
        <s v="ago/2024"/>
        <s v="out/2024"/>
        <s v="set/2024"/>
        <s v="nov/2024"/>
        <s v="dez/2024"/>
        <s v="jan/2025"/>
        <s v="fev/2025"/>
        <s v="mar/2025"/>
        <s v="abr/2025"/>
        <s v="mai/2025"/>
        <s v="jun/2025"/>
        <s v="jul/2025"/>
        <s v="ago/2025"/>
        <s v="set/2025"/>
        <s v="out/2025"/>
        <s v="nov/2025"/>
        <s v="dez/2025"/>
        <s v="jan/2026"/>
        <s v="fev/2026"/>
        <s v="mar/2026"/>
        <s v="mai/2026"/>
        <s v="abr/2026"/>
        <d v="2026-05-01T00:00:00"/>
        <d v="2026-07-02T00:00:00"/>
        <d v="2026-07-16T00:00:00"/>
        <d v="2026-08-03T00:00:00"/>
        <d v="2026-07-23T00:00:00"/>
        <d v="2026-07-27T00:00:00"/>
        <d v="2026-08-14T00:00:00"/>
        <d v="2026-08-18T00:00:00"/>
        <d v="2026-08-13T00:00:00"/>
        <d v="2026-08-26T00:00:00"/>
        <m/>
        <d v="2026-04-01T00:00:00" u="1"/>
        <d v="2026-04-02T00:00:00" u="1"/>
        <d v="2026-04-03T00:00:00" u="1"/>
        <d v="2024-01-01T00:00:00" u="1"/>
        <d v="2024-02-01T00:00:00" u="1"/>
        <d v="2024-03-01T00:00:00" u="1"/>
        <d v="2024-04-01T00:00:00" u="1"/>
        <d v="2024-05-01T00:00:00" u="1"/>
        <d v="2024-06-01T00:00:00" u="1"/>
        <d v="2024-07-01T00:00:00" u="1"/>
        <d v="2024-08-01T00:00:00" u="1"/>
        <d v="2024-10-01T00:00:00" u="1"/>
        <d v="2024-06-02T00:00:00" u="1"/>
        <d v="2024-06-03T00:00:00" u="1"/>
        <d v="2024-09-01T00:00:00" u="1"/>
        <d v="2024-11-01T00:00:00" u="1"/>
        <d v="2024-12-10T00:00:00" u="1"/>
        <d v="2024-12-17T00:00:00" u="1"/>
        <d v="2024-12-18T00:00:00" u="1"/>
        <d v="2024-12-19T00:00:00" u="1"/>
        <d v="2024-12-27T00:00:00" u="1"/>
        <d v="2024-08-29T00:00:00" u="1"/>
        <d v="2024-11-08T00:00:00" u="1"/>
        <d v="2024-11-27T00:00:00" u="1"/>
        <d v="2024-11-29T00:00:00" u="1"/>
        <d v="2024-12-02T00:00:00" u="1"/>
        <d v="2024-12-04T00:00:00" u="1"/>
        <d v="2024-12-05T00:00:00" u="1"/>
        <d v="2025-01-24T00:00:00" u="1"/>
        <d v="2025-02-07T00:00:00" u="1"/>
        <d v="2025-02-06T00:00:00" u="1"/>
        <d v="2025-02-19T00:00:00" u="1"/>
        <d v="2024-07-30T00:00:00" u="1"/>
        <d v="2025-02-28T00:00:00" u="1"/>
        <d v="2025-03-07T00:00:00" u="1"/>
        <d v="2025-04-01T00:00:00" u="1"/>
        <d v="2025-05-01T00:00:00" u="1"/>
        <d v="2025-06-01T00:00:00" u="1"/>
        <d v="2025-07-01T00:00:00" u="1"/>
        <d v="2025-08-01T00:00:00" u="1"/>
        <d v="2025-09-10T00:00:00" u="1"/>
        <d v="2025-09-09T00:00:00" u="1"/>
        <d v="2025-09-15T00:00:00" u="1"/>
        <d v="2025-10-01T00:00:00" u="1"/>
        <d v="2025-09-24T00:00:00" u="1"/>
        <d v="2025-09-29T00:00:00" u="1"/>
        <d v="2025-11-01T00:00:00" u="1"/>
        <d v="2025-10-09T00:00:00" u="1"/>
        <d v="2025-10-08T00:00:00" u="1"/>
        <d v="2025-12-01T00:00:00" u="1"/>
        <d v="2025-03-18T00:00:00" u="1"/>
        <d v="2025-12-15T00:00:00" u="1"/>
        <d v="2026-01-01T00:00:00" u="1"/>
        <d v="2026-01-04T00:00:00" u="1"/>
        <d v="2026-01-05T00:00:00" u="1"/>
        <d v="2026-01-06T00:00:00" u="1"/>
        <d v="2026-01-07T00:00:00" u="1"/>
        <d v="2026-02-11T00:00:00" u="1"/>
        <d v="2026-01-03T00:00:00" u="1"/>
        <d v="2026-01-02T00:00:00" u="1"/>
        <d v="2013-06-01T00:00:00" u="1"/>
        <d v="2020-06-01T00:00:00" u="1"/>
      </sharedItems>
    </cacheField>
    <cacheField name="INÍCIO VIGÊNCIA" numFmtId="14">
      <sharedItems containsDate="1" containsBlank="1" containsMixedTypes="1" minDate="2024-01-16T00:00:00" maxDate="2026-08-27T00:00:00" count="127">
        <d v="2024-01-16T00:00:00"/>
        <d v="2024-02-23T00:00:00"/>
        <d v="2024-04-15T00:00:00"/>
        <d v="2024-02-28T00:00:00"/>
        <d v="2024-03-05T00:00:00"/>
        <d v="2024-03-22T00:00:00"/>
        <d v="2024-04-08T00:00:00"/>
        <d v="2024-04-12T00:00:00"/>
        <d v="2024-04-25T00:00:00"/>
        <d v="2024-05-02T00:00:00"/>
        <d v="2024-05-23T00:00:00"/>
        <d v="2024-06-06T00:00:00"/>
        <d v="2024-06-10T00:00:00"/>
        <d v="2024-06-21T00:00:00"/>
        <d v="2024-07-01T00:00:00"/>
        <d v="2024-07-16T00:00:00"/>
        <d v="2024-07-17T00:00:00"/>
        <d v="2024-07-30T00:00:00"/>
        <d v="2024-08-06T00:00:00"/>
        <d v="2024-10-03T00:00:00"/>
        <d v="2024-10-15T00:00:00"/>
        <d v="2024-10-30T00:00:00"/>
        <s v="09/02/2024"/>
        <s v="01/04/2024"/>
        <d v="2024-04-01T00:00:00"/>
        <d v="2024-02-06T00:00:00"/>
        <d v="2024-01-29T00:00:00"/>
        <d v="2024-02-09T00:00:00"/>
        <d v="2024-03-01T00:00:00"/>
        <s v="01/03/2024"/>
        <d v="2024-04-04T00:00:00"/>
        <d v="2024-03-06T00:00:00"/>
        <d v="2024-05-03T00:00:00"/>
        <s v="15/04/2024"/>
        <d v="2024-04-24T00:00:00"/>
        <d v="2024-05-09T00:00:00"/>
        <d v="2024-04-29T00:00:00"/>
        <d v="2024-05-27T00:00:00"/>
        <d v="2024-06-03T00:00:00"/>
        <d v="2024-05-29T00:00:00"/>
        <d v="2024-06-11T00:00:00"/>
        <d v="2024-06-24T00:00:00"/>
        <d v="2024-06-20T00:00:00"/>
        <d v="2024-06-25T00:00:00"/>
        <d v="2024-06-28T00:00:00"/>
        <d v="2024-07-18T00:00:00"/>
        <d v="2024-07-19T00:00:00"/>
        <d v="2024-08-02T00:00:00"/>
        <d v="2024-09-02T00:00:00"/>
        <d v="2024-09-03T00:00:00"/>
        <d v="2024-09-26T00:00:00"/>
        <d v="2024-11-08T00:00:00"/>
        <d v="2024-11-27T00:00:00"/>
        <d v="2024-11-28T00:00:00"/>
        <s v="10/12/2024"/>
        <s v="17/12/2024"/>
        <s v="18/12/2024"/>
        <s v="19/12/2024"/>
        <s v="27/12/2024"/>
        <s v="29/08/2024"/>
        <s v="08/11/2024"/>
        <s v="27/11/2024"/>
        <s v="29/11/2024"/>
        <s v="02/12/2024"/>
        <s v="04/12/2024"/>
        <s v="05/12/2024"/>
        <s v="24/01/2025"/>
        <s v="07/02/2025"/>
        <s v="06/02/2025"/>
        <d v="2025-02-19T00:00:00"/>
        <s v="30/07/2024"/>
        <s v="28/02/2025"/>
        <s v="07/03/2025"/>
        <s v="01/04/2025"/>
        <s v="21/03/2025"/>
        <s v="27/03/2025"/>
        <d v="2025-03-27T00:00:00"/>
        <d v="2025-03-28T00:00:00"/>
        <d v="2025-04-16T00:00:00"/>
        <d v="2025-05-16T00:00:00"/>
        <d v="2025-06-20T00:00:00"/>
        <d v="2025-06-13T00:00:00"/>
        <d v="2025-07-14T00:00:00"/>
        <d v="2025-07-24T00:00:00"/>
        <d v="2025-08-03T00:00:00"/>
        <d v="2025-07-02T00:00:00"/>
        <d v="2025-09-10T00:00:00"/>
        <d v="2025-09-09T00:00:00"/>
        <d v="2025-09-15T00:00:00"/>
        <d v="2025-10-06T00:00:00"/>
        <d v="2025-09-24T00:00:00"/>
        <d v="2025-09-29T00:00:00"/>
        <d v="2025-10-10T00:00:00"/>
        <d v="2025-11-05T00:00:00"/>
        <d v="2025-11-19T00:00:00"/>
        <d v="2025-11-10T00:00:00"/>
        <d v="2025-11-25T00:00:00"/>
        <d v="2025-12-19T00:00:00"/>
        <d v="2025-12-17T00:00:00"/>
        <d v="2025-03-18T00:00:00"/>
        <d v="2025-12-15T00:00:00"/>
        <d v="2025-12-22T00:00:00"/>
        <d v="2025-12-24T00:00:00"/>
        <d v="2026-01-09T00:00:00"/>
        <d v="2026-01-02T00:00:00"/>
        <d v="2026-01-19T00:00:00"/>
        <d v="2026-01-22T00:00:00"/>
        <d v="2026-02-01T00:00:00"/>
        <d v="2026-02-11T00:00:00"/>
        <d v="2026-03-17T00:00:00"/>
        <d v="2026-03-12T00:00:00"/>
        <d v="2026-03-27T00:00:00"/>
        <d v="2026-03-31T00:00:00"/>
        <d v="2026-05-01T00:00:00"/>
        <d v="2026-04-24T00:00:00"/>
        <d v="2026-04-23T00:00:00"/>
        <d v="2026-05-18T00:00:00"/>
        <d v="2026-07-02T00:00:00"/>
        <d v="2026-07-14T00:00:00"/>
        <d v="2026-08-03T00:00:00"/>
        <d v="2026-07-23T00:00:00"/>
        <d v="2026-07-27T00:00:00"/>
        <d v="2026-08-19T00:00:00"/>
        <d v="2026-08-18T00:00:00"/>
        <d v="2026-08-13T00:00:00"/>
        <d v="2026-08-26T00:00:00"/>
        <m/>
      </sharedItems>
    </cacheField>
    <cacheField name="FINAL _x000a_VIGÊNCIA" numFmtId="14">
      <sharedItems containsDate="1" containsBlank="1" containsMixedTypes="1" minDate="2024-09-25T00:00:00" maxDate="2035-01-01T00:00:00" count="113">
        <s v="16/01/2025"/>
        <s v="31/12/2024"/>
        <d v="2024-12-31T00:00:00"/>
        <d v="2024-10-30T00:00:00"/>
        <d v="2025-10-31T00:00:00"/>
        <s v="09/02/2025"/>
        <d v="2034-12-31T00:00:00"/>
        <s v="06/02/2029"/>
        <s v="29/01/2029"/>
        <s v="09/08/2024"/>
        <s v="01/03/2026"/>
        <d v="2028-04-04T00:00:00"/>
        <s v="01/03/2027"/>
        <d v="2025-03-06T00:00:00"/>
        <d v="2029-05-03T00:00:00"/>
        <s v="15/04/2027"/>
        <d v="2025-04-24T00:00:00"/>
        <d v="2025-05-09T00:00:00"/>
        <d v="2029-04-29T00:00:00"/>
        <d v="2026-07-27T00:00:00"/>
        <d v="2026-03-03T00:00:00"/>
        <d v="2029-05-29T00:00:00"/>
        <d v="2025-06-11T00:00:00"/>
        <d v="2024-09-25T00:00:00"/>
        <d v="2029-06-26T00:00:00"/>
        <d v="2029-07-01T00:00:00"/>
        <d v="2025-06-28T00:00:00"/>
        <d v="2025-07-16T00:00:00"/>
        <d v="2029-07-19T00:00:00"/>
        <d v="2025-08-02T00:00:00"/>
        <d v="2024-12-02T00:00:00"/>
        <d v="2027-09-03T00:00:00"/>
        <d v="2025-09-26T00:00:00"/>
        <d v="2029-10-15T00:00:00"/>
        <d v="2026-11-29T00:00:00"/>
        <d v="2025-12-27T00:00:00"/>
        <d v="2029-11-28T00:00:00"/>
        <s v="10/12/2025"/>
        <s v="17/12/2029"/>
        <s v="18/12/2028"/>
        <s v="19/12/2028"/>
        <s v="27/12/2028"/>
        <s v="29/08/2025"/>
        <s v="08/11/2025"/>
        <s v="27/11/2025"/>
        <s v="29/11/2025"/>
        <s v="02/12/2025"/>
        <s v="04/12/2025"/>
        <s v="05/12/2025"/>
        <s v="17/12/2025"/>
        <s v="24/01/2030"/>
        <s v="07/02/2026"/>
        <s v="06/02/2030"/>
        <s v="19/02/2028"/>
        <s v="31/07/2025"/>
        <s v="28/02/2030"/>
        <s v="07/03/2030"/>
        <s v="01/04/2028"/>
        <s v="21/03/2028"/>
        <s v="17/10/2025"/>
        <d v="2025-10-17T00:00:00"/>
        <d v="2026-03-28T00:00:00"/>
        <d v="2030-04-16T00:00:00"/>
        <d v="2030-05-16T00:00:00"/>
        <d v="2025-12-20T00:00:00"/>
        <d v="2028-06-13T00:00:00"/>
        <d v="2025-12-13T00:00:00"/>
        <d v="2030-07-14T00:00:00"/>
        <d v="2025-12-31T00:00:00"/>
        <d v="2026-08-03T00:00:00"/>
        <d v="2029-01-02T00:00:00"/>
        <d v="2026-09-10T00:00:00"/>
        <d v="2030-09-09T00:00:00"/>
        <d v="2026-09-15T00:00:00"/>
        <d v="2026-10-06T00:00:00"/>
        <d v="2030-12-24T00:00:00"/>
        <d v="2026-09-29T00:00:00"/>
        <d v="2030-10-10T00:00:00"/>
        <d v="2027-01-05T00:00:00"/>
        <d v="2026-11-19T00:00:00"/>
        <d v="2026-11-10T00:00:00"/>
        <d v="2030-11-25T00:00:00"/>
        <d v="2030-12-19T00:00:00"/>
        <d v="2028-12-17T00:00:00"/>
        <d v="2026-03-18T00:00:00"/>
        <d v="2027-12-15T00:00:00"/>
        <d v="2028-06-22T00:00:00"/>
        <d v="2028-12-24T00:00:00"/>
        <d v="2026-06-17T00:00:00"/>
        <d v="2028-01-09T00:00:00"/>
        <d v="2031-04-02T00:00:00"/>
        <d v="2026-02-03T00:00:00"/>
        <d v="2027-01-22T00:00:00"/>
        <d v="2031-02-01T00:00:00"/>
        <d v="2026-02-13T00:00:00"/>
        <d v="2027-04-17T00:00:00"/>
        <d v="2027-03-12T00:00:00"/>
        <d v="2027-03-27T00:00:00"/>
        <d v="2027-03-31T00:00:00"/>
        <d v="2031-05-01T00:00:00"/>
        <d v="2031-04-24T00:00:00"/>
        <d v="2027-04-23T00:00:00"/>
        <d v="2029-05-18T00:00:00"/>
        <d v="2027-01-02T00:00:00"/>
        <d v="2031-07-14T00:00:00"/>
        <d v="2027-08-03T00:00:00"/>
        <d v="2027-01-23T00:00:00"/>
        <d v="2028-07-27T00:00:00"/>
        <d v="2031-08-19T00:00:00"/>
        <d v="2031-08-18T00:00:00"/>
        <d v="2031-08-13T00:00:00"/>
        <d v="2031-08-26T00:00:00"/>
        <m/>
      </sharedItems>
    </cacheField>
    <cacheField name="ANOS VIG" numFmtId="0">
      <sharedItems containsSemiMixedTypes="0" containsString="0" containsNumber="1" containsInteger="1" minValue="0" maxValue="10"/>
    </cacheField>
    <cacheField name="OBJETO" numFmtId="49">
      <sharedItems containsBlank="1" count="162" longText="1">
        <s v="Constitui objeto do presente Contrato a cessão de uso da infraestrutura das redes de distribuição até 34,5kV de propriedade da DETENTORA, mediante o compartilhamento a ser regido pelo presente instrumento e demais normas aplicáveis à espécie"/>
        <s v="Contratação para participação no evento no evento Satellite 2024 - Conference and Exhibition."/>
        <s v="Aquisição de eletrodomésticos."/>
        <s v=" Aquisição de eletrodomésticos."/>
        <s v="Contratação de um Palestrante-Mediador para o Telebras Day - mediar as atividades relacionadas ao desdobramento do Plano Estratégico 2024-2028"/>
        <s v="Prestação de serviço de organização de evento e serviços correlatos."/>
        <s v="Contratação para participação no Simpósio Internacional Especializado em Dinâmica de Vôo - International Symposium on Space Flight Dynamics (ISSFD)"/>
        <s v="Contratação de Assinatura Anual dos Produtos de Suporte Jurídico à Administração referente às Contratações Públicas: Zênite Fácil - Estatais"/>
        <s v="Contratação da capacitação &quot;Formação em PIS e Cofins&quot;."/>
        <s v=" Aquisição de Etiquetas Patrimoniais (Tags) Tipo Flag para ativos fixos de tecnologia RFID (Identificação de Rádio Frequência), com fins de controle patrimonial."/>
        <s v="Aquisição de materiais de consumo para reabastecer o almoxarifado da TELEBRAS"/>
        <s v="Aquisição extraordinária de materiais de limpeza para garantir a continuidade da limpeza, higienização e conservação da sede da TELEBRAS."/>
        <s v="Contratação de empresa para inscrição de 03 empregado(s) da Gerencia de Contabilidade - GCONT, no Curso de ICMS - Teoria e Prática."/>
        <s v="Contratação de serviço de fornecimento de energia elétrica para alimentação do contêiner Telebras na estação de Padre Fialho, localizada no município de Matipó/MG, a ser prestado pela Energisa Minas Rio - Distribuição de Energia S.A."/>
        <s v="Contratação de empresa para inscrição  inscrição de 01 colaboradora da Gerência de Gestão de Pessoas, no curso  Formação do Profissional de Treinamento e Desenvolvimento (T&amp;D)."/>
        <s v="Aquisição de Objetos de Divulgação Mercadológica e Institucional - sacolas - para o ano de 2024"/>
        <s v="Aquisição de periféricos para segmento solo do SGDC - Cartuchos de memória para servidores."/>
        <s v="PROCESSO DE CONTRATAÇÃO EMERGENCIAL DE BATERIAS T3SAT PARA ATENDIMENTO DE DEMANDA POR CALAMIDADE PÚBLICA NO RS"/>
        <s v="Contratação de empresa para inscrição de 01 empregada(s) da GLOG, no evento GDI Connect 2024. "/>
        <s v="Contratação de empresa especializada para o fornecimento e a instalação de películas protetoras Window Blue Fumê 5%, 20% ou 35%, com filtragem de 100% raios e 97% infravermelhos, na sede da Telebras."/>
        <s v="Contratação da participação no evento &quot;CONARH 2024 - Congresso Nacional de Gestão de Pessoas&quot;"/>
        <s v="Participação da Telebras, por meio de ação promocional, no Seminário Nacional de TIC para a Gestão Pública ? SECOP 2024, evento organizado exclusivamente pela Associação Brasileira de Entidades Estaduais de Tecnologia da Informação e Comunicação ? ABEP."/>
        <s v="Contratação de empresa especializada na prestação deserviços de treinamento para o curso de NR5 aos novos membros da Comissão Interna de Prevenção de Acidentes e de Assédio (CIPAA) - Gestão 2024/2025"/>
        <s v="Contratação da capacitação &quot;Governance Officer&quot; oferecido pelo Instituto Brasileiro de Governança Corporativa."/>
        <s v="Contratação de empresa para inscrição  de 03 empregados da Gerencia de Gestão Empresarial (GGE), no curso Controladoria."/>
        <s v="Contratação de empresa para inscrição de 08 representantes dos conselhos Fiscal, de Administração e COAUD no  25º Congresso IBGC - Cultura de Governança e os Desafios do Brasil."/>
        <s v="Contratação de empresa para inscrição de 27 do(s) empregado(s) lotados na GEOS e GMP designados para os os treinamentos relacionados às NRs 06, 10, 12, 20 e 35."/>
        <s v="Contratação da ferramenta de pesquisa e comparação de preços praticados pela administração pública, denominada Banco de Preços"/>
        <s v="Contrato tem por objeto estabelecer as principais condições e normas para a alocação do RECURSO, o registro e disponibilização de suas informações no serviço diretório Whois, a utilização do Sistema de Administração de “Recursos de Numeração” e a publicação de registros de delegação DNS para resolução inversa, sem prejuízo dos demais documentos, regulamentos disponíveis no site https://registro.br e normas dos órgãos regulamentadores"/>
        <s v="Fornecimento de energia elétrica e CIP (Contribuição de Iluminação Pública). "/>
        <s v="Contratação de empresa para aquisição e instalação de equipamentos destinados a compor a solução para implantação do Centro de Operação de Serviços da Rede Via Satélite (COS-VSAT) e do Centro de Operação de Serviços de Rede Terrestre (COS-REDE)."/>
        <s v="Contratação de empresa especializada em serviços de logística de transporte aéreo de carga fracionada, por demanda, incluindo coleta, remessa e, caso necessário, redespacho, em âmbito nacional, de encomendas e cargas (equipamentos e demais materiais), com fornecimento de embalagens, através do sistema porta a porta, com possibilidade de integração entre modais, com seguro obrigatório, de acordo com a necessidade indicada pela Contratante."/>
        <s v="Aquisição de sobressalentes de infraestrutura associadas a fontes retificadoras e sistema de CFTV agosto/2023, utilizando a Prática PR-0088 de Aquisição de Sobressalentes de Baixa Mortalidade e Alto Impacto."/>
        <s v="A contratação, mediante o Sistema de Registro de Preços – SRP, de empresa ou consórcio de empresas especializadas no fornecimento de soluções de infraestrutura com o fornecimento de contêineres incluindo todos os materiais, equipamentos e fibras ópticas necessários, de forma a garantir o funcionamento e a proteção dos equipamentos ópticos, DWDM e IP, a serem utilizados na Rede da Telebras, nas Regiões Centro-Oeste."/>
        <s v="A contratação, mediante o Sistema de Registro de Preços – SRP, de empresa ou consórcio de empresas especializadas no fornecimento de soluções de infraestrutura com o fornecimento de contêineres incluindo todos os materiais, equipamentos e fibras ópticas necessários, de forma a garantir o funcionamento e a proteção dos equipamentos ópticos, DWDM e IP, a serem utilizados na Rede da Telebras, nas Regiões Nordeste."/>
        <s v="Aquisição de certificado digital para os serviços da TELEBRAS e suas necessidades, contemplando todos os materiais necessários para a instalação, configuração e de acordo com as especificações e quantidades estimadas constantes deste instrumento."/>
        <s v="A aquisição de sobressalentes compressores para condicionadores de ar de climatização ambiente e acumuladores de energia (baterias) para Nobreaks(UPS)/SDAI,"/>
        <s v="Aquisição de sobressalentes compressores para condicionadores de ar de climatização ambiente e acumuladores de energia (baterias) para Nobreaks(UPS)/SDAI, conforme ARP nº TLB-ARP-2023/00004."/>
        <s v="O presente Contrato tem por objeto a contratação de pessoa jurídica especializada na prestação Serviços de calibração de instrumentos de medição de radiofrequência."/>
        <s v=" Contratação de empresa para a aquisição de um servidor de rack para o Laboratório de Inovação da TELEBRAS."/>
        <s v="Contratação de serviço de Reparo para equipamentos do segmento solo do SGDC"/>
        <s v="Contratação do serviço de acesso, via web, ao pacote de Normas Técnicas Brasileiras (NBR's)."/>
        <s v="Contratação de empresa especializada em serviço de recepção para a sede da Telebras"/>
        <s v="O presente Contrato tem por objeto a contratação de empresa para consultoria em recursos humanos para fornecer serviços técnicos especializados na elaboração, implantação e aprovação perante a secretaria de coordenação e governança das estatais - sest do plano de carreiras, cargos e remuneração (pccr) da telebras."/>
        <s v="Contratação de empresa especializada na prestação de serviços de limpeza, higienização e conservação diária, com fornecimento de mão de obra, materiais, utensílios e equipamentos, para atender as necessidades da sede da TELEBRAS"/>
        <s v="Contratação de serviço de proteção ao crédito, mediante consulta ao banco de dados com informações creditícias sobre PF e PJ; e inclusão e exclusão de clientes inadimplentes em cadastro de devedores (negativação)."/>
        <s v="Contratação de empresa para prestar consultoria ao desenvolvimento e evolução das ações do Programa de Gestão do Conhecimento da Telebras, conforme especificações do Termo de Referência."/>
        <s v="A ELABORAÇÃO DE DOCUMENTOS DE ENGENHARIA, FORNECIMENTO DE MATERIAIS E CONSTRUÇÃO EXTRAORDINÁRIA DE REDE METROPOLITANA AÉREA E/OU SUBTERRÂNEA NO MUNICÍPIO DE GOIÂNIA GO."/>
        <s v="Associação da telebras ao instituto brasileiro de governança corporativa - ibgc."/>
        <s v="CONTRATAÇÃO DE EMPRESA ESPECIALIZADA EM SERVIÇOS DE LOGÍSTICA DE TRANSPORTE RODOVIÁRIO DE CARGA FRACIONADA, POR DEMANDA, INCLUINDO COLETA E REMESSA EM ÂMBITO NACIONAL, DE ENCOMENDAS, CARGAS (EQUIPAMENTOS E DEMAIS MATERIAIS) E MUDANÇAS, INCLUINDO O MAQUINÁRIO EVENTUALMENTE NECESSÁRIO PARA A MOVIMENTAÇÃO DE CARGA E DESCARGA (EMPILHADEIRA, PALLET, MUNCK), COM FORNECIMENTO DE EMBALAGENS, POR MEIO DO SISTEMA PORTA-A-PORTA, COM POSSIBILIDADE DE INTEGRAÇÃO ENTRE MODAIS."/>
        <s v="O presente contrato tem por objeto a contratação de empresa especializada na prestação de serviços de Copeiragem e Garçonaria, com fornecimento de materiais, equipamentos e utensílios de copa, para atender as necessidades da sede da TELEBRAS, mediante o fornecimento de mão de obra exclusiva."/>
        <s v="Aquisição de instrumentos de medida para as estações de controle e acesso do satélite geoestacionário de defesa e comunicações estratégicas - SGDC."/>
        <s v="A contratação de empresa seguradora para prestação de serviços de cobertura securitária na modalidade de Responsabilidade  Civil  D&amp;O  (Directors  and  Officers)  para  membros  do  Conselho  de  Administração,  do Conselho  Fiscal  e  da  Diretoria  Executiva  da  Telebras,  com  emissão  de  apólice  à  base  de  reclamações  com notificação, conforme disposto na Circular SUSEP nº 637, de 27 de julho de 2021."/>
        <s v="A participação da TELEBRAS no Seminário Nacional de TIC para a Gestão Pública – SECOP 2024, por meiode ação promocional. O evento é organizado exclusivamente pela Associação Brasileira de Entidades Estaduais de Tecnologia da Informação e Comunicação – ABEP e será realizado nos dias 08 e 09 de agosto de 2024 no Hotel Windsor Barra – Rio de Janeiro - RJ."/>
        <s v="A contratação de Entidade Sem Fins Lucrativos-ESFL que, simultaneamente ao desenvolvimento do programa de aprendizagem, assumirá a condição de empregador, com todos os ônus dela decorrentes, conforme legislação vigente; e, a obrigação de proporcionar ao aprendiz a experiência prática da formação técnico-profissional metódica, necessária para ingresso no mercado de trabalho, segundo as condições do Termo de Referência."/>
        <s v="A contratação de seguro contra danos e perdas durante 12 (doze) meses para o SGDC em órbita, observadas as disposições técnicas do Anexo 1 - Wording do Seguro do Satélite em Órbita."/>
        <s v="A contratação de empresa especializada para construção  de  rede  metropolitana  aérea  e/ou  subterrânea  no município  de  Brasília  –  DF  trecho  EPIG,  incluindo  além  da  construção  elaboração  de  documentos  de  engenharia  e fornecimento de  materiais,  que  irá  substituir a rede atualmente implantada pela  Telebras  devido às obras do GDF em curso e a serem executadas por toda extensão da Estrada Parque Indústrias Gráficas (EPIG), conforme especificações do Termo de Referência._x000a__x000a_ "/>
        <s v="A contratação de Consultoria especializada em avaliação patrimonial, com vistas a adequação dos prazos de vida útil e do valor residual e aplicação do teste de recuperabilidade (impairment test)."/>
        <s v="Contratação de empresa especializada para prestar os serviços de acompanhamento, por meio de leitura, em nível nacional, dos Diários de Justiça (DJ) de todas as Unidades da Federação e do Diário Oficial da União (DOU), nas formas impressa e eletrônica, bem como de entrega diária, via e-mail, das publicações realizadas em nome da TELECOMUNICAÇÕES BRASILEIRAS S/A - TELEBRAS (e suas derivações) e em nome dos advogados por ela indicados (empregados públicos antigos e atuais)."/>
        <s v="Contratação de empresa especializada em prestação de serviços de Agente de Integração para intermediar o recrutamento de candidatos, pré-seleção, encaminhamento, acompanhamento e pagamento de bolsa-estágio a estudantes de nível superior, que estejam frequentando o ensino regular em instituições de educação superior, conforme Lei nº 11.788, de 25 de setembro de 2008, para atender às necessidades da Telecomunicações Brasileiras S.A – TELEBRAS, segundo especificações do Termo de Referência."/>
        <s v="O presente Contrato tem por objeto a contratação de contratação de empresa especializada em recrutamento e seleção de profissional, objetivando a seleção de profissional qualificado para integrar o comitê de auditoria estatutário (couad) da telebras."/>
        <s v="Aquisição de 75 (setenta e cinco) cadeiras de escritório ergonômicas a serem utilizadas pelos colaboradores que exercem suas atividades funcionais na sede da Telebras e no COPE, conforme especificações técnicas do Termo de Referência TLB-REF-2023/00157, e da Ata de Registro de Preços TLB-ARP-2024/00001._x000a__x000a_ "/>
        <s v="O presente Contrato tem por objeto a contratação de empresa especializada para prestação de serviços de locação de equipamentos multifuncionais com impressão, cópia e scanner, para atender as necessidades da TELEBRAS."/>
        <s v="O presente Contrato tem por objeto a contratação de Contratação de serviços para a confecção e fornecimento de cartões de visitas personalizados, sob demanda, para atender as diretorias, as gerências e demais departamentos da sede da Telebras."/>
        <s v="O presente Contrato tem por objeto a contratação de empresa especializada na prestação de serviços de inspeção e recarga de extintores para atender as necessidades da sede da telebras."/>
        <s v="Contratação, mediante afastamento licitatório, da construção de rede metropolitana aérea e/ou subterrânea no estado do Maranhão. GRUPO 1 "/>
        <s v="Contratação, mediante afastamento licitatório, da construção de rede metropolitana aérea e/ou subterrânea no estado do Maranhão. GRUPOS 3, 4, 5, 6 e 7"/>
        <s v="Contratação, mediante afastamento licitatório, da construção de rede metropolitana aérea e/ou subterrânea no estado do Maranhão. GRUPO 2"/>
        <s v="Contratação, mediante afastamento licitatório, da construção de backhaul e rede metropolitana aérea e/ou subterrânea, INFOVIA - MA, 2ª Fase. BLOCOS: 1, 2, 3, 4, 6, 7, 8 e 9."/>
        <s v="Contratação, mediante afastamento licitatório, da construção de backhaul e rede metropolitana aérea e/ou subterrânea, INFOVIA - MA, 2ª Fase. BLOCO: 5"/>
        <s v="Capacitação Controladoria"/>
        <s v="Contratação de empresa especializada em assessoria esportiva, organização, apoio técnico, logístico e estrutural para participação da equipe de colaboradores da Telebras, em caminhada (3km) e corrida (5km e 10km) no evento MARATONA MONUMENTAL DE BRASÍLIA em comemoração ao aniversário de 52 anos da empresa e a Semana Interna de Prevenção de Acidentes do Trabalho (SIPAT), no dia 23/11/2024, com largada prevista às 18h, na Esplanada dos Ministérios, em Brasília/DF."/>
        <s v="Capacitação Credenciamento"/>
        <s v="Curso Governança Corporativa para Empresas Estatais"/>
        <s v="Treinamento na Trilha: Tecnologia celular 4G – LTE"/>
        <s v="Formação de Facilitadores em Modelagem da Cultura Organizacional"/>
        <s v="Capacitação Técnica em Comunicação e Produção de Conteúdo para Gestão do Conhecimento."/>
        <s v="Desenvolvimento de Talentos e Gestão de Carreiras"/>
        <s v="Curso de COBIT®️ 2019 Foundation para profissionais lotados na GTI"/>
        <s v="Curso básico de DevOps, identificado como DevOps Fundamentos, na TRAINNING Education Center para os colaboradores da GTI"/>
        <s v="Curso/Treinamento: Relações com Investidores na prática: Completo"/>
        <s v="Capacitação GID Análise de dados"/>
        <s v="Capacitação em modelagem de dados e Automação"/>
        <s v="Treinamento Executivo - Risk University Imersão"/>
        <s v="Treinamento: Habilidades de T&amp;D"/>
        <s v="Treinamento e Certificação CISSP - Certified Information Systems Security Professional"/>
        <s v="O presente Contrato tem por objeto a contratação de empresa especializada para fornecimento de solução de ampliação da maturidade de ambiente computacional, envolvendo operação de Central de Suporte Técnico (Service Desk), com registro e acompanhamento de serviços especializados, aferidas e remunerados exclusivamente por Acordos de Nível de Serviço (ANS), visando prover a TELEBRAS de manutenção e evolução da saúde operacional de sua infraestrutura."/>
        <s v="O presente Contrato tem por objeto a contratação de empresa especializada na prestação de serviços de apoio logístico na produção de eventos, sob demanda, compreendendo o planejamento, a organização, a promoção, a execução e o acompanhamento de organização de eventos e serviços correlatos, para atender demanda da telebras."/>
        <s v="O presente Contrato tem por objeto a contratação de empresa ou consórcio no fornecimento, para implantação, integração, treinamento e suporte técnico de plataforma DNS (Domain Name Service), a fim de ampliar o sistema atualmente existente na Rede da Telebras aproveitando as licenças perpetua atualmente existentes."/>
        <s v="O presente Contrato tem por objeto a contratação de soluções de infraestrutura de rede de dados e telecomunicações, serviços de conectividade de rede local com fio (LAN) e sem fio (WLAN), proteção de redes com equipamentos do tipo Firewall UTM NGFW, solução de controle de acesso à rede, solução de identificação e autenticação centralizada, solução de plataforma SD-WAN, além de solução de múltiplo fator de autenticação (Token MFA), bem como os serviços necessários para sua implementação e operação."/>
        <s v="Filiação da Telebras à Fundação Nacional da Qualidade - FNQ"/>
        <s v="O presente contrato tem por objeto a contratação de  empresa  especializada  para  a  prestação  de serviços continuados de transporte, com fornecimento de veículos e mão de obra de motoristas habilitados, para o  transporte  de  pessoas  para  atender  a  demanda  da  Telebras  em  deslocamentos,  com  franquia  de  1700  km  por veículo por mês, conforme especificações técnicas e operacionais constantes do Termo de Referência TLB-REF-2024/00148-A , e mediante o fornecimento de mão de obra exclusiva."/>
        <s v="O presente contrato tem por objeto a contratação de empresa para prestação de serviço de carregadores na sede da telebras com fornecimento de todos os equipamentos necessários à perfeita execução do objeto, com mão de obra exclusiva."/>
        <s v="O presente Contrato tem por objeto a contratação de empresa especializada na prestação de serviços de informações e pesquisa no âmbito fiscal, trabalhista, previdenciário, contábil, auditoria e societário."/>
        <s v="O presente Contrato tem por objeto a contratação, mediante o sistema de registro de preços – srp, de empresa especializada na prestação do serviço de subscrição de licenças de uso de softwares para prover solução de colaboração, comunicação e produtividade corporativa, bem como atualização tecnológica das soluções atuais para atendimento das demandas da telebras incluindo suporte e treinamento."/>
        <s v="O presente contrato tem por objeto a contratação de empresa especializada para fornecimento de suporte e garantia dos servidores Dell da TELEBRAS, com fornecimento integral de peças de reposição, por um período até o fim de vida de suporte, dia 17 de outubro de 2025, de acordo com as especificações do Termo de Referência nº TLB-REF-2025/00020 e seus anexos."/>
        <s v="O presente contrato tem por objeto a contratação de empresa especializada para fornecimento de suporte e garantia dos switches Dell da TELEBRAS, com fornecimento integral de peças de reposição e de acordo com as especificações do Termo de Referência e seus anexos."/>
        <s v="O presente Contrato tem por objeto a aquisição de uma impressora de cartão pvc/crachá."/>
        <s v="O presente contrato tem por objeto a contratação de escritório de advocacia de notória especialização em matéria tributária em atendimento à deliberação da 1786ª reunião ordinária da diretoria executiva da telebras."/>
        <s v="O presente Contrato tem por objeto a contratação de empresa ou cooperativa especializada na prestação de serviços de intermediação e agenciamento de transporte terrestre de empregados e colaboradores da telebras a serviço."/>
        <s v="O presente Contrato tem por objeto a contratação de empresa especializada para a recuperação da impermeabilização da Cabine de Medição, Subestação e Câmara de Manobra da Estação de Acesso/Gateway de Salvador, Bahia."/>
        <s v="O presente Contrato tem por objeto a contratação de aquisição de solução de video wall (Servidor, Rack, Telas) com serviços de montagem e instalação para o Centro de Operação de Serviços da Rede Via Satélite (COS-VSAT) e do Centro de Operação de Serviços de Rede Terrestre (COS-REDE)."/>
        <s v="O presente Contrato tem por objeto a aquisição de garrafões de água mineral para COPE-P em regime emergencial."/>
        <s v="O presente Contrato tem por objeto a contratação de Assinatura de Plataforma de Sistema para Orçamentação baseada em tabelas SINAPI e SICRO com suporte e treinamento por um período de 60 (sessenta) meses, em que a licença estiver ativa."/>
        <s v="O presente contrato tem por objeto a Participação da TELEBRAS no Seminário Nacional de TIC para a Gestão Pública – SECOP 2025, por meio de ação promocional. O evento é organizado exclusivamente pela Associação Brasileira de Entidades Estaduais e Públicas de Tecnologia da Informação e Comunicação – ABEP-TIC e será realizado nos dias 06 e 07 de agosto de 2025 no CICB – Centro Internacional de Convenções do Brasil em Brasília –DF."/>
        <s v="O presente Contrato tem por objeto a contratação de seguro contra danos e perdas durante 12 (doze) meses para o SGDC em órbita, observadas as disposições técnicas do Anexo 1 - Wording do Seguro do Satélite em Órbita."/>
        <s v="O presente Contrato tem por objeto a contratação de Contratação, mediante afastamento licitatório, da construção de backhaul e rede metropolitana aérea e/ou subterrânea, projeto INFOVIA – MA fase 1 (TLB-PRO-2024/06032)."/>
        <s v="O presente Contrato tem por objeto a contratação de Contratação, mediante afastamento licitatório, da construção de backhaul e rede metropolitana aérea e/ou subterrânea, projeto INFOVIA – MA fase 2 (Processo TLB-PRO-2024/06802)."/>
        <s v="O  presente  Contrato  tem  por  objeto  a  contratação  de  serviços  demanutenção  preventiva  e  corretiva  de  registrador  eletrônico  de  ponto  Biométrico,  modeloREP IDCLASS da CONTROLID e sistemas de controle de acesso biométrico"/>
        <s v="O presente contrato tem por objeto acontratação de escritório de Badia eQuartim  Advogados  –  BQA  para  defesa  judicial  do  ex-Diretor  da  Telebras,  o  Sr.  PauloFerreira,  contra  decisão  proferida  no  Processo  Administrativo  Sancionador  nº  RJ2018/5158(Processo  Eletrônico  SEI  19957.007825/2018  11),  instaurado  pela  Comissão  de  ValoresMobiliários (CVM)"/>
        <s v="O  presente  Contrato  tem  por  objeto  a  contratação  de  empresa  seguradorapara prestação de serviços de cobertura securitária na modalidade de Responsabilidade CivilD&amp;O  (Directors  and  Officers),  para  membros  do  Conselho  de  Administração,  do  ConselhoFiscal  e  da  Diretoria  Executiva  da  Telebras,  com  emissão  de  apólice  à  base  de  reclamaçõescom notificação, conforme disposto na Circular SUSEP nº 637, de 27 de julho de 2021."/>
        <s v="O presente Contrato tem por objeto a contratação de empresa ou consórciode empresas especializadas no fornecimento de cabos breakout (fanout), para uso na Rede daTelebras como sobressalente."/>
        <s v="O presente Contrato tem por objeto a contratação de empresa especializada para atualização, aquisição e instalação de equipamentos firewall compatível e serviços de suporte on-site e manutenção de hardware e software."/>
        <s v="O presente Contrato tem por objeto a aquisição de equipamentos sobressalentes para as Estações de Controle e Acesso do SGDC - Low Noise Amplifier (LNA) Redundant System."/>
        <s v="O presente Contrato tem por objeto a contratação de serviços de sustentação e manutenção de sistemas na modalidade fábrica de software."/>
        <s v="O presente contrato tem por objeto a contratação de consultoria para orientar e implantar Práticas de Gestão do Conhecimento a fim de evoluir a maturidade da GC na Telebras."/>
        <s v="Contratação,  mediante  afastamento  licitató-rio,  da  construção  de  backhaul  e  rede  metropolitana aérea e/ou subterrânea, projeto INFOVIA –MA  (fase 1). GRUPO 3."/>
        <s v="O presente Contrato tem por objeto a contratação de Contratação, mediante afastamento licitatório, da construção de backhaul e rede metropolitana aérea e/ou subterrânea, projeto INFOVIA – MA (fase 2). GRUPOS 1, 2 e 3"/>
        <s v="O presente Contrato tem por objeto a contratação de empresa especializada para a execução de serviços de reparo de equipamentos das Estações de Acesso do Satélite Geoestacionário de Defesa e Comunicações Estratégicas (SGDC)."/>
        <s v="O presente Contrato tem por objeto a contratação de entidade especializada para prestação de serviços técnicos de realização do 4º Concurso Público da Telebras."/>
        <s v="O presente Contrato tem por objeto a contratação de empresa especializada na prestação de serviços de locação de escritório empresarial, com serviço de mensageria e recepção em 19 (dezenove) Estados da Federação."/>
        <s v="Fornecimento de licenças de uso do software Adobe Creative Cloud for Teams. "/>
        <s v="Associação  da  Telebras  ao  Instituto Brasileiro de Governança Corporativa -IBGC para o ano de 2025."/>
        <s v="O presente contrato tem por objeto a aquisição de condensadoras adequadas aos equipamentos de Climatização de Precisão / Ar Condicionado / Self Contained das estações gateways / teleportos de Florianópolis e Salvador."/>
        <s v="O presente Contrato tem por objeto a contratação de serviço especializado de Central de Atendimento Multimeios no modelo Contact Center Omnichannel, incluindo infraestrutura, mão de obra, tecnologias e serviço de STFC, mediante o fornecimento de mão de obra exclusiva."/>
        <s v="Fornecimento de licenças do software Envato Elements"/>
        <s v="O presente Contrato tem por objeto a contratação de empresa especializada na prestação de serviços de saúde do trabalho, visando à execução do Programa de Controle Médico de Saúde Ocupacional (PCMSO) e demais atividades correlatas, em atendimento à SEDE e COPE-P (DF), COPE-S (RJ) e Escritório Regional de Belém (PA)."/>
        <s v="O presente Contrato tem por objeto a contratação, mediante o Sistema de Registro de Preços – SRP, de empresa ou consórcio de empresas especializadas em soluções de infraestrutura com o fornecimento e Implantação de UPS para Ar-Condicionado nas Estações de Acesso do SGDC de Campo Grande."/>
        <s v="O presente Contrato tem por objeto a contratação, mediante o sistema de registro de preços – srp, de empresa especializada para atualização, aquisição e instalação de equipamentos firewall compatível e serviços de suporte on-site e manutenção de hardware e software."/>
        <s v="O presente Contrato tem por objeto a contratação de empresa especializada em manutenção predial, pintura, revisão de parte elétrica na sala do Escritório Regional de São Paulo/SP – ER/SP."/>
        <s v="O presente contrato tem por objeto a aquisição de componentes dos Grupos Motor Geradores (GMGs) para as Estações de Acesso /Gateways."/>
        <s v="O presente Contrato tem por objeto a contratação de empresa especializada na prestação de serviços de locação de escritório empresarial, com serviço de mensageria e recepção em 2 (dois) Estados da Federação"/>
        <s v="Aquisição de 125 (cento e vinte e cinco) cadeiras ergonômicas a serem utilizadas pelos colaboradores que exercerão suas atividades funcionais na nova sede da TELEBRAS."/>
        <s v="Contratação de empresa especializada para fornecimento de solução para realização deAssembleias Gerais Digitais em conformidade com as regras da Comissão de Valores Mobiliários"/>
        <s v="Contratação dos serviços de atualização de versão, manutenção, suporte técnico e implantação de melhorias do software GUEPARDO integrado ao ambiente ERP/SAP Telebras."/>
        <s v="Aquisição de sobressalentes de infraestrutura associadas a ventilação e climatização das estações de telecomunicações da Rede Nacional de Telecomuni-cações da Telebras"/>
        <s v="Contratação de serviços de escrituração de ações e outras obrigações societárias da Telecomunicações Brasileiras S.A – Telebras, a serem executados por instituição financeira devidamente autorizada pela Comissão de Valores Mobiliários – CVM"/>
        <s v="Contratação de empresa especializada em locação de veículos automotivos, por demanda, para deslocamentos terrestres, sem motorista, com quilometragem livre, seguro total sem franquia com cobertura para danos pessoais e materiais de terceiros e com todos os equipamentos suplementares de segurança exigidos pelo Conselho Nacional de Trânsito - CONTRAN."/>
        <s v="Aquisição de sobressalentes de infraestrutura associadas ao GMG - Grupo Motor Gerador, das estações de telecomunicações da Rede Nacional de Telecomunicações da TELEBRAS."/>
        <s v="Contratação de serviços especializados de reparos de equipamentos e componentes DWDM para atendimento de RMAs da planta de telecomuni-cações da TELEBRAS"/>
        <s v="Prestação de serviços técnicos de auditoria independente para o 2º, 3º e 4º trimestres de 2026, com a apresentação das demonstrações anuais. "/>
        <s v="Confecção e instalação de 3 (três) adesivos institucionais, sendo 1 (um) nas dimensões de 81 cm x 2,4 m e 2 (dois) nas dimensões de 1,12 m x 2,4 m."/>
        <s v="Contratação de seguro contra danos e perdas durante 12 (doze) meses para o SGDC em órbita para o período 2026/2027"/>
        <s v="Contratação  de  empresa  especializada  para aquisição einstalação de rede de proteção/rede anti-pássaro  na  Estação  de  Acesso/Gateway  de  Campo Grande/MS."/>
        <s v="Contratação de consultoria e assessoria con-tábil, financeira e tributária, que preste serviço técni-co especializado, para diagnosticar e mapear proces-sos tributários, contábeis e financeiros, identificar os impactos para o preço dos serviços prestados, avaliar sistemas,  acompanhar  e  analisar  a  legislação,  dar suporte e construir especificações técnicas para ajus-tar o sistema SAP, gerenciar o projeto, assegurar a conformidade legal e equacionar a carga tributária da TELEBRAS em face da Reforma Tributária. "/>
        <s v="Contratação  de  empresa  especializada  para realização   de   manutenções   e   apoios   técnicos   nas antenas do Projeto SGDC."/>
        <s v="Prestação de serviços de saúde e segurança do trabalho em conformidade com a NR-7 do Ministé-rio do Trabalho e Emprego."/>
        <s v="Confecção  dos  seguintes  materiais  gráficos institucionais  da  Telebras:  a)  1.000  (mil) Envelopes institucionais;  b)  1.700  (mil  e  setecentos) Cartões  de visita;c) 1 (um) Banner institucional."/>
        <s v="Confecçãodosseguintesmateriais  gráficos institucionais  da  Telebras:  a)Adesivação  institucional, b)Banners institucionais; c) 600  (seiscentos) moleski-nes;d)  500  (quinhentos)  mousepads;  e)  500  (qui-nhentas) canetas plásticas; f) 600 (seiscentos) cordões para crachá com rollerclip."/>
        <m/>
        <s v="O presente Contrato tem por objeto o fornecimento de licenças de uso do software Adobe Creative Cloud for Teams" u="1"/>
        <s v="O presente Contrato tem por objeto o fornecimento de licenças de uso do software Adobe Creative Cloud for Teams." u="1"/>
        <s v="Backup as a Service (BaaS)" u="1"/>
        <s v="O presente contrato tem por objeto a contratação de empresa especializada para fornecimento de suporte e garantia dos servidores dell da telebras, com fornecimento integral de peças de reposição, por um período até o fim de vida de suporte, dia 17 de outubro de 2025, de acordo com as especificações do Termo de Referência nº TLB-REF-2024/00129 e seus anexos." u="1"/>
        <s v="O presente Contrato tem por objeto a contratação, mediante afastamento licitatório, da construção de backhaul e rede metropolitana aérea e/ou subterrânea, INFOVIA - MA, 2ª Fase." u="1"/>
        <s v="Contratação dos serviços prestados pela 1Telecom de soluções de Beckup As a Service-Bass, composta pelos serviços de Cloud UM backup, Cloud UM Pro, Cloud UM Storage e Videocloud Um, além dos serviços profissionais e gerenciados UM, objeto. (LPU)" u="1"/>
        <s v="O presente Contrato tem por objeto a contratação, mediante afastamento licitatório, da construção de backhaul e rede metropolitana aérea e/ou subterrânea, INFOVIA – MA, fase 2." u="1"/>
        <s v="O presente Contrato tem por objeto a contratação de Contratação, mediante afastamento licitatório, da construção de backhaul e rede metropolitana aérea e/ou subterrânea." u="1"/>
        <s v="Aquisição de mobiliário - cadeira de escritório ergonômica." u="1"/>
        <s v="A CONTRATAÇÃO DE EMPRESA ESPECIALIZADA EM SERVIÇOS DE LOGÍSTICA DE TRANSPORTE RODOVIÁRIO DE CARGA FRACIONADA, POR DEMANDA, INCLUINDO COLETA E REMESSA EM ÂMBITO NACIONAL, DE ENCOMENDAS, CARGAS (EQUIPAMENTOS E DEMAIS MATERIAIS) E MUDANÇAS, INCLUINDO O MAQUINÁRIO EVENTUALMENTE NECESSÁRIO PARA A MOVIMENTAÇÃO DE CARGA E DESCARGA (EMPILHADEIRA, PALLET, MUNCK), COM FORNECIMENTO DE EMBALAGENS, POR MEIO DO SISTEMA PORTA-A-PORTA, COM POSSIBILIDADE DE INTEGRAÇÃO ENTRE MODAIS, COM SEGURO OBRIGATÓRIO" u="1"/>
        <s v="a contratação de empresa especializada para prestar os serviços de acompanhamento, por meio de leitura, em nível nacional, dos Diários de Justiça (DJ) de todas as Unidades da Federação e do Diário Oficial da União (DOU), nas formas impressa e eletrônica, bem como de entrega diária, via e-mail, das publicações realizadas em nome da TELECOMUNICAÇÕES BRASILEIRAS S/A - TELEBRAS (e suas derivações) e em nome dos advogados por ela indicados (empregados públicos antigos e atuais)." u="1"/>
        <s v="O presente Contrato tem por objeto a contratação, mediante afastamento licitatório, da construção de backhaul e rede metropolitana aérea e/ou subterrânea." u="1"/>
      </sharedItems>
    </cacheField>
    <cacheField name="TIPO DO OBJETO" numFmtId="49">
      <sharedItems containsBlank="1" count="7">
        <s v="Cessão"/>
        <s v="Serviços"/>
        <s v="Compras"/>
        <s v="Informática (TIC)"/>
        <s v="Obras e Serviço de Engenharia"/>
        <m/>
        <s v="Serviço de Engenharia" u="1"/>
      </sharedItems>
    </cacheField>
    <cacheField name="FORNECEDOR" numFmtId="49">
      <sharedItems containsBlank="1" count="144">
        <s v="Equatorial Maranhão Distribuidora de Energia S.A."/>
        <s v="ACCESS INTELLIGENCE, LLC"/>
        <s v="JMC PRESTACAO DE SERVICOS DIVERSOS LTDA"/>
        <s v="PIRES &amp; SANTOS COMERCIO LTDA"/>
        <s v="INLABS CAPACITACAO PROFISSIONAL LTDA"/>
        <s v="PRONTO EVENTOS TECNOLOGIA E INTEGRACAO LTDA"/>
        <s v="ATP SPECIALS BV"/>
        <s v="ZENITE INFORMACAO E CONSULTORIA S/A"/>
        <s v="CENOFISCO CENTRO DE CAPACITACAO PROFISSIONAL LTDA"/>
        <s v="SMARTX IMPORTACAO E COMERCIO LTDA"/>
        <s v="GRAFICA E EDITORA FERNANDES E LIRA LTDA"/>
        <s v="BRASILIA COMERCIO ATACADISTA DE SUPRIMENTOS DE PAPELARIA LTDA"/>
        <s v="COMERCIAL ALVORADA DE PRODUTOS PARA LIMPEZA E DESCARTÁVEIS LTDA"/>
        <s v="IBET INSTITUTO BRASILEIRO DE ESTUDOS TRIBUTARIOS"/>
        <s v=" Energisa Minas-Rio Distribuidora de Energia S.A."/>
        <s v="INTEGRACAO - ESCOLA DE NEGOCIOS LTDA"/>
        <s v="SUBLIMA BOLSAS LTDA"/>
        <s v="LEGACY DISTRIBUIDORA DE INFORMATICA E ELETROELETRONICOS LTDA"/>
        <s v="CALCAM COMERCIAL DE SUPRIMENTOS DE INFORMATICA LTDA"/>
        <s v="SEC POWER COMERCIAL, IMPORTADORA E EXPORTADORA LTDA"/>
        <s v="PS Treinamento Profissional e Consultoria Empresarial Ltda"/>
        <s v="ROBSON O DE SOUZA"/>
        <s v="ASSOCIACAO BRASILEIRA DE RECURSOS HUMANOS"/>
        <s v="ASSOCIACAO BRASILEIRA DE ENTIDADES ESTADUAIS"/>
        <s v="Bioseg Brasília Soluções em Segurança e Medicina do Trabalho Ltda."/>
        <s v="INSTITUTO BRASILEIRO DE GOVERNANCA CORPORATIVA"/>
        <s v="FUNDACAO GETULIO VARGAS"/>
        <s v="Bioseg Brasília Soluções em Segurança e Medicina do Trabalho Ltda"/>
        <s v="NP Tecnologia e Gestão de Dados Ltda"/>
        <s v="NÚCLEO DE INFORMAÇÃO E COORDENAÇÃO DO PONTO BR - NIC.br"/>
        <s v="CEMIG Distribuição S.A"/>
        <s v="MICROTÉCNICA INFORMÁTICA LTDA."/>
        <s v="TRANSCOURIER LTDA"/>
        <s v="INFOPLAN TECNOLOGIA, COMÉRCIO E SERVIÇOS - LTDA."/>
        <s v="HC COMUNICAÇÃO DE DADOS LTDA."/>
        <s v="CERTISIGN CERTIFICADORA DIGITAL S.A."/>
        <s v="INFOPLAN TECNOLOGIA COMÉRCIO E SERVIÇOS LTDA"/>
        <s v="SECPOWER COMERCIAL IMPORTADORA EXPORTADORA LTDA."/>
        <s v="INSTITUTO DE PESQUISAS TECNOLOGICAS DO ESTADO DESAO PAULO S/A - IPT."/>
        <s v="GLOBAL DISTRIBUIÇÃO DE BENS DE CONSUMO LTDA."/>
        <s v="NEXVIA COMÉRCIO E SERVIÇOS DE EQUIPAMENTOS DE TELECOMUNICAÇÕES LTDA"/>
        <s v="TARGET ENGENHARIA  E  CONSULTORIA  LTDA."/>
        <s v="G9 FACILITIES LTDA"/>
        <s v="QUÂNTICA EMPRESA DE CONSULTORIA E SERVIÇOS LTDA"/>
        <s v="CENTRAL SERVIÇOS E GESTÃO LTDA"/>
        <s v="CÂMARA DE DIRIGENTES LOJISTA DO DISTRITO FEDERAL - CDL(DF)"/>
        <s v="IMPAKT CONSULTORIA S/S LIMITADA"/>
        <s v="MEGA INFRA SOLUÇÕES EM INFRAESTRUTURA LTDA"/>
        <s v="INSTITUTO BRASILEIRO DE GOVERNANÇA CORPORATIVA - IBGC"/>
        <s v="EMPRESA REI DE OURO MUDANÇAS E TRANSPORTE"/>
        <s v="REAL JG FACILITIES S/A"/>
        <s v="KEYSIGHT TECHNOLOGIES MEDIÇÃO BRASIL LTDA"/>
        <s v="KOVR SEGURADORA S.A."/>
        <s v="ASSOCIAÇÃO BRASILEIRA DE ENTIDADES ESTADUAIS E PÚBLICAS DE TECNOLOGIA DA INFORMAÇÃO E COMUNICAÇÕES – ABEP"/>
        <s v="REDE NACIONAL DE APRENDIZAGEM, PROMOÇÃO SOCIAL E INTEGRAÇÃO - RENAPSI"/>
        <s v="MAPFRE SEGUROS GERAIS S.A,"/>
        <s v="NACIONAL ELETRONICA E TELECOMUNICACOES LTDA"/>
        <s v="CONVERGY SERVIÇOS E CONTABILIDADE LTDA"/>
        <s v="GRIFON DIGITAL SERVICOS LTDA"/>
        <s v="AGÊNCIA DE INTEGRAÇÃO EMPRESA ESCOLA - AGIEL "/>
        <s v="DINÂMICA CONSULTORIA E SOLUÇÕES EMPRESARIAIS LTDA"/>
        <s v="TECNO2000 INDUSTRIA E COMERCIO LTDA"/>
        <s v="AMIGGO BRASIL IMPORTACAO LTDA"/>
        <s v="OTT SERVIÇOES GRÁFICOS LTDA"/>
        <s v="PRIME COMÉRCIO E SERVIÇOS DE EXTINTORES"/>
        <s v="CLEMAR ENGENHARIA LTDA"/>
        <s v="ADTK COMERCIO E SERVIÇOS DE INFORMÁTICA E TELECOMUNICAÇÕES S.A"/>
        <s v="3CORP TECHNOLOGY INFRAESTRUTURA DE TELECOM LTDA"/>
        <s v="HC COMUNICAÇÃO DE DADOS LTDA"/>
        <s v="Fundação Getulio Vargas"/>
        <s v="MARCIA GONCALVES FARIA ROSA"/>
        <s v="INSTITUTO BRASILEIRO DE GOVERNANCA CORPORATIV"/>
        <s v="FUNDACAO INSTITUTO NACIONAL DE TELECOMUNICACO"/>
        <s v="AKADEMIA DE TRANSFORMACAO ORGANIZACIONAL LTDA"/>
        <s v="MARIANA RODRIGUES DE LIMA"/>
        <s v="BMEC EDUCACIONAL LTDA"/>
        <s v="SINGULARES TECNOLOGIA DA INFORMACAO LTDA"/>
        <s v="MINDWORKS - TECNOLOGIA E TREINAMENTO LTDA"/>
        <s v="FUNDACAO INSTITUTO DE PESQUISAS CONTABEIS, AT"/>
        <s v="KPMG ASSURANCE SERVICES LTDA"/>
        <s v="ABTD ASSOCIACAO BRASILEIRA DE TREINAMENTO"/>
        <s v="KA SOLUTION INFORMATICA LTDA"/>
        <s v="G4F SOLUÇÕES CORPORATIVAS LTDA"/>
        <s v="EXEMPLUS COMUNICAÇÃO E MARKETING LTDA"/>
        <s v="CONSÓRCIO INBLOKO"/>
        <s v=" ALLTECH SOLUÇÕES EM TECNOLOGIA LTDA"/>
        <s v="Fundação Nacional da Qualidade (FNQ)"/>
        <s v="BR 22 ALUGUEL DE CARROS"/>
        <s v="SAARA OBRAS E SERVICOS LTDA"/>
        <s v="LEGIS JET LTDA"/>
        <s v="BRASOFTWARE INFORMATICA LTDA"/>
        <s v="DELL COMPUTADORES DO BRASIL LTDA"/>
        <s v="SC BRASIL GROUP SOLUÇÕES TECNOLÓGICAS LTDA"/>
        <s v="SACHA CALMON - MISABEL DERZI, CONSULTORES E ADVOGADOS"/>
        <s v="I9 SOLUTIONS - SOLUÇÕES COMERCIAIS E GESTÃO DE TRANSPORTE LTDA"/>
        <s v="G3 SERVIÇOS DE CONSTRUÇÕES HIDRÁULICA E IMPERMEABILIZAÇÃO LTDA"/>
        <s v="DIGITAL SERVIÇOS EM TECNOLOGIA LTDA"/>
        <s v="LENDA INDÚSTRIA DE ÁGUA MINERAL LTDA"/>
        <s v="3F LTDA"/>
        <s v="ASSOCIAÇÃO BRASILEIRA DE ENTIDADES ESTADUAIS E PÚBLICAS DE TECNOLOGIA DA INFORMAÇÃO E COMUNICAÇÃO – ABEP-TIC"/>
        <s v="MAPFRE SEGUROS GERAIS S/A"/>
        <s v="INVITEC  SERVIÇO  DE SEGURANÇA   E   TECNOLOGIA   LTDA"/>
        <s v="BADIA  EQUARTIM  ADVOGADOS  -  BQA"/>
        <s v="FONNET COMÉRCIO DE EQUIPAMENTOS DE TELECOMUNICAÇÕES LTDA"/>
        <s v="NTSEC SOLUÇÕES EM TELEINFORMÁTICA LTDA"/>
        <s v="MASTER SERVIÇOS E COMÉRCIO LTDA"/>
        <s v="LGK SERVICOS EM TECNOLOGIA DA INFORMACAO LTDA"/>
        <s v="IMPAKT CONSULTORIA SS LIMITADA"/>
        <s v="ADTK  COMERCIO  E  SERVIÇOS  DE  INFOR-MÁTICA E TELECOMUNICAÇÕES S.A"/>
        <s v="CENTRO BRASILEIRO DE PESQUISA EM AVALIAÇÃO E SELEÇÃO E DE PROMOÇÃO DE EVENTOS (CEBRASPE)"/>
        <s v="BLS COMPANY ASSESSORIA CONTÁBIL LTDA"/>
        <s v="MCR SISTEMAS E CONSULTORIA LTDA"/>
        <s v="INSTITUTO BRASILEIRO DE GOVERNANÇA CORPORATIVA -IBGC"/>
        <s v="VERTIV TECNOLOGIA DO BRASIL LTDA"/>
        <s v="ST SERVIÇOS EMPRESARIAIS LTDA"/>
        <s v="PROJELITE SOLUÇÕES TECNOLÓGICAS LTDA"/>
        <s v="MPV - SERVICOS DE CLÍNICA MÉDICA, CARDIOLOGIA E CIRURGIA GERAL LTDA"/>
        <s v="PLANEJE TECNOLOGIA E SERVIÇOS LTDA"/>
        <s v="NTSEC  SOLUÇÕES EM TELEINFORMÁTICA LTDA"/>
        <s v="ROL SOLUÇÕES PREDIAIS LTDA"/>
        <s v="ROLLS ROYCE SOLUTIONS"/>
        <s v="MOORE METRI CONSULTORIA LTDA"/>
        <s v="VIVER EVENTOS LTDA"/>
        <s v="TECNO 2000 INDUSTRIA E COMÉRCIO LTDA"/>
        <s v="RDM TECHNOLOGY LTDA"/>
        <s v="NTT  DATA  BUSINESS  SOLUTIONS –SER-VIÇOS DE TECNOLOGIA LTDA"/>
        <s v="BANCO BRADESCO S/A"/>
        <s v="VIAGENS BRASIL TURISMO LTDA"/>
        <s v="GOIASTEC COMERCIO E SERVIÇOS LTDA"/>
        <s v="PADTEC S.A."/>
        <s v="METRÓPOLE - AUDITORES INDEPENDEN-TES ASSOCIADOS S/S "/>
        <s v="FORTE GRÁFICA E EDITORA LTDA"/>
        <s v="ALLSEG SEGURADORA S/A "/>
        <s v="MAUFE  TELAS  COMÉRCIO  E  SERVIÇOS LTDA "/>
        <s v="BUSINESS INTEGRATION PARTNERS DO BRASIL CONSULTORIA LTDA"/>
        <s v="TELESPAZIO BRASILS/A"/>
        <s v="VOLUE SERVIÇOS LTDA"/>
        <m/>
        <s v="ETRÓPOLE - AUDITORES INDEPENDEN-TES ASSOCIADOS S/S " u="1"/>
        <s v="SOLUÇÕES EM TELEINFORMÁTICA LTDA" u="1"/>
        <s v="CR SISTEMAS E CONSULTORIA LTDA" u="1"/>
        <s v="1TELECOM SERVIÇOS DE TECNOLOGIAEM INTERNET LTDA (LPU)" u="1"/>
        <s v="TECNO 2000 INDUSTRIA E COMERCIO LTDA" u="1"/>
        <s v="DELL Technologies" u="1"/>
      </sharedItems>
    </cacheField>
    <cacheField name="CNPJ/CPF" numFmtId="49">
      <sharedItems containsBlank="1" count="123">
        <s v="06.272.793/0001-84"/>
        <s v="EX2421627"/>
        <s v="44.391.794/0001-37"/>
        <s v="52.087.237/0001-55"/>
        <s v="16.700.677/0001-72"/>
        <s v="12.685.506/0001-60"/>
        <s v="EX2421630"/>
        <s v="86.781.069/0001-15"/>
        <s v="07.799.454/0001-13"/>
        <s v="39.307.323/0001-68"/>
        <s v="07.736.659/0001-50"/>
        <s v="34.698.137/0001-83"/>
        <s v="07.888.247/0001-35"/>
        <s v="63.104.475/0001-48"/>
        <s v="19.527.639/0001-58"/>
        <s v="03.493.782/0001-36"/>
        <s v="28.581.587/0001-99"/>
        <s v="52.504.817/0001-09"/>
        <s v="09.666.095/0001-51"/>
        <s v="01.938.502/0007-16"/>
        <s v="38.593.731/0001-60"/>
        <s v="31.659.740/0001-68"/>
        <s v="43.456.425/0001-12"/>
        <s v="77.639.433/0001-16"/>
        <s v="46.590.489/0001-08"/>
        <s v="01.082.331/0001-80"/>
        <s v="33.641.663/0001-44"/>
        <s v="07.797.967/0001-95"/>
        <s v="05.506.560/0001-36"/>
        <s v="06.981.180/0001-16"/>
        <s v="01.590.728/0009-30"/>
        <s v="03.220.264/0001-49"/>
        <s v="24.120.157/0001-19"/>
        <s v="05.202.938/0001-08"/>
        <s v="01.554.285/0001-75"/>
        <s v="60.633.674/0001-55"/>
        <s v="89.237.911/0289-08"/>
        <s v="05.741.931/0001-64"/>
        <s v="00.000.028/0001-29"/>
        <s v="11.404.230/0001-32"/>
        <s v="32.908.188/0001-67"/>
        <s v="26.009.298/0001-94"/>
        <s v="00.114.868/0001-12"/>
        <s v="08.170.564/0001-84"/>
        <s v="07.525.262/0001-19"/>
        <s v=" 08.247.960/0001-62"/>
        <s v="19.651.511/0001-00"/>
        <s v="42.366.302/0001-28"/>
        <s v="37.381.902/0001-25"/>
        <s v="61.074.175/0001-38"/>
        <s v="44.444.375/0001-16"/>
        <s v="16.935.205/0001-07"/>
        <s v="26.579.777/0003-08"/>
        <s v="01.406.617/0001-74"/>
        <s v="40.828.623/0001-71"/>
        <s v="21.306.287/0001-52"/>
        <s v="34.787.540/0003-40"/>
        <s v="54.064.037/0001-02"/>
        <s v="09.098.197/0001-18"/>
        <s v="83.932.418/0001-64"/>
        <s v="08.157.504/0001-21"/>
        <s v="04.238.297/0004-21"/>
        <s v="07.436.280/001-87"/>
        <s v=" 33.641.663/0001-44"/>
        <s v="16.454.959/0001-37"/>
        <s v="24.492.886/0001-04"/>
        <s v="29.484.585/0001-44"/>
        <s v="52.552.337/0001-05"/>
        <s v="04.298.309/0007-56"/>
        <s v="23.992.391/0001-73"/>
        <s v="48.933.398/0001-45"/>
        <s v="46.359.865/0001-40"/>
        <s v="06.240.429/0007-28"/>
        <s v="43.730.787/0001-50"/>
        <s v="04.527.228/0001-95"/>
        <s v="07.094.346/0001-45"/>
        <s v="72.638.372/0001-59"/>
        <s v="57.687.613/0001-66"/>
        <s v="07.704.559/0001-89"/>
        <s v="06.177.379/0001-96"/>
        <s v="05.228.723/0001-66"/>
        <s v="27.188.971/0001-63"/>
        <s v="57.142.978/0001-05"/>
        <s v="72.381.189/0001-10"/>
        <s v="43.478.505.0001-79"/>
        <s v="00.140.626/0001-01"/>
        <s v="11.735.329/0001-17"/>
        <s v="21.811.048/0001-50"/>
        <s v="37.111.778/0001-88"/>
        <s v="00.868.963/0001-01"/>
        <s v="23.484.444/0001-45"/>
        <s v="31.974.592/0001-76"/>
        <s v="60.525.730/0001-38"/>
        <s v="11.035.558/0001-29"/>
        <s v="09.137.728/0001-34"/>
        <s v="97.547.019/0001-94"/>
        <s v="16.509.591/0001-67"/>
        <s v="18.284.407/0001-53"/>
        <s v="17.465.523/0001-06"/>
        <s v="04.198.254/0001-17"/>
        <s v="03.698.870/0008-40"/>
        <s v="18.502.465/0001-06"/>
        <s v="27.813.226/0001-68"/>
        <s v="15.471.958/0001-38"/>
        <s v="28.482.916/0001-44"/>
        <s v="42.290.385/0001-19"/>
        <s v="48.600.191/0001-59"/>
        <s v="01.666.787/0001-98"/>
        <s v="04.274.005/0001-63"/>
        <s v="44.455.778/0001-60"/>
        <s v="07.592.315/0001-14"/>
        <s v="60.746.948/0001-12"/>
        <s v="72.597.966/0001-69"/>
        <s v="43.711.856/0001-88"/>
        <s v="03.549.807/0009-23"/>
        <s v="43.384.179/0001-30 "/>
        <s v="03.157.626/0001-02"/>
        <s v="67.865.360/0001-27"/>
        <s v="44.776.352/0001-09"/>
        <s v="17.255.079/0001-02"/>
        <s v="02.214.014.0001-33"/>
        <s v=" 26.699.784/0001-81"/>
        <m/>
      </sharedItems>
    </cacheField>
    <cacheField name="Nº PARCELAS" numFmtId="1">
      <sharedItems containsString="0" containsBlank="1" containsNumber="1" containsInteger="1" minValue="0" maxValue="128" count="25">
        <n v="12"/>
        <n v="10"/>
        <n v="8"/>
        <n v="9"/>
        <n v="7"/>
        <n v="6"/>
        <n v="5"/>
        <n v="3"/>
        <n v="4"/>
        <n v="2"/>
        <n v="128"/>
        <n v="60"/>
        <n v="24"/>
        <n v="48"/>
        <n v="36"/>
        <n v="26"/>
        <n v="21"/>
        <n v="13"/>
        <n v="42"/>
        <n v="63"/>
        <n v="15"/>
        <n v="1"/>
        <n v="30"/>
        <m/>
        <n v="0" u="1"/>
      </sharedItems>
    </cacheField>
    <cacheField name="VALOR DA PARCELA" numFmtId="44">
      <sharedItems containsMixedTypes="1" containsNumber="1" minValue="0" maxValue="122036510.12" count="241">
        <n v="2897.31"/>
        <n v="2258.66"/>
        <n v="483.89499999999998"/>
        <n v="1311.875"/>
        <n v="3250"/>
        <n v="4666.7000000000007"/>
        <n v="769.76666666666665"/>
        <n v="1296.6666666666667"/>
        <n v="218"/>
        <n v="6200"/>
        <n v="290"/>
        <n v="1174.5662500000001"/>
        <n v="1297.92875"/>
        <n v="1312.5"/>
        <n v="2925"/>
        <n v="150"/>
        <n v="757.14285714285711"/>
        <n v="1735.7142857142858"/>
        <n v="1927.0933333333332"/>
        <n v="108.33333333333333"/>
        <n v="2390.0266666666666"/>
        <n v="79.400000000000006"/>
        <n v="1676.306"/>
        <n v="2752"/>
        <n v="11999.6"/>
        <n v="633.33333333333337"/>
        <n v="4057.5"/>
        <n v="1496.4"/>
        <n v="11305"/>
        <n v="7550"/>
        <n v="996.66666666666663"/>
        <n v="77000"/>
        <n v="0"/>
        <n v="5096.413333333333"/>
        <n v="24749.05"/>
        <n v="39222.633333333331"/>
        <n v="86284.22083333334"/>
        <n v="275975.24874999997"/>
        <n v="17570"/>
        <n v="10233.222222222223"/>
        <n v="4400"/>
        <n v="6912.5"/>
        <n v="2254.8055555555557"/>
        <n v="9234.1666666666661"/>
        <n v="10813.74"/>
        <n v="2884.61"/>
        <n v="39539.864285714284"/>
        <n v="184.5"/>
        <n v="15483.333333333334"/>
        <n v="14457.426666666666"/>
        <n v="2246.1666666666665"/>
        <n v="11783.027833333334"/>
        <n v="26162.44"/>
        <n v="119702.84749999999"/>
        <n v="8166.666666666667"/>
        <n v="11997.6"/>
        <n v="4440.2400000000007"/>
        <n v="894785.41666666663"/>
        <n v="68229.41333333333"/>
        <n v="12222.222222222223"/>
        <n v="158.4"/>
        <n v="131931.6"/>
        <n v="165.41666666666666"/>
        <n v="5192.3076923076924"/>
        <n v="3196.14"/>
        <n v="375"/>
        <n v="170.98999999999998"/>
        <n v="26767.111875000002"/>
        <n v="199970.92500000002"/>
        <n v="12050.060416666667"/>
        <n v="931843.07874999999"/>
        <n v="53431.744791666664"/>
        <n v="249.4"/>
        <n v="2458.3333333333335"/>
        <n v="328.66666666666669"/>
        <n v="3066.6666666666665"/>
        <n v="449.77500000000003"/>
        <n v="208.08333333333334"/>
        <n v="666.66666666666663"/>
        <n v="41.583333333333336"/>
        <n v="487.5"/>
        <n v="430.83333333333331"/>
        <n v="233.75"/>
        <n v="590"/>
        <n v="451.25"/>
        <n v="1838.8333333333333"/>
        <n v="206.66666666666666"/>
        <n v="1102.8775000000001"/>
        <n v="181457.16999999998"/>
        <n v="43404.06"/>
        <n v="315313.27049999998"/>
        <n v="3389903.0588888889"/>
        <n v="512.5"/>
        <n v="88090"/>
        <n v="9133.3326666666653"/>
        <n v="819.44444444444446"/>
        <n v="177119.64444444445"/>
        <n v="8934"/>
        <n v="20434.166666666668"/>
        <n v="541.66666666666663"/>
        <n v="98333.333333333328"/>
        <n v="7648"/>
        <n v="4240.166666666667"/>
        <n v="12472.222222222223"/>
        <n v="675"/>
        <n v="207.33333333333334"/>
        <n v="18310.906666666666"/>
        <n v="3300000"/>
        <n v="233217.03595238095"/>
        <n v="1021045.026904762"/>
        <n v="1200"/>
        <n v="833.33333333333337"/>
        <n v="11352.656666666668"/>
        <n v="1625"/>
        <n v="81227.490634920643"/>
        <n v="74939.136666666673"/>
        <n v="120240"/>
        <n v="83498.399999999994"/>
        <n v="4582.9816666666675"/>
        <n v="145277.43333333332"/>
        <n v="9288.4025000000001"/>
        <n v="16320.083333333334"/>
        <n v="24939.608499999998"/>
        <n v="22669.941666666666"/>
        <n v="1724.4444444444443"/>
        <n v="23474"/>
        <n v="181551.80500000002"/>
        <n v="120683.08"/>
        <n v="520.44444444444446"/>
        <n v="30505.079999999998"/>
        <n v="46791.666666666664"/>
        <n v="41762.985555555555"/>
        <n v="6000"/>
        <n v="63544.622499999998"/>
        <n v="470"/>
        <n v="328899.63"/>
        <n v="4687.5"/>
        <n v="1583.5145833333333"/>
        <n v="237950"/>
        <n v="100123.51"/>
        <n v="8307.5"/>
        <n v="13135.390833333333"/>
        <n v="16339.71"/>
        <n v="135289.52666666667"/>
        <n v="6583.333333333333"/>
        <n v="9.6833333333333336"/>
        <n v="936138.41666666663"/>
        <n v="14398"/>
        <n v="95812.416666666672"/>
        <n v="156602.88233333331"/>
        <n v="58322.583333333336"/>
        <n v="38.75"/>
        <n v="697.66666666666663"/>
        <e v="#DIV/0!"/>
        <n v="118975" u="1"/>
        <n v="1100000" u="1"/>
        <n v="5850" u="1"/>
        <n v="49600" u="1"/>
        <n v="14340.16" u="1"/>
        <n v="67500" u="1"/>
        <n v="520848.72" u="1"/>
        <n v="10383.43" u="1"/>
        <n v="100" u="1"/>
        <n v="122605" u="1"/>
        <n v="42000.3" u="1"/>
        <n v="3970" u="1"/>
        <n v="204688.24" u="1"/>
        <n v="8000" u="1"/>
        <n v="180000" u="1"/>
        <n v="6376307.2000000002" u="1"/>
        <n v="5170" u="1"/>
        <n v="32500" u="1"/>
        <n v="22610" u="1"/>
        <n v="43372.28" u="1"/>
        <n v="15100" u="1"/>
        <n v="52800" u="1"/>
        <n v="81173" u="1"/>
        <n v="10495" u="1"/>
        <n v="13477" u="1"/>
        <n v="5397.3" u="1"/>
        <n v="10500" u="1"/>
        <n v="650" u="1"/>
        <n v="2480" u="1"/>
        <n v="397" u="1"/>
        <n v="6927.9" u="1"/>
        <n v="5285400" u="1"/>
        <n v="578402.9" u="1"/>
        <n v="18918796.23" u="1"/>
        <n v="4500" u="1"/>
        <n v="9396.5300000000007" u="1"/>
        <n v="1569746.4" u="1"/>
        <n v="11960" u="1"/>
        <n v="2564723.75" u="1"/>
        <n v="59998" u="1"/>
        <n v="1436434.17" u="1"/>
        <n v="16230" u="1"/>
        <n v="44728467.780000001" u="1"/>
        <n v="1900.8" u="1"/>
        <n v="1284821.3700000001" u="1"/>
        <n v="13760" u="1"/>
        <n v="1900" u="1"/>
        <n v="2320" u="1"/>
        <n v="2992.8" u="1"/>
        <n v="8381.5300000000007" u="1"/>
        <n v="10737425" u="1"/>
        <n v="5415" u="1"/>
        <n v="1744" u="1"/>
        <n v="11670" u="1"/>
        <n v="122036510.12" u="1"/>
        <n v="3944" u="1"/>
        <n v="13234.53" u="1"/>
        <n v="547999.96" u="1"/>
        <n v="53604" u="1"/>
        <n v="10887430.199999999" u="1"/>
        <n v="1950" u="1"/>
        <n v="5838.333333333333" u="1"/>
        <n v="266414.40000000002" u="1"/>
        <n v="6500" u="1"/>
        <n v="7915896" u="1"/>
        <n v="6150" u="1"/>
        <n v="499" u="1"/>
        <n v="706981.67" u="1"/>
        <n v="368396" u="1"/>
        <n v="305784.8" u="1"/>
        <n v="440000" u="1"/>
        <n v="2552.5714285714284" u="1"/>
        <n v="9598604.4000000004" u="1"/>
        <n v="22066" u="1"/>
        <n v="2497" u="1"/>
        <n v="5300" u="1"/>
        <n v="7080" u="1"/>
        <n v="11562.56" u="1"/>
        <n v="4838.95" u="1"/>
        <n v="12150" u="1"/>
        <n v="29500" u="1"/>
        <n v="10259.4" u="1"/>
        <n v="2805" u="1"/>
        <n v="235335.8" u="1"/>
        <n v="1300" u="1"/>
        <n v="22586.6" u="1"/>
        <n v="36800" u="1"/>
      </sharedItems>
    </cacheField>
    <cacheField name="VALOR CONTRATO" numFmtId="44">
      <sharedItems containsString="0" containsBlank="1" containsNumber="1" minValue="0" maxValue="122036510.12"/>
    </cacheField>
    <cacheField name="NATUREZA DO OBJETO" numFmtId="49">
      <sharedItems containsBlank="1" count="6">
        <s v="Serviço "/>
        <s v="Bens"/>
        <s v="Material "/>
        <s v="Bens e serviços"/>
        <s v="Serviço"/>
        <m/>
      </sharedItems>
    </cacheField>
    <cacheField name="SIGILO" numFmtId="49">
      <sharedItems containsBlank="1" count="4">
        <s v="Público"/>
        <m/>
        <s v="Serviço " u="1"/>
        <s v="Sigiloso" u="1"/>
      </sharedItems>
    </cacheField>
    <cacheField name="RC" numFmtId="49">
      <sharedItems containsBlank="1" containsMixedTypes="1" containsNumber="1" containsInteger="1" minValue="0" maxValue="4400003047" count="62">
        <n v="10014304"/>
        <n v="10014468"/>
        <n v="10014124"/>
        <n v="10014463"/>
        <n v="10014495"/>
        <n v="10014538"/>
        <n v="10014530"/>
        <n v="10014577"/>
        <n v="10014367"/>
        <n v="10014337"/>
        <m/>
        <n v="10014610"/>
        <n v="10004011"/>
        <n v="10014616"/>
        <n v="10014571"/>
        <n v="10014770"/>
        <n v="10014783"/>
        <n v="10014769"/>
        <n v="10014768"/>
        <n v="10014621"/>
        <n v="10014798"/>
        <n v="10014842"/>
        <n v="10014941"/>
        <n v="10014955"/>
        <n v="10014956"/>
        <n v="10014984"/>
        <n v="10013923"/>
        <n v="10014567"/>
        <n v="10014568"/>
        <n v="10012714"/>
        <n v="10013860"/>
        <n v="10014028"/>
        <n v="10014030"/>
        <n v="10014525"/>
        <n v="10013948"/>
        <n v="10014465"/>
        <n v="10014464"/>
        <n v="10011982"/>
        <n v="10013758"/>
        <n v="10014474"/>
        <n v="10014515"/>
        <n v="10013883"/>
        <n v="10013999"/>
        <n v="10014686"/>
        <n v="10014585"/>
        <n v="10013852"/>
        <n v="4400003036"/>
        <n v="4400003039"/>
        <n v="4400003038"/>
        <n v="4400003040"/>
        <n v="4400003043"/>
        <n v="10014854"/>
        <n v="4400003047"/>
        <n v="10014929"/>
        <n v="10014964"/>
        <s v="10014889"/>
        <s v="10014954"/>
        <s v="10015547"/>
        <s v="10015239"/>
        <s v="10016878"/>
        <s v="10016894"/>
        <n v="0" u="1"/>
      </sharedItems>
    </cacheField>
    <cacheField name="Nº CONTRATO SAP" numFmtId="49">
      <sharedItems containsBlank="1" count="13">
        <s v="4400003001"/>
        <m/>
        <s v="440000300"/>
        <s v=" 4400003003"/>
        <s v="4400003006"/>
        <s v=" 4400003004"/>
        <s v="4400003015"/>
        <s v="4400003068"/>
        <s v="4400003069"/>
        <s v="4400003071"/>
        <s v="4400003077"/>
        <s v="4400003388 "/>
        <s v="4400003400"/>
      </sharedItems>
    </cacheField>
    <cacheField name="VALOR EXECUTADO" numFmtId="49">
      <sharedItems containsNonDate="0" containsString="0" containsBlank="1"/>
    </cacheField>
    <cacheField name="DIAS ÚTEIS TMP" numFmtId="0">
      <sharedItems containsString="0" containsBlank="1" containsNumber="1" containsInteger="1" minValue="0" maxValue="45653"/>
    </cacheField>
    <cacheField name="Nº  COMPRAS.GOV" numFmtId="49">
      <sharedItems containsBlank="1" containsMixedTypes="1" containsNumber="1" containsInteger="1" minValue="10014929" maxValue="10014929" count="72">
        <s v="n/a"/>
        <s v="90001/2024"/>
        <s v="90002/2024"/>
        <s v="90004/2024"/>
        <s v="00018/2023"/>
        <s v="00023/2023"/>
        <s v="AVISO 04/2023"/>
        <s v="00017/2023"/>
        <s v="00019/2023"/>
        <s v="00021/2023"/>
        <s v="00026/2023"/>
        <s v="90006/2024"/>
        <s v="AVISO 08/2023"/>
        <s v="00025/2023"/>
        <s v="00014/2023"/>
        <s v="AVISO 09/2023"/>
        <s v="00027/2023"/>
        <s v="AVISO 06/2024"/>
        <n v="10014929"/>
        <s v="AVISO 10/2024"/>
        <s v="AVISO 11/2024"/>
        <s v="90012/2024"/>
        <s v="90013/2024"/>
        <s v="AVISO 08/2024"/>
        <s v="AVISO 09/2024"/>
        <s v="90010/2024"/>
        <s v="90001/2025"/>
        <s v="90004/2025"/>
        <s v="925150 - 10/2025"/>
        <s v="925150 - 9/2025"/>
        <s v="90002/2025"/>
        <s v="925150 - 11/2025"/>
        <s v="90005/2025"/>
        <s v="925150 - 17/2025"/>
        <s v="90006/2025"/>
        <s v="925150 - 18/2025"/>
        <s v="925150 - 20/2025"/>
        <s v="925150 - 21/2025"/>
        <s v="90009/2025"/>
        <s v="925150 - 27/2025"/>
        <s v="925150 - 26/2025"/>
        <s v="90013/2025"/>
        <s v="925150 - 28/2025"/>
        <s v="90010/2025"/>
        <s v="AVISO 06/2023"/>
        <s v="90012/2025"/>
        <s v="925150 - 34/2025"/>
        <s v="AVISO 02/2025"/>
        <s v=" 925150 - 35/2025"/>
        <s v="90016/2025"/>
        <s v="90015/2025"/>
        <s v="925150 - 40/2025"/>
        <s v="925150 - 41/2025"/>
        <s v="90014/2025"/>
        <s v="925150 - 42/2025"/>
        <s v="90011/2025"/>
        <s v="925150 - 2/2026"/>
        <s v=" 925150 - 3/2026"/>
        <s v="00028/2023"/>
        <s v="925150 - 19/2026"/>
        <s v="925150 - 17/2026"/>
        <s v="NA"/>
        <s v="90005/2026"/>
        <s v="90007/2026"/>
        <s v=" 925150 - 20/2026"/>
        <s v="925150 - 39/2026"/>
        <s v="90004/2026"/>
        <s v="90012/2026"/>
        <m/>
        <s v="90002/2026"/>
        <s v="90010/2026"/>
        <s v="90014/2026"/>
      </sharedItems>
    </cacheField>
    <cacheField name="COMPRA GERADA NO DC?" numFmtId="49">
      <sharedItems containsBlank="1" count="31">
        <m/>
        <s v="37753638000103-2-000015/2025"/>
        <s v="37753638000103-2-000006/2025"/>
        <s v="AFASTAMENTO"/>
        <s v="37753638000103-1-000070/2024"/>
        <s v="37753638000103-1-000002/2025"/>
        <s v="37753638000103-1-000007/2025"/>
        <s v="SRP"/>
        <s v="37753638000103-1-000028/2025_x000a__x000a_"/>
        <s v="37753638000103-1-000027/2025"/>
        <s v="37753638000103-1-000008/2025"/>
        <s v="37753638000103-2-000022/2025"/>
        <s v="37753638000103-2-000028/2025"/>
        <s v="37753638000103-1-000046/2025"/>
        <s v="37753638000103-1-000012/2025"/>
        <s v="37753638000103-1-000047/2025"/>
        <s v=" 37753638000103-2-000042/2025"/>
        <s v="37753638000103-2-000043/2025"/>
        <s v="37753638000103-2-000044/2025"/>
        <s v="37753638000103-1-000066/2025"/>
        <s v="37753638000103-1-000065/2025"/>
        <s v="37753638000103-1-000054/2025"/>
        <s v="37753638000103-1-000067/2025"/>
        <s v="37753638000103-1-000042/2025"/>
        <s v="37753638000103-1-000049/2025"/>
        <s v="37753638000103-1-000089/2025"/>
        <s v="37753638000103-1-000090/2025"/>
        <s v="SIM"/>
        <s v="NA"/>
        <s v="A publicar ARP" u="1"/>
        <s v="erro" u="1"/>
      </sharedItems>
    </cacheField>
    <cacheField name="CONTRATO LANÇADO NO PNCP?" numFmtId="49">
      <sharedItems containsBlank="1" count="6">
        <m/>
        <s v="SIM"/>
        <s v="NA"/>
        <s v="NÃO"/>
        <s v="ARP"/>
        <s v="erro"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Arnaud Ferreira Diniz" refreshedDate="46286.49403425926" createdVersion="4" refreshedVersion="8" minRefreshableVersion="3" recordCount="171" xr:uid="{00000000-000A-0000-FFFF-FFFF01000000}">
  <cacheSource type="worksheet">
    <worksheetSource ref="B2:C173" sheet="Base SAP"/>
  </cacheSource>
  <cacheFields count="2">
    <cacheField name="Unidade" numFmtId="0">
      <sharedItems/>
    </cacheField>
    <cacheField name="Número" numFmtId="0">
      <sharedItems count="81">
        <s v="TLB-CTR-2024/00015"/>
        <s v="TLB-CTR-2024/00021"/>
        <s v="TLB-CTR-2024/00040"/>
        <s v="TLB-CTR-2024/00027"/>
        <s v="TLB-CTR-2024/00034"/>
        <s v="TLB-CTR-2024/00011"/>
        <s v="TLB-CTR-2024/00004"/>
        <s v="TLB-CTR-2024/00024"/>
        <s v="TLB-CTR-2024/00007"/>
        <s v="TLB-CTR-2024/00020"/>
        <s v="TLB-CTR-2024/00010"/>
        <s v="TLB-CTR-2024/00033"/>
        <s v="TLB-CTR-2024/00036"/>
        <s v="TLB-CTR-2024/00032"/>
        <s v="TLB-CTR-2024/00019"/>
        <s v="TLB-CTR-2024/00030"/>
        <s v="TLB-CTR-2024/00031"/>
        <s v="TLB-CTR-2024/00003"/>
        <s v="TLB-CTR-2024/00006"/>
        <s v="TLB-CTR-2024/00038"/>
        <s v="TLB-CTR-2024/00017"/>
        <s v="TLB-CTR-2024/00014"/>
        <s v="TLB-CTR-2024/00018"/>
        <s v="TLB-CTR-2024/00039"/>
        <s v="TLB-CTR-2024/00005"/>
        <s v="TLB-CTR-2024/00037"/>
        <s v="TLB-CTR-2024/00009"/>
        <s v="TLB-CTR-2024/00023"/>
        <s v="TLB-CTR-2024/00025"/>
        <s v="TLB-CTR-2024/00035"/>
        <s v="TLB-CTR-2024/00042"/>
        <s v="TLB-CTR-2024/00001"/>
        <s v="TLB-CTR-2024/00029"/>
        <s v="TLB-CTR-2024/00041"/>
        <s v="TLB-CTR-2024/00022"/>
        <s v="TLB-CTR-2024/00002"/>
        <s v="TLB-CTR-2024/00016"/>
        <s v="TLB-CTR-2024/00026"/>
        <s v="TLB-CTR-2024/00013"/>
        <s v="TLB-CTR-2024/00028"/>
        <s v="TLB-CTR-2024/00012"/>
        <s v="TLB-CTR-2024/00008"/>
        <s v="TLB-CTR-2024/00015-A" u="1"/>
        <s v="TLB-CTR-2024/00016-A" u="1"/>
        <s v="TLB-CTR-2024/00017-A" u="1"/>
        <s v="TLB-CTR-2024/00018-A" u="1"/>
        <s v="TLB-CTR-2024/00019-A" u="1"/>
        <s v="TLB-CTR-2024/00001-A" u="1"/>
        <s v="TLB-CTR-2024/00002-A" u="1"/>
        <s v="TLB-CTR-2024/00003-A" u="1"/>
        <s v="TLB-CTR-2024/00004-A" u="1"/>
        <s v="TLB-CTR-2024/00041-A" u="1"/>
        <s v="TLB-CTR-2024/00005-A" u="1"/>
        <s v="TLB-CTR-2024/00006-A" u="1"/>
        <s v="TLB-CTR-2024/00007-A" u="1"/>
        <s v="TLB-CTR-2024/00008-A" u="1"/>
        <s v="TLB-CTR-2024/00009-A" u="1"/>
        <s v="TLB-CTR-2024/00030-A" u="1"/>
        <s v="TLB-CTR-2024/00031-A" u="1"/>
        <s v="TLB-CTR-2024/00032-A" u="1"/>
        <s v="TLB-CTR-2024/00034-A" u="1"/>
        <s v="TLB-CTR-2024/00035-A" u="1"/>
        <s v="TLB-CTR-2024/00036-A" u="1"/>
        <s v="TLB-CTR-2024/00037-A" u="1"/>
        <s v="TLB-CTR-2024/00038-A" u="1"/>
        <s v="TLB-CTR-2024/00039-A" u="1"/>
        <s v="TLB-CTR-2024/00020-A" u="1"/>
        <s v="TLB-CTR-2024/00021-A" u="1"/>
        <s v="TLB-CTR-2024/00022-A" u="1"/>
        <s v="TLB-CTR-2024/00023-A" u="1"/>
        <s v="TLB-CTR-2024/00024-A" u="1"/>
        <s v="TLB-CTR-2024/00025-A" u="1"/>
        <s v="TLB-CTR-2024/00026-A" u="1"/>
        <s v="TLB-CTR-2024/00027-A" u="1"/>
        <s v="TLB-CTR-2024/00028-A" u="1"/>
        <s v="TLB-CTR-2024/00029-A" u="1"/>
        <s v="TLB-CTR-2024/00010-A" u="1"/>
        <s v="TLB-CTR-2024/00011-A" u="1"/>
        <s v="TLB-CTR-2024/00012-A" u="1"/>
        <s v="TLB-CTR-2024/00013-A" u="1"/>
        <s v="TLB-CTR-2024/00014-A"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Arnaud Ferreira Diniz" refreshedDate="46286.494034374999" createdVersion="6" refreshedVersion="8" minRefreshableVersion="3" recordCount="30" xr:uid="{00000000-000A-0000-FFFF-FFFF00000000}">
  <cacheSource type="worksheet">
    <worksheetSource name="BaseARPs_finalizados"/>
  </cacheSource>
  <cacheFields count="25">
    <cacheField name="DIRETORIA" numFmtId="49">
      <sharedItems containsBlank="1"/>
    </cacheField>
    <cacheField name="ÁREA REQUISITANTE" numFmtId="49">
      <sharedItems containsBlank="1"/>
    </cacheField>
    <cacheField name="Nº PROCESSO " numFmtId="49">
      <sharedItems containsBlank="1" count="16">
        <s v="TLB-PRO-2020/00379"/>
        <s v="TLB-PRO-2021/16398"/>
        <s v="TLB-PRO-2020/04985"/>
        <s v="TLB-PRO-2022/02311"/>
        <m/>
        <s v="TLB-PRO-2022/02555"/>
        <s v="TLB-PRO-2023/00355"/>
        <s v="TLB-PRO-2023/00737"/>
        <s v="TLB-PRO-2023/00738"/>
        <s v="TLB-PRO-2023/04725"/>
        <s v="TLB-PRO-2024/00975"/>
        <s v="TLB-PRO-2024/04862"/>
        <s v="TLB-PRO-2023/06619"/>
        <s v="TLB-PRO-2023/02890"/>
        <s v="TLB-PRO-2024/05564"/>
        <s v="TLB-PRO-2025/05452"/>
      </sharedItems>
    </cacheField>
    <cacheField name="TIPO DO OBJETO" numFmtId="49">
      <sharedItems containsBlank="1"/>
    </cacheField>
    <cacheField name="MODALID. LICITAÇÃO" numFmtId="49">
      <sharedItems containsBlank="1" count="3">
        <s v="Pregão Eletrônico SRP"/>
        <m/>
        <s v="Pregão Eletrônico" u="1"/>
      </sharedItems>
    </cacheField>
    <cacheField name="Nº no COMPRAS.GOV" numFmtId="49">
      <sharedItems containsBlank="1"/>
    </cacheField>
    <cacheField name="NATUREZA DA ARP (Gestão)" numFmtId="49">
      <sharedItems containsBlank="1"/>
    </cacheField>
    <cacheField name="Gestor da ARP" numFmtId="49">
      <sharedItems containsBlank="1"/>
    </cacheField>
    <cacheField name="Nº ARP" numFmtId="49">
      <sharedItems containsBlank="1" count="27">
        <s v="TLB-ARP-2022/00001"/>
        <s v="TLB-ARP-2022/00002"/>
        <s v="TLB-ARP-2022/00003"/>
        <s v="TLB-ARP-2022/00004"/>
        <s v="TLB-ARP-2022/00005"/>
        <s v="TLB-ARP-2022/00006"/>
        <m/>
        <s v="TLB-ARP-2023/00001"/>
        <s v="TLB-ARP-2023/00002"/>
        <s v="TLB-ARP-2023/00003"/>
        <s v="TLB-ARP-2023/00004"/>
        <s v="TLB-ARP-2023/00005"/>
        <s v="TLB-ARP-2023/00006"/>
        <s v="TLB-ARP-2023/00007"/>
        <s v="TLB-ARP-2024/00001"/>
        <s v="TLB-ARP-2025/00001"/>
        <s v="TLB-ARP-2025/00002"/>
        <s v="TLB-ARP-2025/00003"/>
        <s v="TLB-ARP-2025/00004"/>
        <s v="TLB-ARP-2025/00005"/>
        <s v="TLB-ARP-2025/00006"/>
        <s v="TLB-ARP-2025/00007"/>
        <s v="TLB-ARP-2025/00008"/>
        <s v="TLB-ARP-2025/00010"/>
        <s v="TLB-ARP-2025/00011"/>
        <s v="TLB-ARP-2026/00001"/>
        <s v="TLB-ARP-2026/00002"/>
      </sharedItems>
    </cacheField>
    <cacheField name="Arquivo do contrato" numFmtId="49">
      <sharedItems containsBlank="1"/>
    </cacheField>
    <cacheField name="OBJETO" numFmtId="49">
      <sharedItems containsBlank="1" count="22" longText="1">
        <s v="Contratação de empresa ou consórcio de empresas especializadas, para o fornecimento,implantação, integração, treinamento e suporte técnico de solução de defesa contra ataques de negação de serviço (Anti-DDoS), a fimde ampliar e substituir o sistema atualmente existente na Rede da Telebras."/>
        <s v="CANCELADO"/>
        <s v="Contratação, mediante registro de preços, de empresa ou consórcio de empresas especializadas no fornecimento de materiais e serviços para remanejamento e instalação de equipamentos DWDM do fabricante PADTEC"/>
        <s v="Contratação de serviços   de   desinstalação,   transporte   e   instalação   de   equipamentos   de propriedade da Telebras para atendimento de demandas"/>
        <s v="Aquisição, mediante registro de preços, de 970 (novecentas e setenta) cadeiras ergonômicas a serem utilizadas pelos colaboradores que exercem suas atividades funcionais na sede da TELEBRAS."/>
        <m/>
        <s v="Contratação de serviço de aquisição de locais, licenciamento e renovação de licenças para sites da Telebras - Site Acquisition."/>
        <s v="Contratação  de  empresa  ou  consórcio  de  empresas especializadas  para  o  fornecimento  de  compressores  para  condicionadores  de  ar  de climatização  ambiente  e  acumuladores  de  energia  (baterias)  para  Nobreaks  (UPS -Uninterruptible Power Supply) / SDAI (Sistema de Detecção e Alarme de Incêndio)"/>
        <s v="Contratação de empresa ou consórcio de empresas especializadas para o fornecimento de compressores para condicionadores de ar de climatização ambiente e acumuladores de energia (baterias) para Nobreaks (UPS -Uninterruptible Power Supply) / SDAI (Sistema de Detecção e Alarme de Incêndio)."/>
        <s v="Contratação  de  empresa  ou  consórcio  de  empresas especializadas  no  fornecimento  de  soluções de  infraestrutura  com  o  fornecimento de contêineres para a região Nordeste."/>
        <s v="Contratação  de  empresa  ou  consórcio  de empresas   especializadas   no   fornecimento   de   soluções   de   infraestrutura   com   o fornecimento  de  contêineres  incluindo  todos  os  materiais,  equipamentos  e  fibras ópticas   necessários,   de   forma   a   garantir   o   funcionamento   e   a   proteção   dos equipamentos ópticos, DWDM e IP,"/>
        <s v="Aquisição de cadeiras de escritório para a sede da Telebras."/>
        <s v="Contratação de serviços de direito de uso de softwares Microsoft para prover solução de colaboração corporativa, bem como atualização tecnológica das soluções autenticação e servidores de arquivos para atendimento das demandas da Telebras."/>
        <s v="Aquisição de EPI - LOTE III"/>
        <s v="Aquisição de EPI - LOTE II"/>
        <s v="Aquisição de EPI - LOTE IV; LOTE V; e LOTE VI"/>
        <s v="Contratação de serviço de aquisição de locais, licenciamento e renovação de licenças para sites da Telebras - Site Acquisition -  GRUPO III e GRUPO V."/>
        <s v="Contratação de serviço de aquisição de locais, licenciamento e renovação de licenças para sites da Telebras - Site Acquisition -  GRUPO I, II e V."/>
        <s v="Contratação, mediante registro de preços, de empresa especializada para atualização, aquisição e instalação de equipamentos Firewall compatível e serviços de suporte on-site e manutenção de hardware e software, de acordo com o Termo de Referência e seus Anexos, Anexo A deste Edital."/>
        <s v="Contratação, mediante registro de preços, de empresa ou consórcio de empresas especializadas no fornecimento de soluções de infraestrutura para implantação de UPS para o Ar-Condicionado nas Estações de Acesso do SGDC de Campo Grande, Florianópolis e Salvador, incluindo garantia e assistência técnica"/>
        <s v="Contratação de Serviços Gráficos, por demanda, para atender às necessidades institucionais da TELEBRAS."/>
        <s v="Contratação de serviço de aquisição de locais, licenciamento e renovação de licenças para sites da Telebras - Site Acquisition -  GRUPO I; GRUPO II; GRUPO  IV." u="1"/>
      </sharedItems>
    </cacheField>
    <cacheField name="DEG" numFmtId="49">
      <sharedItems containsBlank="1"/>
    </cacheField>
    <cacheField name="FISCAL DO CONTRATO" numFmtId="49">
      <sharedItems containsBlank="1" count="9">
        <m/>
        <s v="CANCELADO"/>
        <s v="-"/>
        <s v="Matheus Augusto Sartorio Alves"/>
        <s v="Rafael de Carvalho Paniago"/>
        <s v="A definir"/>
        <s v="Jorge Humberto Martins Lisboa"/>
        <s v="Valdo Orna de Gusmao Junior"/>
        <s v="Em elaboração" u="1"/>
      </sharedItems>
    </cacheField>
    <cacheField name="ANO ARP" numFmtId="0">
      <sharedItems containsBlank="1" containsMixedTypes="1" containsNumber="1" containsInteger="1" minValue="2022" maxValue="2026" count="7">
        <n v="2022"/>
        <s v="CANCELADO"/>
        <m/>
        <n v="2023"/>
        <n v="2024"/>
        <n v="2025"/>
        <n v="2026"/>
      </sharedItems>
    </cacheField>
    <cacheField name="MÊS ASSINATURA" numFmtId="0">
      <sharedItems containsDate="1" containsBlank="1" containsMixedTypes="1" minDate="2022-02-04T00:00:00" maxDate="2024-04-16T00:00:00" count="18">
        <d v="2022-02-04T00:00:00"/>
        <m/>
        <s v="30/08/2022"/>
        <s v="27/10/2022 "/>
        <s v="14/11/2022"/>
        <s v="12/01/2023"/>
        <s v="13/12/2023"/>
        <s v="12/12/2023"/>
        <s v="20/12/2023"/>
        <s v="21/12/2023"/>
        <d v="2024-04-15T00:00:00"/>
        <s v="10/03/2025"/>
        <s v="25/03/2025"/>
        <s v="14/03/2025"/>
        <s v="17/03/2025"/>
        <s v="06/08/2025_x0009_"/>
        <s v="16/10/2025"/>
        <s v="05/05/2026"/>
      </sharedItems>
    </cacheField>
    <cacheField name="INÍCIO DA VIGÊNCIA (assinatura)" numFmtId="0">
      <sharedItems containsDate="1" containsBlank="1" containsMixedTypes="1" minDate="2022-02-04T00:00:00" maxDate="2025-10-22T00:00:00" count="21">
        <d v="2022-02-04T00:00:00"/>
        <m/>
        <s v="30/08/2022"/>
        <s v="27/10/2022"/>
        <s v="14/11/2022"/>
        <d v="2023-01-12T00:00:00"/>
        <d v="2023-12-13T00:00:00"/>
        <d v="2023-12-12T00:00:00"/>
        <d v="2023-12-20T00:00:00"/>
        <s v="21/12/2023"/>
        <d v="2024-05-15T00:00:00"/>
        <s v="10/03/2025"/>
        <s v="27/03/2025"/>
        <s v="17/03/2025"/>
        <d v="2025-08-06T00:00:00"/>
        <d v="2025-10-21T00:00:00"/>
        <s v="05/05/2026"/>
        <s v="27/10/2022 " u="1"/>
        <s v="06/08/2025" u="1"/>
        <s v="06/08/2025_x0009_" u="1"/>
        <d v="2024-04-15T00:00:00" u="1"/>
      </sharedItems>
    </cacheField>
    <cacheField name="FIM DA VIGÊNCIA" numFmtId="14">
      <sharedItems containsDate="1" containsBlank="1" containsMixedTypes="1" minDate="2023-02-04T00:00:00" maxDate="2027-05-06T00:00:00" count="20">
        <d v="2023-02-04T00:00:00"/>
        <m/>
        <d v="2023-08-30T00:00:00"/>
        <d v="2023-10-27T00:00:00"/>
        <d v="2023-11-14T00:00:00"/>
        <d v="2024-01-12T00:00:00"/>
        <d v="2024-12-13T00:00:00"/>
        <d v="2024-12-12T00:00:00"/>
        <d v="2024-12-20T00:00:00"/>
        <d v="2024-12-21T00:00:00"/>
        <d v="2025-05-15T00:00:00"/>
        <s v="10/03/2026"/>
        <s v="27/03/2026"/>
        <s v="17/03/2026"/>
        <d v="2026-08-06T00:00:00"/>
        <d v="2026-10-21T00:00:00"/>
        <d v="2027-05-05T00:00:00"/>
        <s v="06/08/2026" u="1"/>
        <d v="2025-04-15T00:00:00" u="1"/>
        <s v="26/03/2026" u="1"/>
      </sharedItems>
    </cacheField>
    <cacheField name="ANOS VIG" numFmtId="0">
      <sharedItems containsSemiMixedTypes="0" containsString="0" containsNumber="1" containsInteger="1" minValue="0" maxValue="1"/>
    </cacheField>
    <cacheField name="FORNECEDOR" numFmtId="49">
      <sharedItems containsBlank="1" count="18">
        <s v="iNB Tecnologia LTDA"/>
        <s v="CANCELADO"/>
        <s v="PADTEC S/A"/>
        <s v="FK GRUPO S/A"/>
        <m/>
        <s v="CLEMAR ENGENHARIA LTDA"/>
        <s v="SECPOWER COMERCIAL IMPORTADORA EXPORTADORA LTDA"/>
        <s v="INFOPLAN TECNOLOGIA COMÉRCIO E SERVIÇOS LTDA-EPP"/>
        <s v="HC COMUNICAÇÃO DE DADOS LTDA"/>
        <s v="TECNO 2000 INDUSTRIA E COMERCIO LTDA"/>
        <s v="BRASOFTWARE INFORMATICA LTDA"/>
        <s v="CREATIVE THINGS COMÉRCIO E DISTRIBUIÇÃO LTDA"/>
        <s v="ASG BROTHERS LICITAÇÕES &amp; COMERCIAL    LTDA,"/>
        <s v="GUARDA VIDA EPI  EIRELI"/>
        <s v="OTTONI SERVIÇO DE ENGENHARIA LTDA"/>
        <s v="NTSEC SOLUÇÕES EM TELEINFORMÁTICA LTDA"/>
        <s v="PLANEJE TECNOLOGIA E SERVIÇOS LTDA"/>
        <s v="FORTE  GRÁFICA  E  EDITORA  LTDA"/>
      </sharedItems>
    </cacheField>
    <cacheField name="CNPJ" numFmtId="49">
      <sharedItems containsBlank="1" count="18">
        <s v="09.024.896/0001-13"/>
        <s v="CANCELADO"/>
        <s v="03.549.807/0001-76"/>
        <s v="55.088.157/0010-01"/>
        <m/>
        <s v="83.932.418/0001-64"/>
        <s v="01.938.502/0007-16"/>
        <s v="24.120.157/0001-19"/>
        <s v="05.202.938/0001-08"/>
        <s v="21.306.287/0001-52"/>
        <s v="57.142.978/0001-05"/>
        <s v="10.206.542/0001-79"/>
        <s v="51.409.836/0001-85"/>
        <s v="27.652.639/0001-08"/>
        <s v="38.063.287/0001-71"/>
        <s v="09.137.728/0001-34"/>
        <s v="28.482.916/0001-44"/>
        <s v="03.157.626/0001-i02"/>
      </sharedItems>
    </cacheField>
    <cacheField name="VALOR DA ARP" numFmtId="43">
      <sharedItems containsString="0" containsBlank="1" containsNumber="1" minValue="0" maxValue="50976935.659999996"/>
    </cacheField>
    <cacheField name="NATUREZA DO OBJETO" numFmtId="49">
      <sharedItems containsBlank="1"/>
    </cacheField>
    <cacheField name="SIGILO" numFmtId="49">
      <sharedItems containsBlank="1" count="2">
        <m/>
        <s v="Público"/>
      </sharedItems>
    </cacheField>
    <cacheField name="Nº RC ATA" numFmtId="49">
      <sharedItems containsBlank="1"/>
    </cacheField>
    <cacheField name="ATA LANÇADA NO PNCP?" numFmtId="49">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
  <r>
    <x v="0"/>
    <s v="DTO"/>
    <x v="0"/>
    <x v="0"/>
    <x v="0"/>
    <s v="Lei nº13.303/2016"/>
    <x v="0"/>
    <x v="0"/>
    <n v="2023"/>
    <x v="0"/>
    <x v="0"/>
    <x v="0"/>
    <x v="0"/>
    <x v="0"/>
    <x v="0"/>
    <x v="0"/>
    <x v="0"/>
    <x v="0"/>
    <x v="0"/>
    <n v="1"/>
    <x v="0"/>
    <x v="0"/>
    <x v="0"/>
    <x v="0"/>
    <x v="0"/>
    <x v="0"/>
    <n v="2897.31"/>
    <x v="0"/>
    <x v="0"/>
    <x v="0"/>
    <x v="0"/>
    <m/>
    <n v="45307"/>
    <x v="0"/>
    <x v="0"/>
    <x v="0"/>
  </r>
  <r>
    <x v="0"/>
    <s v="DC"/>
    <x v="1"/>
    <x v="1"/>
    <x v="0"/>
    <s v="Lei nº13.303/2016, Art. 30, inciso II, letra &quot;f&quot;, da Lei 13.303/2016 e Art. 113, inciso II, letra &quot;f&quot; do RELIC"/>
    <x v="1"/>
    <x v="1"/>
    <n v="2024"/>
    <x v="1"/>
    <x v="1"/>
    <x v="1"/>
    <x v="1"/>
    <x v="1"/>
    <x v="1"/>
    <x v="0"/>
    <x v="1"/>
    <x v="1"/>
    <x v="1"/>
    <n v="0"/>
    <x v="1"/>
    <x v="1"/>
    <x v="1"/>
    <x v="1"/>
    <x v="1"/>
    <x v="1"/>
    <n v="22586.6"/>
    <x v="0"/>
    <x v="0"/>
    <x v="1"/>
    <x v="1"/>
    <m/>
    <n v="45345"/>
    <x v="0"/>
    <x v="0"/>
    <x v="0"/>
  </r>
  <r>
    <x v="0"/>
    <s v="DAF"/>
    <x v="2"/>
    <x v="2"/>
    <x v="1"/>
    <s v="Lei nº13.303/2016, artigo 29, inciso II, da Lei nº 13.303/2016 e no artigo 112, inciso II, do RELIC"/>
    <x v="2"/>
    <x v="2"/>
    <n v="2024"/>
    <x v="1"/>
    <x v="1"/>
    <x v="2"/>
    <x v="2"/>
    <x v="2"/>
    <x v="2"/>
    <x v="0"/>
    <x v="1"/>
    <x v="1"/>
    <x v="1"/>
    <n v="0"/>
    <x v="2"/>
    <x v="2"/>
    <x v="2"/>
    <x v="2"/>
    <x v="1"/>
    <x v="2"/>
    <n v="4838.95"/>
    <x v="1"/>
    <x v="0"/>
    <x v="2"/>
    <x v="1"/>
    <m/>
    <n v="45345"/>
    <x v="1"/>
    <x v="0"/>
    <x v="0"/>
  </r>
  <r>
    <x v="0"/>
    <s v="DAF"/>
    <x v="2"/>
    <x v="2"/>
    <x v="1"/>
    <s v="Lei nº13.303/2016, artigo 29, inciso II, da Lei nº 13.303/2016 e no artigo 112, inciso II, do RELIC"/>
    <x v="2"/>
    <x v="2"/>
    <n v="2024"/>
    <x v="1"/>
    <x v="1"/>
    <x v="3"/>
    <x v="3"/>
    <x v="2"/>
    <x v="2"/>
    <x v="0"/>
    <x v="2"/>
    <x v="2"/>
    <x v="1"/>
    <n v="0"/>
    <x v="3"/>
    <x v="2"/>
    <x v="3"/>
    <x v="3"/>
    <x v="2"/>
    <x v="3"/>
    <n v="10495"/>
    <x v="1"/>
    <x v="0"/>
    <x v="2"/>
    <x v="1"/>
    <m/>
    <n v="45397"/>
    <x v="1"/>
    <x v="0"/>
    <x v="0"/>
  </r>
  <r>
    <x v="0"/>
    <s v="DG"/>
    <x v="3"/>
    <x v="3"/>
    <x v="0"/>
    <s v="Lei 13.303/2016, Art. 30, inciso II, letra &quot;f&quot;, da Lei 13.303/2016 e Art. 113, inciso II, letra &quot;f&quot; do RELIC"/>
    <x v="3"/>
    <x v="3"/>
    <s v="2024"/>
    <x v="1"/>
    <x v="1"/>
    <x v="4"/>
    <x v="4"/>
    <x v="3"/>
    <x v="1"/>
    <x v="0"/>
    <x v="1"/>
    <x v="3"/>
    <x v="1"/>
    <n v="0"/>
    <x v="4"/>
    <x v="1"/>
    <x v="4"/>
    <x v="4"/>
    <x v="1"/>
    <x v="4"/>
    <n v="32500"/>
    <x v="0"/>
    <x v="0"/>
    <x v="3"/>
    <x v="1"/>
    <m/>
    <n v="45350"/>
    <x v="0"/>
    <x v="0"/>
    <x v="0"/>
  </r>
  <r>
    <x v="0"/>
    <s v="DG"/>
    <x v="3"/>
    <x v="4"/>
    <x v="1"/>
    <s v="Lei nº13.303/2016, Artigo 29, inciso II, da Lei nº 13.303/2016 e no artigo 112, inciso II, do Regulamento de Licitações e Contratos da Telebras - RELIC"/>
    <x v="4"/>
    <x v="4"/>
    <n v="2024"/>
    <x v="1"/>
    <x v="1"/>
    <x v="5"/>
    <x v="5"/>
    <x v="4"/>
    <x v="3"/>
    <x v="0"/>
    <x v="3"/>
    <x v="4"/>
    <x v="2"/>
    <n v="0"/>
    <x v="5"/>
    <x v="1"/>
    <x v="5"/>
    <x v="5"/>
    <x v="3"/>
    <x v="5"/>
    <n v="42000.3"/>
    <x v="0"/>
    <x v="0"/>
    <x v="4"/>
    <x v="1"/>
    <m/>
    <n v="45356"/>
    <x v="0"/>
    <x v="0"/>
    <x v="0"/>
  </r>
  <r>
    <x v="0"/>
    <s v="DTO"/>
    <x v="4"/>
    <x v="5"/>
    <x v="0"/>
    <s v="Lei nº13.303/2016, Art. 30, inciso II, letra &quot;f&quot;, da Lei 13.303/2016 e Art. 113, inciso II, letra &quot;f&quot; do RELIC"/>
    <x v="5"/>
    <x v="5"/>
    <n v="2024"/>
    <x v="1"/>
    <x v="1"/>
    <x v="6"/>
    <x v="6"/>
    <x v="5"/>
    <x v="4"/>
    <x v="0"/>
    <x v="3"/>
    <x v="5"/>
    <x v="2"/>
    <n v="0"/>
    <x v="6"/>
    <x v="1"/>
    <x v="6"/>
    <x v="6"/>
    <x v="3"/>
    <x v="6"/>
    <n v="6927.9"/>
    <x v="0"/>
    <x v="0"/>
    <x v="5"/>
    <x v="1"/>
    <m/>
    <n v="45373"/>
    <x v="0"/>
    <x v="0"/>
    <x v="0"/>
  </r>
  <r>
    <x v="0"/>
    <s v="DAF"/>
    <x v="5"/>
    <x v="6"/>
    <x v="0"/>
    <s v="Lei nº13.303/2016, Art. 30, inciso II, da Lei 13.303/2016 e Art. 113, inciso II, do RELIC"/>
    <x v="6"/>
    <x v="6"/>
    <n v="2024"/>
    <x v="1"/>
    <x v="1"/>
    <x v="7"/>
    <x v="7"/>
    <x v="6"/>
    <x v="5"/>
    <x v="0"/>
    <x v="3"/>
    <x v="5"/>
    <x v="2"/>
    <n v="0"/>
    <x v="7"/>
    <x v="1"/>
    <x v="7"/>
    <x v="7"/>
    <x v="3"/>
    <x v="7"/>
    <n v="11670"/>
    <x v="0"/>
    <x v="0"/>
    <x v="6"/>
    <x v="1"/>
    <m/>
    <n v="45373"/>
    <x v="0"/>
    <x v="0"/>
    <x v="0"/>
  </r>
  <r>
    <x v="0"/>
    <s v="DAF"/>
    <x v="6"/>
    <x v="7"/>
    <x v="0"/>
    <s v="Lei nº13.303/2016, Art. 30, inciso II, letra &quot;f&quot;, da Lei 13.303/2016 e Art. 113, inciso II, letra &quot;f&quot; do RELIC"/>
    <x v="7"/>
    <x v="7"/>
    <n v="2024"/>
    <x v="1"/>
    <x v="1"/>
    <x v="8"/>
    <x v="8"/>
    <x v="7"/>
    <x v="6"/>
    <x v="0"/>
    <x v="2"/>
    <x v="6"/>
    <x v="1"/>
    <n v="0"/>
    <x v="8"/>
    <x v="1"/>
    <x v="8"/>
    <x v="8"/>
    <x v="2"/>
    <x v="8"/>
    <n v="1744"/>
    <x v="0"/>
    <x v="0"/>
    <x v="7"/>
    <x v="1"/>
    <m/>
    <n v="45390"/>
    <x v="0"/>
    <x v="0"/>
    <x v="0"/>
  </r>
  <r>
    <x v="0"/>
    <s v="DAF"/>
    <x v="2"/>
    <x v="8"/>
    <x v="1"/>
    <s v="Lei nº13.303/2016, Art. 29, Inciso II."/>
    <x v="8"/>
    <x v="8"/>
    <n v="2024"/>
    <x v="1"/>
    <x v="1"/>
    <x v="9"/>
    <x v="9"/>
    <x v="8"/>
    <x v="7"/>
    <x v="0"/>
    <x v="2"/>
    <x v="7"/>
    <x v="1"/>
    <n v="0"/>
    <x v="9"/>
    <x v="2"/>
    <x v="9"/>
    <x v="9"/>
    <x v="2"/>
    <x v="9"/>
    <n v="49600"/>
    <x v="2"/>
    <x v="0"/>
    <x v="8"/>
    <x v="1"/>
    <m/>
    <n v="45394"/>
    <x v="0"/>
    <x v="0"/>
    <x v="0"/>
  </r>
  <r>
    <x v="0"/>
    <s v="DAF"/>
    <x v="2"/>
    <x v="9"/>
    <x v="1"/>
    <s v="Lei nº13.303/2016, Art. 29, inciso II da Lei 13.303 e Art. 112, inciso II do RELIC"/>
    <x v="9"/>
    <x v="9"/>
    <n v="2024"/>
    <x v="1"/>
    <x v="1"/>
    <x v="10"/>
    <x v="10"/>
    <x v="9"/>
    <x v="8"/>
    <x v="0"/>
    <x v="2"/>
    <x v="7"/>
    <x v="1"/>
    <n v="0"/>
    <x v="10"/>
    <x v="2"/>
    <x v="10"/>
    <x v="10"/>
    <x v="2"/>
    <x v="10"/>
    <n v="2320"/>
    <x v="2"/>
    <x v="0"/>
    <x v="9"/>
    <x v="1"/>
    <m/>
    <n v="45394"/>
    <x v="0"/>
    <x v="0"/>
    <x v="0"/>
  </r>
  <r>
    <x v="0"/>
    <s v="DAF"/>
    <x v="2"/>
    <x v="9"/>
    <x v="1"/>
    <s v="Lei nº13.303/2016, Art. 29, inciso II da Lei 13.303 e Art. 112, inciso II do RELIC"/>
    <x v="9"/>
    <x v="9"/>
    <n v="2024"/>
    <x v="1"/>
    <x v="1"/>
    <x v="11"/>
    <x v="11"/>
    <x v="9"/>
    <x v="8"/>
    <x v="0"/>
    <x v="2"/>
    <x v="7"/>
    <x v="1"/>
    <n v="0"/>
    <x v="10"/>
    <x v="2"/>
    <x v="11"/>
    <x v="11"/>
    <x v="2"/>
    <x v="11"/>
    <n v="9396.5300000000007"/>
    <x v="2"/>
    <x v="0"/>
    <x v="9"/>
    <x v="1"/>
    <m/>
    <n v="45394"/>
    <x v="0"/>
    <x v="0"/>
    <x v="0"/>
  </r>
  <r>
    <x v="0"/>
    <s v="DAF"/>
    <x v="2"/>
    <x v="10"/>
    <x v="1"/>
    <s v="Art. 29, Inciso II."/>
    <x v="10"/>
    <x v="10"/>
    <n v="2024"/>
    <x v="1"/>
    <x v="1"/>
    <x v="12"/>
    <x v="12"/>
    <x v="10"/>
    <x v="2"/>
    <x v="0"/>
    <x v="2"/>
    <x v="8"/>
    <x v="2"/>
    <n v="0"/>
    <x v="11"/>
    <x v="2"/>
    <x v="12"/>
    <x v="12"/>
    <x v="2"/>
    <x v="12"/>
    <n v="10383.43"/>
    <x v="2"/>
    <x v="0"/>
    <x v="10"/>
    <x v="1"/>
    <m/>
    <n v="45407"/>
    <x v="0"/>
    <x v="0"/>
    <x v="0"/>
  </r>
  <r>
    <x v="0"/>
    <s v="DAF"/>
    <x v="6"/>
    <x v="11"/>
    <x v="0"/>
    <s v="Art. 30, inciso II, letra &quot;f&quot;, da Lei 13.303/2016 e Art. 113, inciso II, letra &quot;f&quot; do RELIC"/>
    <x v="11"/>
    <x v="11"/>
    <n v="2024"/>
    <x v="1"/>
    <x v="1"/>
    <x v="13"/>
    <x v="13"/>
    <x v="11"/>
    <x v="9"/>
    <x v="0"/>
    <x v="2"/>
    <x v="8"/>
    <x v="2"/>
    <n v="0"/>
    <x v="12"/>
    <x v="1"/>
    <x v="13"/>
    <x v="13"/>
    <x v="2"/>
    <x v="13"/>
    <n v="10500"/>
    <x v="0"/>
    <x v="0"/>
    <x v="11"/>
    <x v="1"/>
    <m/>
    <n v="45407"/>
    <x v="0"/>
    <x v="0"/>
    <x v="0"/>
  </r>
  <r>
    <x v="0"/>
    <s v="DTO"/>
    <x v="0"/>
    <x v="12"/>
    <x v="1"/>
    <s v="Artigo 29, inciso X, da Lei n° 13.303 e artigo 112, inciso X, do Regulamento de Licitações e Contratos da Telebras (RELIC)"/>
    <x v="12"/>
    <x v="12"/>
    <n v="2024"/>
    <x v="1"/>
    <x v="2"/>
    <x v="14"/>
    <x v="0"/>
    <x v="12"/>
    <x v="10"/>
    <x v="0"/>
    <x v="2"/>
    <x v="8"/>
    <x v="2"/>
    <n v="0"/>
    <x v="13"/>
    <x v="1"/>
    <x v="14"/>
    <x v="14"/>
    <x v="2"/>
    <x v="14"/>
    <n v="23400"/>
    <x v="0"/>
    <x v="0"/>
    <x v="12"/>
    <x v="1"/>
    <m/>
    <n v="45407"/>
    <x v="0"/>
    <x v="0"/>
    <x v="0"/>
  </r>
  <r>
    <x v="0"/>
    <s v="DTO"/>
    <x v="0"/>
    <x v="12"/>
    <x v="1"/>
    <s v="Artigo 29, inciso X, da Lei n° 13.303 e artigo 112, inciso X, do Regulamento de Licitações e Contratos da Telebras (RELIC)"/>
    <x v="12"/>
    <x v="12"/>
    <n v="2024"/>
    <x v="1"/>
    <x v="2"/>
    <x v="15"/>
    <x v="0"/>
    <x v="12"/>
    <x v="10"/>
    <x v="0"/>
    <x v="2"/>
    <x v="8"/>
    <x v="2"/>
    <n v="0"/>
    <x v="13"/>
    <x v="1"/>
    <x v="14"/>
    <x v="14"/>
    <x v="2"/>
    <x v="15"/>
    <n v="1200"/>
    <x v="0"/>
    <x v="0"/>
    <x v="12"/>
    <x v="1"/>
    <m/>
    <n v="45407"/>
    <x v="0"/>
    <x v="0"/>
    <x v="0"/>
  </r>
  <r>
    <x v="0"/>
    <s v="DAF"/>
    <x v="7"/>
    <x v="13"/>
    <x v="0"/>
    <s v=" Art. 30, inciso II, letra &quot;f&quot;, da Lei 13.303/2016 e Art. 113, inciso II, letra &quot;f&quot; do RELIC"/>
    <x v="13"/>
    <x v="13"/>
    <n v="2024"/>
    <x v="1"/>
    <x v="1"/>
    <x v="16"/>
    <x v="14"/>
    <x v="13"/>
    <x v="9"/>
    <x v="0"/>
    <x v="4"/>
    <x v="9"/>
    <x v="2"/>
    <n v="0"/>
    <x v="14"/>
    <x v="1"/>
    <x v="15"/>
    <x v="15"/>
    <x v="4"/>
    <x v="16"/>
    <n v="5300"/>
    <x v="0"/>
    <x v="0"/>
    <x v="13"/>
    <x v="1"/>
    <m/>
    <n v="45414"/>
    <x v="0"/>
    <x v="0"/>
    <x v="0"/>
  </r>
  <r>
    <x v="0"/>
    <s v="DC"/>
    <x v="8"/>
    <x v="14"/>
    <x v="1"/>
    <s v=" Artigo 29, inciso II, da Lei nº 13.303/2016 e no artigo 112, inciso II, do Regulamento de Licitações e Contratos da Telebras - RELIC."/>
    <x v="10"/>
    <x v="10"/>
    <n v="2024"/>
    <x v="1"/>
    <x v="1"/>
    <x v="17"/>
    <x v="15"/>
    <x v="14"/>
    <x v="11"/>
    <x v="0"/>
    <x v="4"/>
    <x v="10"/>
    <x v="2"/>
    <n v="0"/>
    <x v="15"/>
    <x v="2"/>
    <x v="16"/>
    <x v="16"/>
    <x v="4"/>
    <x v="17"/>
    <n v="12150"/>
    <x v="2"/>
    <x v="0"/>
    <x v="10"/>
    <x v="1"/>
    <m/>
    <n v="45435"/>
    <x v="2"/>
    <x v="0"/>
    <x v="0"/>
  </r>
  <r>
    <x v="0"/>
    <s v="DTO"/>
    <x v="4"/>
    <x v="15"/>
    <x v="1"/>
    <s v=" Artigo 29, inciso II, da Lei nº 13.303/2016 e no artigo 112, inciso II, do Regulamento de Licitações e Contratos da Telebras - RELIC."/>
    <x v="14"/>
    <x v="14"/>
    <n v="2024"/>
    <x v="1"/>
    <x v="1"/>
    <x v="18"/>
    <x v="16"/>
    <x v="15"/>
    <x v="12"/>
    <x v="0"/>
    <x v="5"/>
    <x v="11"/>
    <x v="2"/>
    <n v="0"/>
    <x v="16"/>
    <x v="3"/>
    <x v="17"/>
    <x v="17"/>
    <x v="5"/>
    <x v="18"/>
    <n v="11562.56"/>
    <x v="1"/>
    <x v="0"/>
    <x v="14"/>
    <x v="1"/>
    <m/>
    <n v="45449"/>
    <x v="3"/>
    <x v="0"/>
    <x v="0"/>
  </r>
  <r>
    <x v="0"/>
    <s v="DTO"/>
    <x v="4"/>
    <x v="15"/>
    <x v="1"/>
    <s v=" Artigo 29, inciso II, da Lei nº 13.303/2016 e no artigo 112, inciso II, do Regulamento de Licitações e Contratos da Telebras - RELIC."/>
    <x v="14"/>
    <x v="14"/>
    <n v="2024"/>
    <x v="1"/>
    <x v="1"/>
    <x v="19"/>
    <x v="17"/>
    <x v="15"/>
    <x v="12"/>
    <x v="0"/>
    <x v="5"/>
    <x v="12"/>
    <x v="2"/>
    <n v="0"/>
    <x v="16"/>
    <x v="3"/>
    <x v="18"/>
    <x v="18"/>
    <x v="5"/>
    <x v="19"/>
    <n v="650"/>
    <x v="1"/>
    <x v="0"/>
    <x v="14"/>
    <x v="1"/>
    <m/>
    <n v="45453"/>
    <x v="3"/>
    <x v="0"/>
    <x v="0"/>
  </r>
  <r>
    <x v="0"/>
    <s v="DTO"/>
    <x v="9"/>
    <x v="16"/>
    <x v="1"/>
    <s v=" Artigo 29, inciso XV, da Lei nº 13.303/2016 e no artigo 112, inciso XV, do Regulamento de Licitações e Contratos da Telebras - RELIC."/>
    <x v="15"/>
    <x v="15"/>
    <n v="2024"/>
    <x v="1"/>
    <x v="1"/>
    <x v="20"/>
    <x v="18"/>
    <x v="16"/>
    <x v="13"/>
    <x v="0"/>
    <x v="5"/>
    <x v="13"/>
    <x v="2"/>
    <n v="0"/>
    <x v="17"/>
    <x v="2"/>
    <x v="19"/>
    <x v="19"/>
    <x v="5"/>
    <x v="20"/>
    <n v="14340.16"/>
    <x v="1"/>
    <x v="0"/>
    <x v="15"/>
    <x v="1"/>
    <m/>
    <n v="45464"/>
    <x v="0"/>
    <x v="0"/>
    <x v="0"/>
  </r>
  <r>
    <x v="0"/>
    <s v="DAF"/>
    <x v="2"/>
    <x v="17"/>
    <x v="0"/>
    <s v="Art. 30, inciso II, letra &quot;f&quot;, da Lei 13.303/2016 e Art. 113, inciso II, letra &quot;f&quot; do RELIC"/>
    <x v="16"/>
    <x v="16"/>
    <n v="2024"/>
    <x v="1"/>
    <x v="1"/>
    <x v="21"/>
    <x v="19"/>
    <x v="17"/>
    <x v="7"/>
    <x v="0"/>
    <x v="6"/>
    <x v="14"/>
    <x v="2"/>
    <n v="0"/>
    <x v="18"/>
    <x v="1"/>
    <x v="20"/>
    <x v="20"/>
    <x v="6"/>
    <x v="21"/>
    <n v="397"/>
    <x v="0"/>
    <x v="0"/>
    <x v="16"/>
    <x v="1"/>
    <m/>
    <n v="45474"/>
    <x v="0"/>
    <x v="0"/>
    <x v="0"/>
  </r>
  <r>
    <x v="0"/>
    <s v="DAF"/>
    <x v="2"/>
    <x v="18"/>
    <x v="1"/>
    <s v=" Artigo 29, inciso II, da Lei nº 13.303/2016 e no artigo 112, inciso II, do Regulamento de Licitações e Contratos da Telebras - RELIC."/>
    <x v="17"/>
    <x v="17"/>
    <n v="2024"/>
    <x v="1"/>
    <x v="1"/>
    <x v="22"/>
    <x v="20"/>
    <x v="18"/>
    <x v="14"/>
    <x v="0"/>
    <x v="6"/>
    <x v="15"/>
    <x v="2"/>
    <n v="0"/>
    <x v="19"/>
    <x v="1"/>
    <x v="21"/>
    <x v="21"/>
    <x v="6"/>
    <x v="22"/>
    <n v="8381.5300000000007"/>
    <x v="0"/>
    <x v="0"/>
    <x v="17"/>
    <x v="1"/>
    <m/>
    <n v="45489"/>
    <x v="0"/>
    <x v="0"/>
    <x v="0"/>
  </r>
  <r>
    <x v="0"/>
    <s v="DAF"/>
    <x v="7"/>
    <x v="19"/>
    <x v="0"/>
    <s v="Art. 30, inciso II, letra &quot;f&quot;, da Lei 13.303/2016 e Art. 113, inciso II, letra &quot;f&quot; do RELIC"/>
    <x v="18"/>
    <x v="18"/>
    <n v="2024"/>
    <x v="1"/>
    <x v="1"/>
    <x v="23"/>
    <x v="21"/>
    <x v="19"/>
    <x v="9"/>
    <x v="0"/>
    <x v="6"/>
    <x v="16"/>
    <x v="2"/>
    <n v="0"/>
    <x v="20"/>
    <x v="1"/>
    <x v="22"/>
    <x v="22"/>
    <x v="6"/>
    <x v="23"/>
    <n v="13760"/>
    <x v="0"/>
    <x v="0"/>
    <x v="18"/>
    <x v="1"/>
    <m/>
    <n v="45490"/>
    <x v="0"/>
    <x v="0"/>
    <x v="0"/>
  </r>
  <r>
    <x v="0"/>
    <s v="DC"/>
    <x v="8"/>
    <x v="20"/>
    <x v="0"/>
    <s v="art. 30 da Lei n° 13.303 de 2016 c/c art. 113, inciso III, do Regulamento de Licitações e Contratos da Telebras ? RELIC;"/>
    <x v="19"/>
    <x v="19"/>
    <n v="2024"/>
    <x v="1"/>
    <x v="1"/>
    <x v="24"/>
    <x v="22"/>
    <x v="20"/>
    <x v="11"/>
    <x v="0"/>
    <x v="6"/>
    <x v="16"/>
    <x v="2"/>
    <n v="0"/>
    <x v="21"/>
    <x v="1"/>
    <x v="23"/>
    <x v="23"/>
    <x v="6"/>
    <x v="24"/>
    <n v="59998"/>
    <x v="0"/>
    <x v="0"/>
    <x v="19"/>
    <x v="1"/>
    <m/>
    <n v="45490"/>
    <x v="0"/>
    <x v="0"/>
    <x v="0"/>
  </r>
  <r>
    <x v="0"/>
    <s v="DAF"/>
    <x v="7"/>
    <x v="21"/>
    <x v="0"/>
    <s v="Art. 30, inciso II, letra &quot;f&quot;, da Lei 13.303/2016 e Art. 113, inciso II, letra &quot;f&quot; do RELIC"/>
    <x v="20"/>
    <x v="20"/>
    <n v="2024"/>
    <x v="1"/>
    <x v="1"/>
    <x v="25"/>
    <x v="23"/>
    <x v="21"/>
    <x v="15"/>
    <x v="0"/>
    <x v="6"/>
    <x v="17"/>
    <x v="3"/>
    <n v="0"/>
    <x v="22"/>
    <x v="1"/>
    <x v="24"/>
    <x v="24"/>
    <x v="7"/>
    <x v="25"/>
    <n v="1900"/>
    <x v="0"/>
    <x v="0"/>
    <x v="20"/>
    <x v="1"/>
    <m/>
    <n v="45503"/>
    <x v="0"/>
    <x v="0"/>
    <x v="0"/>
  </r>
  <r>
    <x v="0"/>
    <s v="DG"/>
    <x v="10"/>
    <x v="22"/>
    <x v="0"/>
    <s v="Art. 30, inciso II, letra &quot;f&quot;, da Lei 13.303/2016 e Art. 113, inciso II, letra &quot;f&quot; do RELIC"/>
    <x v="21"/>
    <x v="21"/>
    <n v="2024"/>
    <x v="1"/>
    <x v="1"/>
    <x v="26"/>
    <x v="24"/>
    <x v="22"/>
    <x v="16"/>
    <x v="0"/>
    <x v="7"/>
    <x v="18"/>
    <x v="2"/>
    <n v="0"/>
    <x v="23"/>
    <x v="1"/>
    <x v="25"/>
    <x v="25"/>
    <x v="8"/>
    <x v="26"/>
    <n v="16230"/>
    <x v="0"/>
    <x v="0"/>
    <x v="21"/>
    <x v="1"/>
    <m/>
    <n v="45510"/>
    <x v="0"/>
    <x v="0"/>
    <x v="0"/>
  </r>
  <r>
    <x v="0"/>
    <s v="DG"/>
    <x v="3"/>
    <x v="23"/>
    <x v="0"/>
    <s v="Art. 30, inciso II, letra &quot;f&quot;, da Lei 13.303/2016 e Art. 113, inciso II, letra &quot;f&quot; do RELIC"/>
    <x v="22"/>
    <x v="22"/>
    <n v="2024"/>
    <x v="1"/>
    <x v="1"/>
    <x v="27"/>
    <x v="25"/>
    <x v="23"/>
    <x v="17"/>
    <x v="0"/>
    <x v="8"/>
    <x v="19"/>
    <x v="2"/>
    <n v="0"/>
    <x v="24"/>
    <x v="1"/>
    <x v="26"/>
    <x v="26"/>
    <x v="9"/>
    <x v="27"/>
    <n v="2992.8"/>
    <x v="0"/>
    <x v="0"/>
    <x v="22"/>
    <x v="1"/>
    <m/>
    <n v="45568"/>
    <x v="0"/>
    <x v="0"/>
    <x v="0"/>
  </r>
  <r>
    <x v="0"/>
    <s v="PR"/>
    <x v="11"/>
    <x v="24"/>
    <x v="0"/>
    <s v="Art. 30, inciso II, letra &quot;f&quot;, da Lei 13.303/2016 e Art. 113, inciso II, letra &quot;f&quot; do RELIC"/>
    <x v="23"/>
    <x v="23"/>
    <n v="2024"/>
    <x v="1"/>
    <x v="1"/>
    <x v="28"/>
    <x v="26"/>
    <x v="24"/>
    <x v="9"/>
    <x v="0"/>
    <x v="8"/>
    <x v="19"/>
    <x v="2"/>
    <n v="0"/>
    <x v="25"/>
    <x v="1"/>
    <x v="25"/>
    <x v="25"/>
    <x v="9"/>
    <x v="28"/>
    <n v="22610"/>
    <x v="0"/>
    <x v="0"/>
    <x v="23"/>
    <x v="1"/>
    <m/>
    <n v="45568"/>
    <x v="0"/>
    <x v="0"/>
    <x v="0"/>
  </r>
  <r>
    <x v="0"/>
    <s v="DAF"/>
    <x v="7"/>
    <x v="25"/>
    <x v="0"/>
    <s v="Art. 30, inciso II, letra &quot;f&quot;, da Lei 13.303/2016 e Art. 113, inciso II, letra &quot;f&quot; do Regulamento de Licitações e Contratos da Telebras."/>
    <x v="24"/>
    <x v="24"/>
    <n v="2024"/>
    <x v="1"/>
    <x v="1"/>
    <x v="29"/>
    <x v="27"/>
    <x v="25"/>
    <x v="18"/>
    <x v="0"/>
    <x v="8"/>
    <x v="20"/>
    <x v="2"/>
    <n v="0"/>
    <x v="26"/>
    <x v="1"/>
    <x v="27"/>
    <x v="24"/>
    <x v="9"/>
    <x v="29"/>
    <n v="15100"/>
    <x v="0"/>
    <x v="0"/>
    <x v="24"/>
    <x v="1"/>
    <m/>
    <n v="45580"/>
    <x v="0"/>
    <x v="0"/>
    <x v="0"/>
  </r>
  <r>
    <x v="0"/>
    <s v="DAF"/>
    <x v="5"/>
    <x v="26"/>
    <x v="0"/>
    <s v="Art. 30, inciso II, letra &quot;f&quot;, da Lei 13.303/2016 e Art. 113, inciso II, letra &quot;f&quot; do Regulamento de Licitações e Contratos da Telebras."/>
    <x v="10"/>
    <x v="25"/>
    <n v="2024"/>
    <x v="1"/>
    <x v="1"/>
    <x v="30"/>
    <x v="28"/>
    <x v="26"/>
    <x v="19"/>
    <x v="0"/>
    <x v="8"/>
    <x v="21"/>
    <x v="4"/>
    <n v="1"/>
    <x v="27"/>
    <x v="1"/>
    <x v="28"/>
    <x v="27"/>
    <x v="0"/>
    <x v="30"/>
    <n v="11960"/>
    <x v="0"/>
    <x v="0"/>
    <x v="25"/>
    <x v="1"/>
    <m/>
    <n v="45595"/>
    <x v="0"/>
    <x v="0"/>
    <x v="0"/>
  </r>
  <r>
    <x v="0"/>
    <s v="DTO"/>
    <x v="12"/>
    <x v="27"/>
    <x v="0"/>
    <s v="art.30 da Lei n° 13.303 de2016 c/c caputdo art.113do Regulamento de Licitações eContratos da Telebras–RELIC"/>
    <x v="25"/>
    <x v="26"/>
    <n v="2023"/>
    <x v="0"/>
    <x v="1"/>
    <x v="31"/>
    <x v="29"/>
    <x v="27"/>
    <x v="20"/>
    <x v="0"/>
    <x v="1"/>
    <x v="22"/>
    <x v="5"/>
    <n v="1"/>
    <x v="28"/>
    <x v="1"/>
    <x v="29"/>
    <x v="28"/>
    <x v="0"/>
    <x v="31"/>
    <n v="77000"/>
    <x v="0"/>
    <x v="0"/>
    <x v="26"/>
    <x v="2"/>
    <m/>
    <n v="45331"/>
    <x v="0"/>
    <x v="0"/>
    <x v="0"/>
  </r>
  <r>
    <x v="0"/>
    <s v="DTO"/>
    <x v="13"/>
    <x v="28"/>
    <x v="1"/>
    <s v="Lei nº 8666/1993"/>
    <x v="26"/>
    <x v="27"/>
    <s v="2024"/>
    <x v="2"/>
    <x v="2"/>
    <x v="32"/>
    <x v="0"/>
    <x v="28"/>
    <x v="10"/>
    <x v="0"/>
    <x v="2"/>
    <x v="23"/>
    <x v="6"/>
    <n v="10"/>
    <x v="29"/>
    <x v="1"/>
    <x v="30"/>
    <x v="29"/>
    <x v="10"/>
    <x v="32"/>
    <n v="0"/>
    <x v="0"/>
    <x v="0"/>
    <x v="27"/>
    <x v="1"/>
    <m/>
    <n v="45383"/>
    <x v="0"/>
    <x v="0"/>
    <x v="0"/>
  </r>
  <r>
    <x v="0"/>
    <s v="DTO"/>
    <x v="13"/>
    <x v="29"/>
    <x v="1"/>
    <s v="Lei nº 8666/1993"/>
    <x v="27"/>
    <x v="28"/>
    <n v="2024"/>
    <x v="2"/>
    <x v="2"/>
    <x v="33"/>
    <x v="0"/>
    <x v="29"/>
    <x v="10"/>
    <x v="0"/>
    <x v="2"/>
    <x v="24"/>
    <x v="6"/>
    <n v="10"/>
    <x v="29"/>
    <x v="1"/>
    <x v="30"/>
    <x v="29"/>
    <x v="10"/>
    <x v="32"/>
    <n v="0"/>
    <x v="0"/>
    <x v="0"/>
    <x v="28"/>
    <x v="1"/>
    <m/>
    <n v="45383"/>
    <x v="0"/>
    <x v="0"/>
    <x v="0"/>
  </r>
  <r>
    <x v="0"/>
    <s v="DTO"/>
    <x v="14"/>
    <x v="30"/>
    <x v="2"/>
    <s v="Lei 13.303 de Junho de 2016; Decreto nº 10.024/2019; Regulamento Interno de Licitações e Contratos - TELEBRAS."/>
    <x v="28"/>
    <x v="29"/>
    <s v="2023"/>
    <x v="2"/>
    <x v="1"/>
    <x v="34"/>
    <x v="30"/>
    <x v="30"/>
    <x v="21"/>
    <x v="0"/>
    <x v="1"/>
    <x v="25"/>
    <x v="7"/>
    <n v="5"/>
    <x v="30"/>
    <x v="4"/>
    <x v="31"/>
    <x v="30"/>
    <x v="11"/>
    <x v="33"/>
    <n v="305784.8"/>
    <x v="3"/>
    <x v="0"/>
    <x v="29"/>
    <x v="3"/>
    <m/>
    <n v="45328"/>
    <x v="4"/>
    <x v="0"/>
    <x v="0"/>
  </r>
  <r>
    <x v="0"/>
    <s v="DAFRI"/>
    <x v="2"/>
    <x v="31"/>
    <x v="2"/>
    <s v="Lei nº13.303/2016"/>
    <x v="29"/>
    <x v="30"/>
    <s v="2023"/>
    <x v="2"/>
    <x v="1"/>
    <x v="35"/>
    <x v="31"/>
    <x v="31"/>
    <x v="22"/>
    <x v="0"/>
    <x v="0"/>
    <x v="26"/>
    <x v="8"/>
    <n v="5"/>
    <x v="31"/>
    <x v="1"/>
    <x v="32"/>
    <x v="31"/>
    <x v="11"/>
    <x v="34"/>
    <n v="1484943"/>
    <x v="0"/>
    <x v="0"/>
    <x v="30"/>
    <x v="4"/>
    <m/>
    <n v="45320"/>
    <x v="5"/>
    <x v="0"/>
    <x v="0"/>
  </r>
  <r>
    <x v="0"/>
    <s v="DTO"/>
    <x v="9"/>
    <x v="32"/>
    <x v="3"/>
    <s v="Contratação por afastamento de licitação conforme Prática n° 088/2023 - Prática de Aquisição de Sobressalentes de Baixa Mortalidade e Alto Impacto"/>
    <x v="30"/>
    <x v="0"/>
    <n v="2023"/>
    <x v="2"/>
    <x v="1"/>
    <x v="36"/>
    <x v="32"/>
    <x v="32"/>
    <x v="23"/>
    <x v="0"/>
    <x v="1"/>
    <x v="27"/>
    <x v="9"/>
    <n v="0"/>
    <x v="32"/>
    <x v="2"/>
    <x v="33"/>
    <x v="32"/>
    <x v="5"/>
    <x v="35"/>
    <n v="235335.8"/>
    <x v="1"/>
    <x v="0"/>
    <x v="31"/>
    <x v="5"/>
    <m/>
    <n v="45331"/>
    <x v="6"/>
    <x v="0"/>
    <x v="0"/>
  </r>
  <r>
    <x v="0"/>
    <s v="DTO"/>
    <x v="12"/>
    <x v="33"/>
    <x v="2"/>
    <s v="Art. 1º, Lei nº10.520/2002"/>
    <x v="31"/>
    <x v="31"/>
    <s v="2024"/>
    <x v="2"/>
    <x v="1"/>
    <x v="37"/>
    <x v="33"/>
    <x v="33"/>
    <x v="24"/>
    <x v="0"/>
    <x v="3"/>
    <x v="28"/>
    <x v="10"/>
    <n v="2"/>
    <x v="33"/>
    <x v="4"/>
    <x v="34"/>
    <x v="33"/>
    <x v="12"/>
    <x v="36"/>
    <n v="2070821.3"/>
    <x v="3"/>
    <x v="0"/>
    <x v="32"/>
    <x v="1"/>
    <m/>
    <n v="45352"/>
    <x v="7"/>
    <x v="0"/>
    <x v="0"/>
  </r>
  <r>
    <x v="0"/>
    <s v="DTO"/>
    <x v="12"/>
    <x v="34"/>
    <x v="2"/>
    <s v="Art. 1º, Lei nº10.520/2002"/>
    <x v="31"/>
    <x v="32"/>
    <s v="2024"/>
    <x v="2"/>
    <x v="1"/>
    <x v="38"/>
    <x v="34"/>
    <x v="34"/>
    <x v="24"/>
    <x v="0"/>
    <x v="3"/>
    <x v="29"/>
    <x v="10"/>
    <n v="2"/>
    <x v="34"/>
    <x v="4"/>
    <x v="34"/>
    <x v="33"/>
    <x v="12"/>
    <x v="37"/>
    <n v="6623405.9699999997"/>
    <x v="3"/>
    <x v="0"/>
    <x v="33"/>
    <x v="1"/>
    <m/>
    <n v="45352"/>
    <x v="8"/>
    <x v="0"/>
    <x v="0"/>
  </r>
  <r>
    <x v="0"/>
    <s v="DTO"/>
    <x v="15"/>
    <x v="35"/>
    <x v="1"/>
    <s v="Artigo 29, inciso II, da Lei nº 13.303/2016 e no artigo 112, inciso II, do Regulamento de Licitações e Contratos da Telebras - RELIC."/>
    <x v="32"/>
    <x v="33"/>
    <n v="2023"/>
    <x v="2"/>
    <x v="1"/>
    <x v="39"/>
    <x v="35"/>
    <x v="35"/>
    <x v="25"/>
    <x v="0"/>
    <x v="2"/>
    <x v="30"/>
    <x v="11"/>
    <n v="4"/>
    <x v="35"/>
    <x v="1"/>
    <x v="35"/>
    <x v="34"/>
    <x v="13"/>
    <x v="38"/>
    <n v="17570"/>
    <x v="0"/>
    <x v="0"/>
    <x v="34"/>
    <x v="6"/>
    <m/>
    <n v="45386"/>
    <x v="0"/>
    <x v="0"/>
    <x v="0"/>
  </r>
  <r>
    <x v="0"/>
    <s v="DTO"/>
    <x v="9"/>
    <x v="36"/>
    <x v="2"/>
    <s v="Artigo 1º da Lei n° 10.520/2002 e Art. 32, IV, da Lei nº 13.303/2016"/>
    <x v="33"/>
    <x v="34"/>
    <s v="2024"/>
    <x v="2"/>
    <x v="1"/>
    <x v="40"/>
    <x v="36"/>
    <x v="36"/>
    <x v="13"/>
    <x v="0"/>
    <x v="3"/>
    <x v="29"/>
    <x v="12"/>
    <n v="3"/>
    <x v="36"/>
    <x v="2"/>
    <x v="36"/>
    <x v="32"/>
    <x v="14"/>
    <x v="39"/>
    <n v="368396"/>
    <x v="1"/>
    <x v="0"/>
    <x v="35"/>
    <x v="1"/>
    <m/>
    <n v="45352"/>
    <x v="9"/>
    <x v="0"/>
    <x v="0"/>
  </r>
  <r>
    <x v="0"/>
    <s v="DTO"/>
    <x v="9"/>
    <x v="37"/>
    <x v="2"/>
    <s v=" Artigo 1º da Lei n° 10.520/2002 e Art. 32, IV, da Lei nº 13.303/2016"/>
    <x v="34"/>
    <x v="35"/>
    <n v="2024"/>
    <x v="2"/>
    <x v="1"/>
    <x v="41"/>
    <x v="37"/>
    <x v="37"/>
    <x v="26"/>
    <x v="0"/>
    <x v="3"/>
    <x v="31"/>
    <x v="13"/>
    <n v="1"/>
    <x v="37"/>
    <x v="2"/>
    <x v="37"/>
    <x v="19"/>
    <x v="0"/>
    <x v="40"/>
    <n v="52800"/>
    <x v="1"/>
    <x v="0"/>
    <x v="36"/>
    <x v="1"/>
    <m/>
    <n v="45357"/>
    <x v="9"/>
    <x v="0"/>
    <x v="0"/>
  </r>
  <r>
    <x v="0"/>
    <s v="DTO"/>
    <x v="4"/>
    <x v="38"/>
    <x v="2"/>
    <s v="Art. 19, inciso II, art. 21 e art. 22 do Regulamento de Licitações e Contratos da Telebras (RELIC) e Art. 20, inciso II e art. 24, inciso I, da Instrução Normativa 05, de 26 de maio, de 2017 - SEGES/Ministério do Planejamento"/>
    <x v="35"/>
    <x v="36"/>
    <n v="2024"/>
    <x v="2"/>
    <x v="1"/>
    <x v="42"/>
    <x v="38"/>
    <x v="38"/>
    <x v="27"/>
    <x v="0"/>
    <x v="4"/>
    <x v="32"/>
    <x v="14"/>
    <n v="5"/>
    <x v="38"/>
    <x v="1"/>
    <x v="38"/>
    <x v="35"/>
    <x v="11"/>
    <x v="41"/>
    <n v="414750"/>
    <x v="0"/>
    <x v="0"/>
    <x v="37"/>
    <x v="1"/>
    <m/>
    <n v="45415"/>
    <x v="10"/>
    <x v="0"/>
    <x v="0"/>
  </r>
  <r>
    <x v="0"/>
    <s v="DTO"/>
    <x v="16"/>
    <x v="39"/>
    <x v="2"/>
    <s v="artigo 32, IV da Lei nº 13.303/2016, na Lei nº 10.520/2002, no Decreto nº 10.024/2019 e no art. 92, I do Regulamento de Licitações e Contratos da Telebras (RELIC)"/>
    <x v="36"/>
    <x v="37"/>
    <s v="2024"/>
    <x v="2"/>
    <x v="1"/>
    <x v="43"/>
    <x v="39"/>
    <x v="39"/>
    <x v="28"/>
    <x v="0"/>
    <x v="2"/>
    <x v="33"/>
    <x v="15"/>
    <n v="3"/>
    <x v="39"/>
    <x v="2"/>
    <x v="39"/>
    <x v="36"/>
    <x v="14"/>
    <x v="42"/>
    <n v="81173"/>
    <x v="1"/>
    <x v="0"/>
    <x v="38"/>
    <x v="1"/>
    <m/>
    <n v="45397"/>
    <x v="11"/>
    <x v="0"/>
    <x v="0"/>
  </r>
  <r>
    <x v="0"/>
    <s v="DTO"/>
    <x v="4"/>
    <x v="40"/>
    <x v="3"/>
    <s v="artigo 29 Inciso II"/>
    <x v="37"/>
    <x v="38"/>
    <n v="2024"/>
    <x v="2"/>
    <x v="1"/>
    <x v="44"/>
    <x v="40"/>
    <x v="40"/>
    <x v="29"/>
    <x v="0"/>
    <x v="2"/>
    <x v="34"/>
    <x v="16"/>
    <n v="1"/>
    <x v="40"/>
    <x v="1"/>
    <x v="40"/>
    <x v="37"/>
    <x v="0"/>
    <x v="43"/>
    <n v="110810"/>
    <x v="0"/>
    <x v="0"/>
    <x v="39"/>
    <x v="1"/>
    <m/>
    <n v="45406"/>
    <x v="12"/>
    <x v="0"/>
    <x v="0"/>
  </r>
  <r>
    <x v="0"/>
    <s v="DG"/>
    <x v="10"/>
    <x v="41"/>
    <x v="0"/>
    <s v="Art. 30, Lei nº 13.303"/>
    <x v="38"/>
    <x v="39"/>
    <n v="2024"/>
    <x v="2"/>
    <x v="1"/>
    <x v="45"/>
    <x v="41"/>
    <x v="41"/>
    <x v="30"/>
    <x v="0"/>
    <x v="4"/>
    <x v="35"/>
    <x v="17"/>
    <n v="1"/>
    <x v="41"/>
    <x v="1"/>
    <x v="41"/>
    <x v="38"/>
    <x v="0"/>
    <x v="19"/>
    <n v="1300"/>
    <x v="0"/>
    <x v="0"/>
    <x v="40"/>
    <x v="1"/>
    <m/>
    <n v="45421"/>
    <x v="0"/>
    <x v="0"/>
    <x v="0"/>
  </r>
  <r>
    <x v="0"/>
    <s v="DAF"/>
    <x v="2"/>
    <x v="42"/>
    <x v="2"/>
    <s v="Artigo 29, inciso II, da Lei nº 13.303/2016 e no artigo 112, inciso II, do Regulamento de Licitações e Contratos da Telebras - RELIC."/>
    <x v="39"/>
    <x v="40"/>
    <n v="2024"/>
    <x v="2"/>
    <x v="1"/>
    <x v="46"/>
    <x v="42"/>
    <x v="42"/>
    <x v="31"/>
    <x v="0"/>
    <x v="2"/>
    <x v="36"/>
    <x v="18"/>
    <n v="5"/>
    <x v="42"/>
    <x v="1"/>
    <x v="42"/>
    <x v="39"/>
    <x v="11"/>
    <x v="44"/>
    <n v="648824.4"/>
    <x v="0"/>
    <x v="0"/>
    <x v="41"/>
    <x v="1"/>
    <m/>
    <n v="45411"/>
    <x v="13"/>
    <x v="0"/>
    <x v="0"/>
  </r>
  <r>
    <x v="0"/>
    <s v="DAF"/>
    <x v="7"/>
    <x v="43"/>
    <x v="2"/>
    <s v="art. 32, inciso IV"/>
    <x v="40"/>
    <x v="41"/>
    <n v="2024"/>
    <x v="2"/>
    <x v="1"/>
    <x v="47"/>
    <x v="43"/>
    <x v="43"/>
    <x v="32"/>
    <x v="0"/>
    <x v="4"/>
    <x v="37"/>
    <x v="19"/>
    <n v="2"/>
    <x v="43"/>
    <x v="1"/>
    <x v="43"/>
    <x v="40"/>
    <x v="15"/>
    <x v="45"/>
    <n v="74999.86"/>
    <x v="0"/>
    <x v="0"/>
    <x v="42"/>
    <x v="1"/>
    <m/>
    <n v="45439"/>
    <x v="2"/>
    <x v="0"/>
    <x v="0"/>
  </r>
  <r>
    <x v="0"/>
    <s v="DAF"/>
    <x v="2"/>
    <x v="44"/>
    <x v="2"/>
    <s v="artigo 29, § 1º, da Lei nº 13.303/2016"/>
    <x v="41"/>
    <x v="42"/>
    <n v="2024"/>
    <x v="2"/>
    <x v="1"/>
    <x v="48"/>
    <x v="44"/>
    <x v="44"/>
    <x v="33"/>
    <x v="0"/>
    <x v="5"/>
    <x v="38"/>
    <x v="20"/>
    <n v="1"/>
    <x v="44"/>
    <x v="1"/>
    <x v="44"/>
    <x v="41"/>
    <x v="16"/>
    <x v="46"/>
    <n v="830337.15"/>
    <x v="0"/>
    <x v="0"/>
    <x v="43"/>
    <x v="1"/>
    <m/>
    <n v="45446"/>
    <x v="14"/>
    <x v="0"/>
    <x v="0"/>
  </r>
  <r>
    <x v="0"/>
    <s v="DAF"/>
    <x v="17"/>
    <x v="45"/>
    <x v="1"/>
    <s v="Art. 29, Inciso II."/>
    <x v="42"/>
    <x v="43"/>
    <n v="2024"/>
    <x v="2"/>
    <x v="1"/>
    <x v="49"/>
    <x v="45"/>
    <x v="45"/>
    <x v="34"/>
    <x v="0"/>
    <x v="4"/>
    <x v="39"/>
    <x v="21"/>
    <n v="5"/>
    <x v="45"/>
    <x v="1"/>
    <x v="45"/>
    <x v="42"/>
    <x v="11"/>
    <x v="47"/>
    <n v="11070"/>
    <x v="0"/>
    <x v="0"/>
    <x v="44"/>
    <x v="1"/>
    <m/>
    <n v="45441"/>
    <x v="0"/>
    <x v="0"/>
    <x v="0"/>
  </r>
  <r>
    <x v="0"/>
    <s v="DAF"/>
    <x v="2"/>
    <x v="46"/>
    <x v="0"/>
    <s v="Art. 30, II, c, da Lei nº 13.3030/2016 c/c art. 113, II do RELIC"/>
    <x v="43"/>
    <x v="44"/>
    <n v="2024"/>
    <x v="2"/>
    <x v="1"/>
    <x v="50"/>
    <x v="46"/>
    <x v="46"/>
    <x v="35"/>
    <x v="0"/>
    <x v="5"/>
    <x v="40"/>
    <x v="22"/>
    <n v="1"/>
    <x v="46"/>
    <x v="1"/>
    <x v="46"/>
    <x v="43"/>
    <x v="0"/>
    <x v="48"/>
    <n v="185800"/>
    <x v="0"/>
    <x v="0"/>
    <x v="10"/>
    <x v="1"/>
    <m/>
    <n v="45454"/>
    <x v="0"/>
    <x v="0"/>
    <x v="0"/>
  </r>
  <r>
    <x v="0"/>
    <s v="DTO"/>
    <x v="12"/>
    <x v="47"/>
    <x v="3"/>
    <s v="art. 28 da Lei nº 13.303, de 30 de junho de 2016, corroborada e combinada com as disposições constantes do CAPÍTULO III – DA CONTRATAÇÃO DIRETA, constantes do inciso I, do art. 114 do Regulamento de Licitações e Contratos – RELIC"/>
    <x v="44"/>
    <x v="45"/>
    <n v="2024"/>
    <x v="2"/>
    <x v="1"/>
    <x v="51"/>
    <x v="47"/>
    <x v="47"/>
    <x v="36"/>
    <x v="0"/>
    <x v="5"/>
    <x v="41"/>
    <x v="23"/>
    <n v="0"/>
    <x v="47"/>
    <x v="4"/>
    <x v="47"/>
    <x v="44"/>
    <x v="7"/>
    <x v="49"/>
    <n v="43372.28"/>
    <x v="3"/>
    <x v="0"/>
    <x v="10"/>
    <x v="1"/>
    <m/>
    <n v="45467"/>
    <x v="15"/>
    <x v="0"/>
    <x v="0"/>
  </r>
  <r>
    <x v="0"/>
    <s v="DG"/>
    <x v="10"/>
    <x v="48"/>
    <x v="0"/>
    <s v="Art. 30, inciso II, da Lei nº 13.303/2016 c/c o art. 113, inciso II, do Regulamento de Licitações e Contratos da TELEBRAS"/>
    <x v="45"/>
    <x v="46"/>
    <n v="2024"/>
    <x v="2"/>
    <x v="1"/>
    <x v="52"/>
    <x v="48"/>
    <x v="48"/>
    <x v="37"/>
    <x v="0"/>
    <x v="5"/>
    <x v="42"/>
    <x v="2"/>
    <n v="0"/>
    <x v="48"/>
    <x v="1"/>
    <x v="48"/>
    <x v="25"/>
    <x v="5"/>
    <x v="50"/>
    <n v="13477"/>
    <x v="0"/>
    <x v="0"/>
    <x v="10"/>
    <x v="1"/>
    <m/>
    <n v="45463"/>
    <x v="0"/>
    <x v="0"/>
    <x v="0"/>
  </r>
  <r>
    <x v="0"/>
    <s v="DAF"/>
    <x v="2"/>
    <x v="49"/>
    <x v="2"/>
    <s v="inciso IV, do art. 32 da Lei nº 13.303, de 30 de junho de 2016, corroborada e combinada com as disposições constantes do Capítulo II – DAS LICITAÇÕES, art. 93 e seguintes do Regulamento de Licitações e Contratos – RELIC TELEBRAS, da Lei nº 14.133, de 1º de abril de 2021, do Decreto nº 10.024, de 20 de setembro de 2019; do Decreto nº 8.945, de 27 de dezembro de 2016, e legislação complementar"/>
    <x v="46"/>
    <x v="45"/>
    <n v="2024"/>
    <x v="2"/>
    <x v="1"/>
    <x v="53"/>
    <x v="49"/>
    <x v="49"/>
    <x v="38"/>
    <x v="0"/>
    <x v="5"/>
    <x v="43"/>
    <x v="24"/>
    <n v="5"/>
    <x v="49"/>
    <x v="1"/>
    <x v="49"/>
    <x v="44"/>
    <x v="11"/>
    <x v="51"/>
    <n v="706981.67"/>
    <x v="0"/>
    <x v="0"/>
    <x v="10"/>
    <x v="1"/>
    <m/>
    <n v="45468"/>
    <x v="1"/>
    <x v="0"/>
    <x v="0"/>
  </r>
  <r>
    <x v="0"/>
    <s v="DAF"/>
    <x v="2"/>
    <x v="50"/>
    <x v="2"/>
    <s v="inciso IV, do art. 32 da Lei nº 13.303"/>
    <x v="47"/>
    <x v="47"/>
    <n v="2024"/>
    <x v="2"/>
    <x v="1"/>
    <x v="54"/>
    <x v="50"/>
    <x v="50"/>
    <x v="2"/>
    <x v="0"/>
    <x v="6"/>
    <x v="14"/>
    <x v="25"/>
    <n v="5"/>
    <x v="50"/>
    <x v="1"/>
    <x v="50"/>
    <x v="45"/>
    <x v="11"/>
    <x v="52"/>
    <n v="1569746.4"/>
    <x v="0"/>
    <x v="0"/>
    <x v="45"/>
    <x v="1"/>
    <m/>
    <n v="45474"/>
    <x v="16"/>
    <x v="0"/>
    <x v="0"/>
  </r>
  <r>
    <x v="0"/>
    <s v="DTO"/>
    <x v="4"/>
    <x v="51"/>
    <x v="2"/>
    <s v="art. 32, inciso IV"/>
    <x v="10"/>
    <x v="48"/>
    <n v="2023"/>
    <x v="2"/>
    <x v="1"/>
    <x v="55"/>
    <x v="51"/>
    <x v="51"/>
    <x v="39"/>
    <x v="0"/>
    <x v="5"/>
    <x v="44"/>
    <x v="26"/>
    <n v="1"/>
    <x v="51"/>
    <x v="2"/>
    <x v="51"/>
    <x v="46"/>
    <x v="0"/>
    <x v="53"/>
    <n v="1436434.17"/>
    <x v="3"/>
    <x v="0"/>
    <x v="46"/>
    <x v="1"/>
    <m/>
    <n v="45471"/>
    <x v="0"/>
    <x v="0"/>
    <x v="0"/>
  </r>
  <r>
    <x v="0"/>
    <s v="DG"/>
    <x v="10"/>
    <x v="52"/>
    <x v="2"/>
    <s v="art. 32, inciso IV"/>
    <x v="10"/>
    <x v="49"/>
    <n v="2023"/>
    <x v="2"/>
    <x v="1"/>
    <x v="56"/>
    <x v="52"/>
    <x v="52"/>
    <x v="40"/>
    <x v="0"/>
    <x v="6"/>
    <x v="15"/>
    <x v="27"/>
    <n v="1"/>
    <x v="52"/>
    <x v="1"/>
    <x v="52"/>
    <x v="47"/>
    <x v="0"/>
    <x v="54"/>
    <n v="98000"/>
    <x v="0"/>
    <x v="0"/>
    <x v="47"/>
    <x v="1"/>
    <m/>
    <n v="45489"/>
    <x v="0"/>
    <x v="0"/>
    <x v="0"/>
  </r>
  <r>
    <x v="0"/>
    <s v="DTO"/>
    <x v="9"/>
    <x v="53"/>
    <x v="0"/>
    <s v="Art. 30, inciso II, letra &quot;f&quot;, da Lei 13.303/2016 e Art. 113, inciso II, letra &quot;f&quot; do RELIC"/>
    <x v="10"/>
    <x v="19"/>
    <n v="2024"/>
    <x v="2"/>
    <x v="1"/>
    <x v="57"/>
    <x v="53"/>
    <x v="20"/>
    <x v="11"/>
    <x v="0"/>
    <x v="6"/>
    <x v="45"/>
    <x v="2"/>
    <n v="0"/>
    <x v="53"/>
    <x v="1"/>
    <x v="53"/>
    <x v="23"/>
    <x v="6"/>
    <x v="55"/>
    <n v="59988"/>
    <x v="0"/>
    <x v="0"/>
    <x v="48"/>
    <x v="1"/>
    <m/>
    <n v="45491"/>
    <x v="0"/>
    <x v="0"/>
    <x v="0"/>
  </r>
  <r>
    <x v="0"/>
    <s v="DAF"/>
    <x v="7"/>
    <x v="54"/>
    <x v="2"/>
    <s v="art. 32, inciso IV"/>
    <x v="10"/>
    <x v="50"/>
    <n v="2024"/>
    <x v="2"/>
    <x v="1"/>
    <x v="58"/>
    <x v="54"/>
    <x v="53"/>
    <x v="41"/>
    <x v="0"/>
    <x v="6"/>
    <x v="46"/>
    <x v="28"/>
    <n v="5"/>
    <x v="54"/>
    <x v="1"/>
    <x v="54"/>
    <x v="48"/>
    <x v="11"/>
    <x v="56"/>
    <n v="266414.40000000002"/>
    <x v="0"/>
    <x v="0"/>
    <x v="49"/>
    <x v="1"/>
    <m/>
    <n v="45492"/>
    <x v="0"/>
    <x v="0"/>
    <x v="0"/>
  </r>
  <r>
    <x v="0"/>
    <s v="DTO"/>
    <x v="4"/>
    <x v="55"/>
    <x v="2"/>
    <s v="art. 32, inciso IV"/>
    <x v="10"/>
    <x v="51"/>
    <n v="2024"/>
    <x v="2"/>
    <x v="1"/>
    <x v="59"/>
    <x v="55"/>
    <x v="54"/>
    <x v="42"/>
    <x v="0"/>
    <x v="7"/>
    <x v="47"/>
    <x v="29"/>
    <n v="1"/>
    <x v="55"/>
    <x v="1"/>
    <x v="55"/>
    <x v="49"/>
    <x v="0"/>
    <x v="57"/>
    <n v="10737425"/>
    <x v="0"/>
    <x v="0"/>
    <x v="50"/>
    <x v="1"/>
    <m/>
    <n v="45506"/>
    <x v="0"/>
    <x v="0"/>
    <x v="0"/>
  </r>
  <r>
    <x v="0"/>
    <s v="DTO"/>
    <x v="12"/>
    <x v="56"/>
    <x v="3"/>
    <s v="Art. 28, § 3º, inciso I, da Lei 13.303/2016"/>
    <x v="10"/>
    <x v="52"/>
    <n v="2024"/>
    <x v="2"/>
    <x v="1"/>
    <x v="60"/>
    <x v="56"/>
    <x v="55"/>
    <x v="43"/>
    <x v="0"/>
    <x v="9"/>
    <x v="48"/>
    <x v="30"/>
    <n v="0"/>
    <x v="56"/>
    <x v="4"/>
    <x v="56"/>
    <x v="50"/>
    <x v="7"/>
    <x v="58"/>
    <n v="204688.24"/>
    <x v="3"/>
    <x v="0"/>
    <x v="51"/>
    <x v="1"/>
    <m/>
    <n v="45537"/>
    <x v="17"/>
    <x v="0"/>
    <x v="0"/>
  </r>
  <r>
    <x v="0"/>
    <s v="DAF"/>
    <x v="6"/>
    <x v="57"/>
    <x v="2"/>
    <s v="art. 32, inciso IV"/>
    <x v="10"/>
    <x v="53"/>
    <n v="2024"/>
    <x v="2"/>
    <x v="1"/>
    <x v="61"/>
    <x v="57"/>
    <x v="56"/>
    <x v="44"/>
    <x v="0"/>
    <x v="9"/>
    <x v="49"/>
    <x v="31"/>
    <n v="3"/>
    <x v="57"/>
    <x v="1"/>
    <x v="57"/>
    <x v="51"/>
    <x v="14"/>
    <x v="59"/>
    <n v="440000"/>
    <x v="0"/>
    <x v="0"/>
    <x v="52"/>
    <x v="1"/>
    <m/>
    <n v="45538"/>
    <x v="0"/>
    <x v="0"/>
    <x v="0"/>
  </r>
  <r>
    <x v="0"/>
    <s v="DAF"/>
    <x v="18"/>
    <x v="58"/>
    <x v="1"/>
    <s v="Artigo 29, inciso II, da Lei nº 13.303/2016 e no artigo 112, inciso II, do Regulamento de Licitações e Contratos da Telebras - RELIC."/>
    <x v="10"/>
    <x v="54"/>
    <n v="2024"/>
    <x v="2"/>
    <x v="1"/>
    <x v="62"/>
    <x v="58"/>
    <x v="57"/>
    <x v="45"/>
    <x v="0"/>
    <x v="9"/>
    <x v="50"/>
    <x v="32"/>
    <n v="1"/>
    <x v="58"/>
    <x v="1"/>
    <x v="58"/>
    <x v="52"/>
    <x v="0"/>
    <x v="60"/>
    <n v="1900.8"/>
    <x v="0"/>
    <x v="0"/>
    <x v="10"/>
    <x v="1"/>
    <m/>
    <n v="45561"/>
    <x v="0"/>
    <x v="0"/>
    <x v="0"/>
  </r>
  <r>
    <x v="0"/>
    <s v="DAF"/>
    <x v="7"/>
    <x v="59"/>
    <x v="2"/>
    <s v="art. 32, inciso IV"/>
    <x v="48"/>
    <x v="55"/>
    <n v="2024"/>
    <x v="2"/>
    <x v="1"/>
    <x v="63"/>
    <x v="59"/>
    <x v="58"/>
    <x v="46"/>
    <x v="0"/>
    <x v="8"/>
    <x v="20"/>
    <x v="33"/>
    <n v="5"/>
    <x v="59"/>
    <x v="1"/>
    <x v="59"/>
    <x v="53"/>
    <x v="11"/>
    <x v="61"/>
    <n v="7915896"/>
    <x v="0"/>
    <x v="0"/>
    <x v="53"/>
    <x v="1"/>
    <m/>
    <n v="45580"/>
    <x v="18"/>
    <x v="0"/>
    <x v="0"/>
  </r>
  <r>
    <x v="0"/>
    <s v="DAF"/>
    <x v="7"/>
    <x v="60"/>
    <x v="1"/>
    <s v="artigo 29, inciso II, da Lei no 13.303 e artigo 112, inciso II"/>
    <x v="49"/>
    <x v="56"/>
    <n v="2024"/>
    <x v="2"/>
    <x v="1"/>
    <x v="64"/>
    <x v="60"/>
    <x v="59"/>
    <x v="47"/>
    <x v="0"/>
    <x v="10"/>
    <x v="51"/>
    <x v="34"/>
    <n v="2"/>
    <x v="60"/>
    <x v="1"/>
    <x v="60"/>
    <x v="54"/>
    <x v="12"/>
    <x v="62"/>
    <n v="3970"/>
    <x v="0"/>
    <x v="0"/>
    <x v="54"/>
    <x v="1"/>
    <m/>
    <n v="45604"/>
    <x v="0"/>
    <x v="0"/>
    <x v="0"/>
  </r>
  <r>
    <x v="0"/>
    <s v="DAF"/>
    <x v="2"/>
    <x v="61"/>
    <x v="2"/>
    <s v="art. 32, inciso IV"/>
    <x v="50"/>
    <x v="57"/>
    <n v="2024"/>
    <x v="2"/>
    <x v="1"/>
    <x v="65"/>
    <x v="61"/>
    <x v="60"/>
    <x v="48"/>
    <x v="0"/>
    <x v="10"/>
    <x v="52"/>
    <x v="35"/>
    <n v="1"/>
    <x v="61"/>
    <x v="2"/>
    <x v="61"/>
    <x v="55"/>
    <x v="17"/>
    <x v="63"/>
    <n v="67500"/>
    <x v="1"/>
    <x v="0"/>
    <x v="10"/>
    <x v="1"/>
    <m/>
    <n v="45623"/>
    <x v="0"/>
    <x v="0"/>
    <x v="0"/>
  </r>
  <r>
    <x v="0"/>
    <s v="DTO"/>
    <x v="15"/>
    <x v="62"/>
    <x v="2"/>
    <s v="art. 32, inciso IV"/>
    <x v="51"/>
    <x v="58"/>
    <n v="2024"/>
    <x v="2"/>
    <x v="3"/>
    <x v="66"/>
    <x v="0"/>
    <x v="61"/>
    <x v="49"/>
    <x v="0"/>
    <x v="10"/>
    <x v="53"/>
    <x v="36"/>
    <n v="5"/>
    <x v="62"/>
    <x v="1"/>
    <x v="62"/>
    <x v="56"/>
    <x v="11"/>
    <x v="64"/>
    <n v="191768.4"/>
    <x v="0"/>
    <x v="0"/>
    <x v="10"/>
    <x v="1"/>
    <m/>
    <n v="45624"/>
    <x v="0"/>
    <x v="0"/>
    <x v="0"/>
  </r>
  <r>
    <x v="0"/>
    <s v="DG"/>
    <x v="19"/>
    <x v="63"/>
    <x v="1"/>
    <s v="artigo 29, inciso II, da Lei no 13.303 e artigo 112, inciso II"/>
    <x v="52"/>
    <x v="59"/>
    <s v="2024"/>
    <x v="2"/>
    <x v="1"/>
    <x v="67"/>
    <x v="62"/>
    <x v="62"/>
    <x v="8"/>
    <x v="0"/>
    <x v="11"/>
    <x v="54"/>
    <x v="37"/>
    <n v="1"/>
    <x v="63"/>
    <x v="1"/>
    <x v="63"/>
    <x v="57"/>
    <x v="0"/>
    <x v="65"/>
    <n v="4500"/>
    <x v="0"/>
    <x v="0"/>
    <x v="10"/>
    <x v="1"/>
    <m/>
    <n v="45636"/>
    <x v="0"/>
    <x v="0"/>
    <x v="0"/>
  </r>
  <r>
    <x v="0"/>
    <s v="DAF"/>
    <x v="2"/>
    <x v="64"/>
    <x v="1"/>
    <s v="artigo 29, inciso II, da Lei no 13.303 e artigo 112, inciso II"/>
    <x v="53"/>
    <x v="60"/>
    <s v="2024"/>
    <x v="2"/>
    <x v="1"/>
    <x v="68"/>
    <x v="63"/>
    <x v="63"/>
    <x v="50"/>
    <x v="0"/>
    <x v="11"/>
    <x v="55"/>
    <x v="38"/>
    <n v="5"/>
    <x v="64"/>
    <x v="1"/>
    <x v="64"/>
    <x v="58"/>
    <x v="11"/>
    <x v="66"/>
    <n v="10259.4"/>
    <x v="0"/>
    <x v="0"/>
    <x v="10"/>
    <x v="1"/>
    <m/>
    <n v="45643"/>
    <x v="0"/>
    <x v="0"/>
    <x v="0"/>
  </r>
  <r>
    <x v="0"/>
    <s v="DTO"/>
    <x v="12"/>
    <x v="65"/>
    <x v="3"/>
    <s v="Art. 28, § 3º, inciso I, da Lei 13.303/2016"/>
    <x v="54"/>
    <x v="61"/>
    <s v="2024"/>
    <x v="2"/>
    <x v="1"/>
    <x v="69"/>
    <x v="64"/>
    <x v="64"/>
    <x v="10"/>
    <x v="0"/>
    <x v="11"/>
    <x v="56"/>
    <x v="39"/>
    <n v="4"/>
    <x v="65"/>
    <x v="4"/>
    <x v="65"/>
    <x v="59"/>
    <x v="13"/>
    <x v="67"/>
    <n v="1284821.3700000001"/>
    <x v="3"/>
    <x v="0"/>
    <x v="10"/>
    <x v="1"/>
    <m/>
    <n v="45644"/>
    <x v="19"/>
    <x v="0"/>
    <x v="0"/>
  </r>
  <r>
    <x v="0"/>
    <s v="DTO"/>
    <x v="12"/>
    <x v="65"/>
    <x v="3"/>
    <s v="Art. 28, § 3º, inciso I, da Lei 13.303/2016"/>
    <x v="54"/>
    <x v="61"/>
    <s v="2024"/>
    <x v="2"/>
    <x v="1"/>
    <x v="70"/>
    <x v="65"/>
    <x v="65"/>
    <x v="51"/>
    <x v="0"/>
    <x v="11"/>
    <x v="56"/>
    <x v="39"/>
    <n v="4"/>
    <x v="66"/>
    <x v="4"/>
    <x v="66"/>
    <x v="60"/>
    <x v="13"/>
    <x v="68"/>
    <n v="9598604.4000000004"/>
    <x v="3"/>
    <x v="0"/>
    <x v="10"/>
    <x v="1"/>
    <m/>
    <n v="45644"/>
    <x v="19"/>
    <x v="0"/>
    <x v="0"/>
  </r>
  <r>
    <x v="0"/>
    <s v="DTO"/>
    <x v="12"/>
    <x v="65"/>
    <x v="3"/>
    <s v="Art. 28, § 3º, inciso I, da Lei 13.303/2016"/>
    <x v="54"/>
    <x v="61"/>
    <s v="2024"/>
    <x v="2"/>
    <x v="1"/>
    <x v="71"/>
    <x v="66"/>
    <x v="66"/>
    <x v="51"/>
    <x v="0"/>
    <x v="11"/>
    <x v="57"/>
    <x v="40"/>
    <n v="4"/>
    <x v="67"/>
    <x v="4"/>
    <x v="67"/>
    <x v="61"/>
    <x v="13"/>
    <x v="69"/>
    <n v="578402.9"/>
    <x v="3"/>
    <x v="0"/>
    <x v="10"/>
    <x v="1"/>
    <m/>
    <n v="45645"/>
    <x v="19"/>
    <x v="0"/>
    <x v="0"/>
  </r>
  <r>
    <x v="0"/>
    <s v="DTO"/>
    <x v="12"/>
    <x v="66"/>
    <x v="3"/>
    <s v="Art. 28, § 3º, inciso I, da Lei 13.303/2016"/>
    <x v="55"/>
    <x v="62"/>
    <s v="2024"/>
    <x v="2"/>
    <x v="1"/>
    <x v="72"/>
    <x v="67"/>
    <x v="67"/>
    <x v="52"/>
    <x v="0"/>
    <x v="11"/>
    <x v="58"/>
    <x v="41"/>
    <n v="4"/>
    <x v="68"/>
    <x v="4"/>
    <x v="66"/>
    <x v="60"/>
    <x v="13"/>
    <x v="70"/>
    <n v="44728467.780000001"/>
    <x v="3"/>
    <x v="0"/>
    <x v="10"/>
    <x v="1"/>
    <m/>
    <n v="45653"/>
    <x v="20"/>
    <x v="0"/>
    <x v="0"/>
  </r>
  <r>
    <x v="0"/>
    <s v="DTO"/>
    <x v="12"/>
    <x v="66"/>
    <x v="3"/>
    <s v="Art. 28, § 3º, inciso I, da Lei 13.303/2016"/>
    <x v="55"/>
    <x v="62"/>
    <s v="2024"/>
    <x v="2"/>
    <x v="1"/>
    <x v="73"/>
    <x v="68"/>
    <x v="68"/>
    <x v="52"/>
    <x v="0"/>
    <x v="11"/>
    <x v="58"/>
    <x v="41"/>
    <n v="4"/>
    <x v="69"/>
    <x v="4"/>
    <x v="68"/>
    <x v="62"/>
    <x v="13"/>
    <x v="71"/>
    <n v="2564723.75"/>
    <x v="3"/>
    <x v="0"/>
    <x v="10"/>
    <x v="1"/>
    <m/>
    <n v="45653"/>
    <x v="20"/>
    <x v="0"/>
    <x v="0"/>
  </r>
  <r>
    <x v="0"/>
    <s v="DG"/>
    <x v="3"/>
    <x v="67"/>
    <x v="0"/>
    <s v="Art. 30, inciso II, letra &quot;f&quot;, da Lei 13.303/2016 e Art. 113, inciso II, letra &quot;f&quot; do RELIC"/>
    <x v="56"/>
    <x v="63"/>
    <s v="2024"/>
    <x v="1"/>
    <x v="1"/>
    <x v="74"/>
    <x v="69"/>
    <x v="69"/>
    <x v="17"/>
    <x v="0"/>
    <x v="7"/>
    <x v="59"/>
    <x v="42"/>
    <n v="1"/>
    <x v="70"/>
    <x v="1"/>
    <x v="69"/>
    <x v="63"/>
    <x v="0"/>
    <x v="72"/>
    <n v="2992.8"/>
    <x v="0"/>
    <x v="0"/>
    <x v="10"/>
    <x v="1"/>
    <m/>
    <n v="45533"/>
    <x v="0"/>
    <x v="0"/>
    <x v="0"/>
  </r>
  <r>
    <x v="0"/>
    <s v="DAF"/>
    <x v="2"/>
    <x v="68"/>
    <x v="1"/>
    <s v="artigo 29, inciso II, da Lei no 13.303 e artigo 112, inciso II"/>
    <x v="57"/>
    <x v="64"/>
    <s v="2024"/>
    <x v="1"/>
    <x v="1"/>
    <x v="75"/>
    <x v="70"/>
    <x v="70"/>
    <x v="15"/>
    <x v="0"/>
    <x v="10"/>
    <x v="60"/>
    <x v="43"/>
    <n v="1"/>
    <x v="71"/>
    <x v="1"/>
    <x v="70"/>
    <x v="64"/>
    <x v="0"/>
    <x v="73"/>
    <n v="29500"/>
    <x v="0"/>
    <x v="0"/>
    <x v="10"/>
    <x v="1"/>
    <m/>
    <n v="45604"/>
    <x v="0"/>
    <x v="0"/>
    <x v="0"/>
  </r>
  <r>
    <x v="0"/>
    <s v="DAF"/>
    <x v="5"/>
    <x v="69"/>
    <x v="0"/>
    <s v="Art. 30, inciso II, letra &quot;f&quot;, da Lei 13.303/2016 e Art. 113, inciso II, letra &quot;f&quot; do RELIC"/>
    <x v="58"/>
    <x v="65"/>
    <s v="2024"/>
    <x v="1"/>
    <x v="1"/>
    <x v="76"/>
    <x v="71"/>
    <x v="71"/>
    <x v="19"/>
    <x v="0"/>
    <x v="10"/>
    <x v="61"/>
    <x v="44"/>
    <n v="1"/>
    <x v="72"/>
    <x v="1"/>
    <x v="7"/>
    <x v="7"/>
    <x v="0"/>
    <x v="74"/>
    <n v="3944"/>
    <x v="0"/>
    <x v="0"/>
    <x v="10"/>
    <x v="1"/>
    <m/>
    <n v="45623"/>
    <x v="0"/>
    <x v="0"/>
    <x v="0"/>
  </r>
  <r>
    <x v="0"/>
    <s v="DAF"/>
    <x v="7"/>
    <x v="70"/>
    <x v="0"/>
    <s v="Art. 30, inciso II, letra &quot;f&quot;, da Lei 13.303/2016 e Art. 113, inciso II, letra &quot;f&quot; do RELIC"/>
    <x v="59"/>
    <x v="66"/>
    <s v="2024"/>
    <x v="1"/>
    <x v="1"/>
    <x v="77"/>
    <x v="72"/>
    <x v="72"/>
    <x v="9"/>
    <x v="0"/>
    <x v="10"/>
    <x v="62"/>
    <x v="45"/>
    <n v="1"/>
    <x v="73"/>
    <x v="1"/>
    <x v="71"/>
    <x v="25"/>
    <x v="0"/>
    <x v="75"/>
    <n v="36800"/>
    <x v="0"/>
    <x v="0"/>
    <x v="10"/>
    <x v="1"/>
    <m/>
    <n v="45625"/>
    <x v="0"/>
    <x v="0"/>
    <x v="0"/>
  </r>
  <r>
    <x v="0"/>
    <s v="DTO"/>
    <x v="20"/>
    <x v="71"/>
    <x v="0"/>
    <s v="Art. 30, inciso II, letra &quot;f&quot;, da Lei 13.303/2016 e Art. 113, inciso II, letra &quot;f&quot; do RELIC"/>
    <x v="60"/>
    <x v="67"/>
    <s v="2024"/>
    <x v="1"/>
    <x v="1"/>
    <x v="78"/>
    <x v="73"/>
    <x v="73"/>
    <x v="9"/>
    <x v="0"/>
    <x v="11"/>
    <x v="63"/>
    <x v="46"/>
    <n v="1"/>
    <x v="74"/>
    <x v="1"/>
    <x v="72"/>
    <x v="65"/>
    <x v="0"/>
    <x v="76"/>
    <n v="5397.3"/>
    <x v="0"/>
    <x v="0"/>
    <x v="10"/>
    <x v="1"/>
    <m/>
    <n v="45628"/>
    <x v="0"/>
    <x v="0"/>
    <x v="0"/>
  </r>
  <r>
    <x v="0"/>
    <s v="DAF"/>
    <x v="7"/>
    <x v="72"/>
    <x v="0"/>
    <s v="Art. 30, inciso II, letra &quot;f&quot;, da Lei 13.303/2016 e Art. 113, inciso II, letra &quot;f&quot; do RELIC"/>
    <x v="61"/>
    <x v="68"/>
    <s v="2024"/>
    <x v="1"/>
    <x v="1"/>
    <x v="79"/>
    <x v="74"/>
    <x v="74"/>
    <x v="53"/>
    <x v="0"/>
    <x v="11"/>
    <x v="63"/>
    <x v="46"/>
    <n v="1"/>
    <x v="75"/>
    <x v="1"/>
    <x v="73"/>
    <x v="66"/>
    <x v="0"/>
    <x v="77"/>
    <n v="2497"/>
    <x v="0"/>
    <x v="0"/>
    <x v="10"/>
    <x v="1"/>
    <m/>
    <n v="45628"/>
    <x v="0"/>
    <x v="0"/>
    <x v="0"/>
  </r>
  <r>
    <x v="0"/>
    <s v="DAF"/>
    <x v="7"/>
    <x v="73"/>
    <x v="0"/>
    <s v="Art. 30, inciso II, letra &quot;f&quot;, da Lei 13.303/2016 e Art. 113, inciso II, letra &quot;f&quot; do RELIC"/>
    <x v="62"/>
    <x v="69"/>
    <s v="2024"/>
    <x v="1"/>
    <x v="1"/>
    <x v="80"/>
    <x v="75"/>
    <x v="75"/>
    <x v="35"/>
    <x v="0"/>
    <x v="11"/>
    <x v="63"/>
    <x v="46"/>
    <n v="1"/>
    <x v="76"/>
    <x v="1"/>
    <x v="74"/>
    <x v="67"/>
    <x v="0"/>
    <x v="78"/>
    <n v="8000"/>
    <x v="0"/>
    <x v="0"/>
    <x v="10"/>
    <x v="1"/>
    <m/>
    <n v="45628"/>
    <x v="0"/>
    <x v="0"/>
    <x v="0"/>
  </r>
  <r>
    <x v="0"/>
    <s v="DAF"/>
    <x v="7"/>
    <x v="74"/>
    <x v="0"/>
    <s v="Art. 30, inciso II, letra &quot;f&quot;, da Lei 13.303/2016 e Art. 113, inciso II, letra &quot;f&quot; do RELIC"/>
    <x v="63"/>
    <x v="70"/>
    <s v="2024"/>
    <x v="1"/>
    <x v="1"/>
    <x v="81"/>
    <x v="76"/>
    <x v="76"/>
    <x v="9"/>
    <x v="0"/>
    <x v="11"/>
    <x v="64"/>
    <x v="47"/>
    <n v="1"/>
    <x v="77"/>
    <x v="1"/>
    <x v="75"/>
    <x v="68"/>
    <x v="0"/>
    <x v="79"/>
    <n v="499"/>
    <x v="0"/>
    <x v="0"/>
    <x v="10"/>
    <x v="1"/>
    <m/>
    <n v="45630"/>
    <x v="0"/>
    <x v="0"/>
    <x v="0"/>
  </r>
  <r>
    <x v="0"/>
    <s v="DTO"/>
    <x v="15"/>
    <x v="75"/>
    <x v="0"/>
    <s v="Art. 30, inciso II, letra &quot;f&quot;, da Lei 13.303/2016 e Art. 113, inciso II, letra &quot;f&quot; do RELIC"/>
    <x v="64"/>
    <x v="71"/>
    <s v="2024"/>
    <x v="1"/>
    <x v="1"/>
    <x v="82"/>
    <x v="77"/>
    <x v="77"/>
    <x v="9"/>
    <x v="0"/>
    <x v="11"/>
    <x v="65"/>
    <x v="48"/>
    <n v="1"/>
    <x v="78"/>
    <x v="1"/>
    <x v="76"/>
    <x v="69"/>
    <x v="0"/>
    <x v="80"/>
    <n v="5850"/>
    <x v="0"/>
    <x v="0"/>
    <x v="10"/>
    <x v="1"/>
    <m/>
    <n v="45631"/>
    <x v="0"/>
    <x v="0"/>
    <x v="0"/>
  </r>
  <r>
    <x v="0"/>
    <s v="DTO"/>
    <x v="15"/>
    <x v="76"/>
    <x v="0"/>
    <s v="Art. 30, inciso II, letra &quot;f&quot;, da Lei 13.303/2016 e Art. 113, inciso II, letra &quot;f&quot; do RELIC"/>
    <x v="65"/>
    <x v="72"/>
    <s v="2024"/>
    <x v="1"/>
    <x v="1"/>
    <x v="83"/>
    <x v="78"/>
    <x v="78"/>
    <x v="9"/>
    <x v="0"/>
    <x v="11"/>
    <x v="65"/>
    <x v="48"/>
    <n v="1"/>
    <x v="79"/>
    <x v="1"/>
    <x v="77"/>
    <x v="70"/>
    <x v="0"/>
    <x v="81"/>
    <n v="5170"/>
    <x v="0"/>
    <x v="0"/>
    <x v="10"/>
    <x v="1"/>
    <m/>
    <n v="45631"/>
    <x v="0"/>
    <x v="0"/>
    <x v="0"/>
  </r>
  <r>
    <x v="0"/>
    <s v="DAF"/>
    <x v="7"/>
    <x v="77"/>
    <x v="0"/>
    <s v="Art. 30, inciso II, letra &quot;f&quot;, da Lei 13.303/2016 e Art. 113, inciso II, letra &quot;f&quot; do RELIC"/>
    <x v="66"/>
    <x v="73"/>
    <s v="2024"/>
    <x v="1"/>
    <x v="1"/>
    <x v="84"/>
    <x v="79"/>
    <x v="79"/>
    <x v="9"/>
    <x v="0"/>
    <x v="11"/>
    <x v="65"/>
    <x v="48"/>
    <n v="1"/>
    <x v="80"/>
    <x v="1"/>
    <x v="78"/>
    <x v="71"/>
    <x v="0"/>
    <x v="82"/>
    <n v="2805"/>
    <x v="0"/>
    <x v="0"/>
    <x v="10"/>
    <x v="1"/>
    <m/>
    <n v="45631"/>
    <x v="0"/>
    <x v="0"/>
    <x v="0"/>
  </r>
  <r>
    <x v="0"/>
    <s v="GID"/>
    <x v="21"/>
    <x v="78"/>
    <x v="0"/>
    <s v="Art. 30, inciso II, letra &quot;f&quot;, da Lei 13.303/2016 e Art. 113, inciso II, letra &quot;f&quot; do RELIC"/>
    <x v="67"/>
    <x v="74"/>
    <s v="2024"/>
    <x v="1"/>
    <x v="1"/>
    <x v="85"/>
    <x v="80"/>
    <x v="80"/>
    <x v="9"/>
    <x v="0"/>
    <x v="11"/>
    <x v="65"/>
    <x v="48"/>
    <n v="1"/>
    <x v="81"/>
    <x v="1"/>
    <x v="77"/>
    <x v="70"/>
    <x v="0"/>
    <x v="83"/>
    <n v="7080"/>
    <x v="0"/>
    <x v="0"/>
    <x v="10"/>
    <x v="1"/>
    <m/>
    <n v="45631"/>
    <x v="0"/>
    <x v="0"/>
    <x v="0"/>
  </r>
  <r>
    <x v="0"/>
    <s v="GID"/>
    <x v="21"/>
    <x v="79"/>
    <x v="0"/>
    <s v="Art. 30, inciso II, letra &quot;f&quot;, da Lei 13.303/2016 e Art. 113, inciso II, letra &quot;f&quot; do RELIC"/>
    <x v="68"/>
    <x v="75"/>
    <s v="2024"/>
    <x v="1"/>
    <x v="1"/>
    <x v="86"/>
    <x v="81"/>
    <x v="81"/>
    <x v="9"/>
    <x v="0"/>
    <x v="11"/>
    <x v="65"/>
    <x v="48"/>
    <n v="1"/>
    <x v="82"/>
    <x v="1"/>
    <x v="77"/>
    <x v="70"/>
    <x v="0"/>
    <x v="84"/>
    <n v="5415"/>
    <x v="0"/>
    <x v="0"/>
    <x v="10"/>
    <x v="1"/>
    <m/>
    <n v="45631"/>
    <x v="0"/>
    <x v="0"/>
    <x v="0"/>
  </r>
  <r>
    <x v="0"/>
    <s v="DAF"/>
    <x v="7"/>
    <x v="80"/>
    <x v="0"/>
    <s v="Art. 30, inciso II, letra &quot;f&quot;, da Lei 13.303/2016 e Art. 113, inciso II, letra &quot;f&quot; do RELIC"/>
    <x v="69"/>
    <x v="76"/>
    <s v="2024"/>
    <x v="1"/>
    <x v="1"/>
    <x v="87"/>
    <x v="82"/>
    <x v="82"/>
    <x v="9"/>
    <x v="0"/>
    <x v="11"/>
    <x v="65"/>
    <x v="48"/>
    <n v="1"/>
    <x v="83"/>
    <x v="1"/>
    <x v="79"/>
    <x v="72"/>
    <x v="0"/>
    <x v="85"/>
    <n v="22066"/>
    <x v="0"/>
    <x v="0"/>
    <x v="10"/>
    <x v="1"/>
    <m/>
    <n v="45631"/>
    <x v="0"/>
    <x v="0"/>
    <x v="0"/>
  </r>
  <r>
    <x v="0"/>
    <s v="DAF"/>
    <x v="7"/>
    <x v="81"/>
    <x v="0"/>
    <s v="Art. 30, inciso II, letra &quot;f&quot;, da Lei 13.303/2016 e Art. 113, inciso II, letra &quot;f&quot; do RELIC"/>
    <x v="69"/>
    <x v="77"/>
    <s v="2024"/>
    <x v="1"/>
    <x v="1"/>
    <x v="88"/>
    <x v="83"/>
    <x v="83"/>
    <x v="9"/>
    <x v="0"/>
    <x v="11"/>
    <x v="65"/>
    <x v="48"/>
    <n v="1"/>
    <x v="84"/>
    <x v="1"/>
    <x v="80"/>
    <x v="73"/>
    <x v="0"/>
    <x v="86"/>
    <n v="2480"/>
    <x v="0"/>
    <x v="0"/>
    <x v="10"/>
    <x v="1"/>
    <m/>
    <n v="45631"/>
    <x v="0"/>
    <x v="0"/>
    <x v="0"/>
  </r>
  <r>
    <x v="0"/>
    <s v="DTO"/>
    <x v="15"/>
    <x v="82"/>
    <x v="0"/>
    <s v="Art. 30, inciso II, letra &quot;f&quot;, da Lei 13.303/2016 e Art. 113, inciso II, letra &quot;f&quot; do RELIC"/>
    <x v="70"/>
    <x v="78"/>
    <s v="2024"/>
    <x v="1"/>
    <x v="1"/>
    <x v="89"/>
    <x v="84"/>
    <x v="84"/>
    <x v="9"/>
    <x v="0"/>
    <x v="11"/>
    <x v="55"/>
    <x v="49"/>
    <n v="1"/>
    <x v="85"/>
    <x v="1"/>
    <x v="81"/>
    <x v="74"/>
    <x v="0"/>
    <x v="87"/>
    <n v="13234.53"/>
    <x v="0"/>
    <x v="0"/>
    <x v="10"/>
    <x v="1"/>
    <m/>
    <n v="45643"/>
    <x v="0"/>
    <x v="0"/>
    <x v="0"/>
  </r>
  <r>
    <x v="1"/>
    <s v="DTO"/>
    <x v="15"/>
    <x v="83"/>
    <x v="2"/>
    <s v="art. 32, inciso IV"/>
    <x v="71"/>
    <x v="79"/>
    <s v="2024"/>
    <x v="2"/>
    <x v="1"/>
    <x v="90"/>
    <x v="85"/>
    <x v="85"/>
    <x v="54"/>
    <x v="1"/>
    <x v="12"/>
    <x v="66"/>
    <x v="50"/>
    <n v="5"/>
    <x v="86"/>
    <x v="1"/>
    <x v="82"/>
    <x v="75"/>
    <x v="11"/>
    <x v="88"/>
    <n v="10887430.199999999"/>
    <x v="0"/>
    <x v="0"/>
    <x v="55"/>
    <x v="7"/>
    <m/>
    <n v="149"/>
    <x v="21"/>
    <x v="1"/>
    <x v="1"/>
  </r>
  <r>
    <x v="2"/>
    <s v="DAF"/>
    <x v="2"/>
    <x v="84"/>
    <x v="2"/>
    <s v="art. 32, inciso IV"/>
    <x v="72"/>
    <x v="80"/>
    <s v="2024"/>
    <x v="2"/>
    <x v="1"/>
    <x v="91"/>
    <x v="86"/>
    <x v="86"/>
    <x v="31"/>
    <x v="1"/>
    <x v="13"/>
    <x v="67"/>
    <x v="51"/>
    <n v="1"/>
    <x v="87"/>
    <x v="1"/>
    <x v="83"/>
    <x v="76"/>
    <x v="0"/>
    <x v="89"/>
    <n v="520848.72"/>
    <x v="0"/>
    <x v="0"/>
    <x v="10"/>
    <x v="1"/>
    <m/>
    <n v="157"/>
    <x v="22"/>
    <x v="2"/>
    <x v="1"/>
  </r>
  <r>
    <x v="3"/>
    <s v="DTO"/>
    <x v="12"/>
    <x v="85"/>
    <x v="3"/>
    <s v="Art. 28, § 3º, inciso I, da Lei 13.303/2016"/>
    <x v="73"/>
    <x v="81"/>
    <s v="2024"/>
    <x v="2"/>
    <x v="1"/>
    <x v="92"/>
    <x v="87"/>
    <x v="87"/>
    <x v="55"/>
    <x v="1"/>
    <x v="13"/>
    <x v="68"/>
    <x v="52"/>
    <n v="5"/>
    <x v="88"/>
    <x v="4"/>
    <x v="84"/>
    <x v="77"/>
    <x v="11"/>
    <x v="90"/>
    <n v="18918796.23"/>
    <x v="3"/>
    <x v="0"/>
    <x v="56"/>
    <x v="8"/>
    <m/>
    <n v="241"/>
    <x v="23"/>
    <x v="3"/>
    <x v="2"/>
  </r>
  <r>
    <x v="4"/>
    <s v="DTO"/>
    <x v="12"/>
    <x v="86"/>
    <x v="3"/>
    <s v="Art. 28, § 3º, inciso I, da Lei 13.303/2016"/>
    <x v="74"/>
    <x v="82"/>
    <s v="2025"/>
    <x v="2"/>
    <x v="1"/>
    <x v="93"/>
    <x v="88"/>
    <x v="88"/>
    <x v="52"/>
    <x v="1"/>
    <x v="13"/>
    <x v="69"/>
    <x v="53"/>
    <n v="3"/>
    <x v="89"/>
    <x v="4"/>
    <x v="85"/>
    <x v="78"/>
    <x v="14"/>
    <x v="91"/>
    <n v="122036510.12"/>
    <x v="3"/>
    <x v="0"/>
    <x v="57"/>
    <x v="9"/>
    <m/>
    <n v="197"/>
    <x v="24"/>
    <x v="3"/>
    <x v="2"/>
  </r>
  <r>
    <x v="0"/>
    <s v="DG"/>
    <x v="10"/>
    <x v="87"/>
    <x v="0"/>
    <s v="Art. 30, inciso II, da Lei nº 13.303/2016"/>
    <x v="10"/>
    <x v="10"/>
    <s v="2024"/>
    <x v="3"/>
    <x v="1"/>
    <x v="94"/>
    <x v="89"/>
    <x v="89"/>
    <x v="56"/>
    <x v="0"/>
    <x v="6"/>
    <x v="70"/>
    <x v="54"/>
    <n v="1"/>
    <x v="90"/>
    <x v="1"/>
    <x v="86"/>
    <x v="23"/>
    <x v="0"/>
    <x v="92"/>
    <n v="6150"/>
    <x v="0"/>
    <x v="0"/>
    <x v="10"/>
    <x v="1"/>
    <m/>
    <m/>
    <x v="0"/>
    <x v="0"/>
    <x v="0"/>
  </r>
  <r>
    <x v="5"/>
    <s v="DAF"/>
    <x v="2"/>
    <x v="88"/>
    <x v="2"/>
    <s v="art. 32, inciso IV"/>
    <x v="75"/>
    <x v="83"/>
    <s v="2025"/>
    <x v="2"/>
    <x v="1"/>
    <x v="95"/>
    <x v="90"/>
    <x v="90"/>
    <x v="50"/>
    <x v="1"/>
    <x v="13"/>
    <x v="71"/>
    <x v="55"/>
    <n v="5"/>
    <x v="91"/>
    <x v="1"/>
    <x v="87"/>
    <x v="79"/>
    <x v="11"/>
    <x v="93"/>
    <n v="5285400"/>
    <x v="0"/>
    <x v="0"/>
    <x v="10"/>
    <x v="1"/>
    <m/>
    <n v="235"/>
    <x v="25"/>
    <x v="4"/>
    <x v="1"/>
  </r>
  <r>
    <x v="6"/>
    <s v="DAF"/>
    <x v="2"/>
    <x v="89"/>
    <x v="2"/>
    <s v="art. 32, inciso IV"/>
    <x v="76"/>
    <x v="84"/>
    <s v="2024"/>
    <x v="2"/>
    <x v="1"/>
    <x v="96"/>
    <x v="91"/>
    <x v="91"/>
    <x v="57"/>
    <x v="1"/>
    <x v="14"/>
    <x v="72"/>
    <x v="56"/>
    <n v="5"/>
    <x v="92"/>
    <x v="1"/>
    <x v="88"/>
    <x v="80"/>
    <x v="11"/>
    <x v="94"/>
    <n v="547999.96"/>
    <x v="0"/>
    <x v="0"/>
    <x v="10"/>
    <x v="1"/>
    <m/>
    <n v="119"/>
    <x v="26"/>
    <x v="5"/>
    <x v="1"/>
  </r>
  <r>
    <x v="7"/>
    <s v="DAF"/>
    <x v="6"/>
    <x v="90"/>
    <x v="1"/>
    <s v="artigo 29, inciso II, da Lei no 13.303 e artigo 112, inciso II"/>
    <x v="77"/>
    <x v="85"/>
    <s v="2025"/>
    <x v="2"/>
    <x v="1"/>
    <x v="97"/>
    <x v="92"/>
    <x v="92"/>
    <x v="58"/>
    <x v="1"/>
    <x v="15"/>
    <x v="73"/>
    <x v="57"/>
    <n v="3"/>
    <x v="93"/>
    <x v="1"/>
    <x v="89"/>
    <x v="81"/>
    <x v="14"/>
    <x v="95"/>
    <n v="29500"/>
    <x v="0"/>
    <x v="0"/>
    <x v="10"/>
    <x v="1"/>
    <m/>
    <n v="78"/>
    <x v="26"/>
    <x v="6"/>
    <x v="1"/>
  </r>
  <r>
    <x v="8"/>
    <s v="DTO"/>
    <x v="15"/>
    <x v="91"/>
    <x v="4"/>
    <s v="art. 32, inciso IV"/>
    <x v="78"/>
    <x v="86"/>
    <s v="2025"/>
    <x v="2"/>
    <x v="1"/>
    <x v="98"/>
    <x v="93"/>
    <x v="93"/>
    <x v="54"/>
    <x v="1"/>
    <x v="14"/>
    <x v="74"/>
    <x v="58"/>
    <n v="3"/>
    <x v="94"/>
    <x v="1"/>
    <x v="90"/>
    <x v="82"/>
    <x v="14"/>
    <x v="96"/>
    <n v="6376307.2000000002"/>
    <x v="0"/>
    <x v="0"/>
    <x v="10"/>
    <x v="1"/>
    <m/>
    <n v="150"/>
    <x v="27"/>
    <x v="7"/>
    <x v="3"/>
  </r>
  <r>
    <x v="9"/>
    <s v="DTO"/>
    <x v="15"/>
    <x v="92"/>
    <x v="0"/>
    <s v="Art. 30, inciso II, da Lei nº 13.303/2016"/>
    <x v="79"/>
    <x v="87"/>
    <s v="2025"/>
    <x v="2"/>
    <x v="1"/>
    <x v="99"/>
    <x v="94"/>
    <x v="94"/>
    <x v="59"/>
    <x v="1"/>
    <x v="14"/>
    <x v="75"/>
    <x v="59"/>
    <n v="0"/>
    <x v="95"/>
    <x v="1"/>
    <x v="91"/>
    <x v="83"/>
    <x v="5"/>
    <x v="97"/>
    <n v="53604"/>
    <x v="0"/>
    <x v="0"/>
    <x v="10"/>
    <x v="1"/>
    <m/>
    <n v="104"/>
    <x v="28"/>
    <x v="8"/>
    <x v="1"/>
  </r>
  <r>
    <x v="9"/>
    <s v="DTO"/>
    <x v="15"/>
    <x v="93"/>
    <x v="0"/>
    <s v="Art. 30, inciso II, da Lei nº 13.303/2016"/>
    <x v="79"/>
    <x v="88"/>
    <s v="2025"/>
    <x v="2"/>
    <x v="1"/>
    <x v="100"/>
    <x v="95"/>
    <x v="95"/>
    <x v="59"/>
    <x v="1"/>
    <x v="14"/>
    <x v="76"/>
    <x v="60"/>
    <n v="0"/>
    <x v="96"/>
    <x v="1"/>
    <x v="91"/>
    <x v="83"/>
    <x v="5"/>
    <x v="98"/>
    <n v="122605"/>
    <x v="0"/>
    <x v="0"/>
    <x v="10"/>
    <x v="1"/>
    <m/>
    <n v="104"/>
    <x v="29"/>
    <x v="9"/>
    <x v="1"/>
  </r>
  <r>
    <x v="10"/>
    <s v="DAF"/>
    <x v="7"/>
    <x v="94"/>
    <x v="1"/>
    <s v="artigo 29, inciso II, da Lei no 13.303 e artigo 112, inciso II"/>
    <x v="80"/>
    <x v="89"/>
    <n v="2025"/>
    <x v="2"/>
    <x v="1"/>
    <x v="101"/>
    <x v="96"/>
    <x v="96"/>
    <x v="60"/>
    <x v="1"/>
    <x v="14"/>
    <x v="77"/>
    <x v="61"/>
    <n v="1"/>
    <x v="97"/>
    <x v="1"/>
    <x v="92"/>
    <x v="84"/>
    <x v="0"/>
    <x v="99"/>
    <n v="6500"/>
    <x v="1"/>
    <x v="0"/>
    <x v="58"/>
    <x v="10"/>
    <m/>
    <n v="127"/>
    <x v="30"/>
    <x v="10"/>
    <x v="1"/>
  </r>
  <r>
    <x v="11"/>
    <s v="PR"/>
    <x v="22"/>
    <x v="95"/>
    <x v="0"/>
    <s v="Art. 30, inciso II, da Lei nº 13.303/2016"/>
    <x v="81"/>
    <x v="90"/>
    <n v="2025"/>
    <x v="2"/>
    <x v="1"/>
    <x v="102"/>
    <x v="97"/>
    <x v="97"/>
    <x v="61"/>
    <x v="1"/>
    <x v="15"/>
    <x v="78"/>
    <x v="62"/>
    <n v="5"/>
    <x v="98"/>
    <x v="1"/>
    <x v="93"/>
    <x v="85"/>
    <x v="11"/>
    <x v="100"/>
    <n v="5900000"/>
    <x v="0"/>
    <x v="0"/>
    <x v="10"/>
    <x v="1"/>
    <m/>
    <n v="23"/>
    <x v="31"/>
    <x v="11"/>
    <x v="1"/>
  </r>
  <r>
    <x v="12"/>
    <s v="DAF"/>
    <x v="2"/>
    <x v="96"/>
    <x v="2"/>
    <s v="art. 32, inciso IV"/>
    <x v="82"/>
    <x v="91"/>
    <n v="2024"/>
    <x v="2"/>
    <x v="1"/>
    <x v="103"/>
    <x v="98"/>
    <x v="98"/>
    <x v="57"/>
    <x v="1"/>
    <x v="16"/>
    <x v="79"/>
    <x v="63"/>
    <n v="5"/>
    <x v="99"/>
    <x v="1"/>
    <x v="94"/>
    <x v="86"/>
    <x v="11"/>
    <x v="101"/>
    <n v="458880"/>
    <x v="0"/>
    <x v="0"/>
    <x v="10"/>
    <x v="1"/>
    <m/>
    <n v="92"/>
    <x v="32"/>
    <x v="12"/>
    <x v="1"/>
  </r>
  <r>
    <x v="13"/>
    <s v="DTO"/>
    <x v="9"/>
    <x v="97"/>
    <x v="1"/>
    <s v="artigo 29, inciso II, da Lei no 13.303 e artigo 112, inciso II"/>
    <x v="83"/>
    <x v="92"/>
    <n v="2025"/>
    <x v="2"/>
    <x v="1"/>
    <x v="104"/>
    <x v="99"/>
    <x v="99"/>
    <x v="62"/>
    <x v="1"/>
    <x v="17"/>
    <x v="80"/>
    <x v="64"/>
    <n v="0"/>
    <x v="100"/>
    <x v="1"/>
    <x v="95"/>
    <x v="87"/>
    <x v="5"/>
    <x v="102"/>
    <n v="25441"/>
    <x v="0"/>
    <x v="0"/>
    <x v="10"/>
    <x v="1"/>
    <m/>
    <n v="67"/>
    <x v="33"/>
    <x v="13"/>
    <x v="1"/>
  </r>
  <r>
    <x v="14"/>
    <s v="DTO"/>
    <x v="14"/>
    <x v="98"/>
    <x v="2"/>
    <s v="art. 32, inciso IV"/>
    <x v="84"/>
    <x v="93"/>
    <n v="2025"/>
    <x v="2"/>
    <x v="1"/>
    <x v="105"/>
    <x v="100"/>
    <x v="100"/>
    <x v="63"/>
    <x v="1"/>
    <x v="17"/>
    <x v="81"/>
    <x v="65"/>
    <n v="3"/>
    <x v="101"/>
    <x v="1"/>
    <x v="96"/>
    <x v="88"/>
    <x v="14"/>
    <x v="103"/>
    <n v="449000"/>
    <x v="3"/>
    <x v="0"/>
    <x v="10"/>
    <x v="1"/>
    <m/>
    <n v="169"/>
    <x v="34"/>
    <x v="14"/>
    <x v="1"/>
  </r>
  <r>
    <x v="15"/>
    <s v="DTO"/>
    <x v="4"/>
    <x v="99"/>
    <x v="1"/>
    <s v="artigo 29, inciso II, da Lei no 13.303 e artigo 112, inciso II"/>
    <x v="10"/>
    <x v="94"/>
    <n v="2025"/>
    <x v="2"/>
    <x v="1"/>
    <x v="106"/>
    <x v="101"/>
    <x v="101"/>
    <x v="64"/>
    <x v="1"/>
    <x v="17"/>
    <x v="81"/>
    <x v="66"/>
    <n v="0"/>
    <x v="102"/>
    <x v="2"/>
    <x v="97"/>
    <x v="89"/>
    <x v="5"/>
    <x v="104"/>
    <n v="4050"/>
    <x v="0"/>
    <x v="0"/>
    <x v="10"/>
    <x v="1"/>
    <m/>
    <n v="37"/>
    <x v="35"/>
    <x v="15"/>
    <x v="1"/>
  </r>
  <r>
    <x v="16"/>
    <s v="DTO"/>
    <x v="15"/>
    <x v="100"/>
    <x v="1"/>
    <s v="artigo 29, inciso II, da Lei no 13.303 e artigo 112, inciso II"/>
    <x v="85"/>
    <x v="95"/>
    <n v="2025"/>
    <x v="2"/>
    <x v="1"/>
    <x v="107"/>
    <x v="102"/>
    <x v="102"/>
    <x v="65"/>
    <x v="1"/>
    <x v="18"/>
    <x v="82"/>
    <x v="67"/>
    <n v="5"/>
    <x v="103"/>
    <x v="1"/>
    <x v="98"/>
    <x v="90"/>
    <x v="11"/>
    <x v="105"/>
    <n v="12440"/>
    <x v="0"/>
    <x v="0"/>
    <x v="10"/>
    <x v="1"/>
    <m/>
    <n v="10"/>
    <x v="36"/>
    <x v="16"/>
    <x v="1"/>
  </r>
  <r>
    <x v="17"/>
    <s v="DTO"/>
    <x v="8"/>
    <x v="101"/>
    <x v="0"/>
    <s v="Art. 30, inciso II, da Lei nº 13.303/2016"/>
    <x v="86"/>
    <x v="96"/>
    <n v="2025"/>
    <x v="2"/>
    <x v="1"/>
    <x v="108"/>
    <x v="103"/>
    <x v="103"/>
    <x v="11"/>
    <x v="1"/>
    <x v="18"/>
    <x v="83"/>
    <x v="68"/>
    <n v="0"/>
    <x v="104"/>
    <x v="1"/>
    <x v="99"/>
    <x v="23"/>
    <x v="5"/>
    <x v="106"/>
    <n v="109865.44"/>
    <x v="0"/>
    <x v="0"/>
    <x v="10"/>
    <x v="1"/>
    <m/>
    <n v="37"/>
    <x v="37"/>
    <x v="17"/>
    <x v="1"/>
  </r>
  <r>
    <x v="18"/>
    <s v="DTO"/>
    <x v="4"/>
    <x v="102"/>
    <x v="2"/>
    <s v="art. 32, inciso IV"/>
    <x v="87"/>
    <x v="97"/>
    <n v="2025"/>
    <x v="2"/>
    <x v="1"/>
    <x v="109"/>
    <x v="104"/>
    <x v="104"/>
    <x v="64"/>
    <x v="1"/>
    <x v="19"/>
    <x v="84"/>
    <x v="69"/>
    <n v="1"/>
    <x v="105"/>
    <x v="1"/>
    <x v="100"/>
    <x v="49"/>
    <x v="8"/>
    <x v="107"/>
    <n v="13200000"/>
    <x v="0"/>
    <x v="0"/>
    <x v="10"/>
    <x v="1"/>
    <m/>
    <n v="96"/>
    <x v="38"/>
    <x v="18"/>
    <x v="1"/>
  </r>
  <r>
    <x v="19"/>
    <s v="DTO"/>
    <x v="12"/>
    <x v="65"/>
    <x v="3"/>
    <s v="Art. 28, § 3º, inciso I, da Lei 13.303/2016"/>
    <x v="88"/>
    <x v="61"/>
    <s v="2024"/>
    <x v="2"/>
    <x v="1"/>
    <x v="110"/>
    <x v="105"/>
    <x v="105"/>
    <x v="66"/>
    <x v="1"/>
    <x v="18"/>
    <x v="85"/>
    <x v="70"/>
    <n v="3"/>
    <x v="106"/>
    <x v="4"/>
    <x v="68"/>
    <x v="33"/>
    <x v="18"/>
    <x v="108"/>
    <n v="9795115.5099999998"/>
    <x v="0"/>
    <x v="0"/>
    <x v="10"/>
    <x v="1"/>
    <m/>
    <n v="233"/>
    <x v="19"/>
    <x v="3"/>
    <x v="2"/>
  </r>
  <r>
    <x v="20"/>
    <s v="DTO"/>
    <x v="12"/>
    <x v="66"/>
    <x v="3"/>
    <s v="Art. 28, § 3º, inciso I, da Lei 13.303/2016"/>
    <x v="89"/>
    <x v="62"/>
    <s v="2024"/>
    <x v="2"/>
    <x v="1"/>
    <x v="111"/>
    <x v="106"/>
    <x v="67"/>
    <x v="52"/>
    <x v="1"/>
    <x v="18"/>
    <x v="85"/>
    <x v="70"/>
    <n v="3"/>
    <x v="107"/>
    <x v="4"/>
    <x v="68"/>
    <x v="33"/>
    <x v="18"/>
    <x v="109"/>
    <n v="42883891.130000003"/>
    <x v="0"/>
    <x v="0"/>
    <x v="10"/>
    <x v="1"/>
    <m/>
    <n v="147"/>
    <x v="20"/>
    <x v="3"/>
    <x v="2"/>
  </r>
  <r>
    <x v="21"/>
    <s v="DAF"/>
    <x v="2"/>
    <x v="103"/>
    <x v="1"/>
    <s v="artigo 29, inciso II, da Lei no 13.303 e artigo 112, inciso II"/>
    <x v="90"/>
    <x v="98"/>
    <s v="2025"/>
    <x v="2"/>
    <x v="1"/>
    <x v="112"/>
    <x v="107"/>
    <x v="106"/>
    <x v="8"/>
    <x v="1"/>
    <x v="20"/>
    <x v="86"/>
    <x v="71"/>
    <n v="1"/>
    <x v="108"/>
    <x v="1"/>
    <x v="101"/>
    <x v="91"/>
    <x v="0"/>
    <x v="110"/>
    <n v="14400"/>
    <x v="0"/>
    <x v="0"/>
    <x v="10"/>
    <x v="1"/>
    <m/>
    <n v="47"/>
    <x v="39"/>
    <x v="19"/>
    <x v="1"/>
  </r>
  <r>
    <x v="18"/>
    <s v="DAF"/>
    <x v="23"/>
    <x v="104"/>
    <x v="0"/>
    <s v="Art. 30, inciso II, da Lei nº 13.303/2016"/>
    <x v="91"/>
    <x v="99"/>
    <s v="2025"/>
    <x v="2"/>
    <x v="1"/>
    <x v="113"/>
    <x v="108"/>
    <x v="107"/>
    <x v="67"/>
    <x v="1"/>
    <x v="20"/>
    <x v="87"/>
    <x v="72"/>
    <n v="5"/>
    <x v="109"/>
    <x v="1"/>
    <x v="102"/>
    <x v="92"/>
    <x v="11"/>
    <x v="111"/>
    <n v="50000"/>
    <x v="0"/>
    <x v="0"/>
    <x v="10"/>
    <x v="1"/>
    <m/>
    <n v="133"/>
    <x v="40"/>
    <x v="20"/>
    <x v="1"/>
  </r>
  <r>
    <x v="22"/>
    <s v="DAF"/>
    <x v="10"/>
    <x v="105"/>
    <x v="2"/>
    <s v="art. 32, inciso IV"/>
    <x v="92"/>
    <x v="100"/>
    <s v="2025"/>
    <x v="2"/>
    <x v="1"/>
    <x v="114"/>
    <x v="109"/>
    <x v="108"/>
    <x v="68"/>
    <x v="1"/>
    <x v="20"/>
    <x v="88"/>
    <x v="73"/>
    <n v="1"/>
    <x v="110"/>
    <x v="1"/>
    <x v="52"/>
    <x v="47"/>
    <x v="0"/>
    <x v="112"/>
    <n v="136231.88"/>
    <x v="0"/>
    <x v="0"/>
    <x v="10"/>
    <x v="1"/>
    <m/>
    <n v="189"/>
    <x v="41"/>
    <x v="21"/>
    <x v="1"/>
  </r>
  <r>
    <x v="23"/>
    <s v="DTO"/>
    <x v="12"/>
    <x v="106"/>
    <x v="1"/>
    <s v="artigo 29, inciso II, da Lei no 13.303 e artigo 112, inciso II"/>
    <x v="93"/>
    <x v="101"/>
    <s v="2025"/>
    <x v="2"/>
    <x v="1"/>
    <x v="115"/>
    <x v="110"/>
    <x v="109"/>
    <x v="55"/>
    <x v="1"/>
    <x v="21"/>
    <x v="89"/>
    <x v="74"/>
    <n v="1"/>
    <x v="111"/>
    <x v="2"/>
    <x v="103"/>
    <x v="93"/>
    <x v="0"/>
    <x v="113"/>
    <n v="19500"/>
    <x v="0"/>
    <x v="0"/>
    <x v="10"/>
    <x v="1"/>
    <m/>
    <n v="112"/>
    <x v="42"/>
    <x v="22"/>
    <x v="1"/>
  </r>
  <r>
    <x v="24"/>
    <s v="DTO"/>
    <x v="15"/>
    <x v="107"/>
    <x v="4"/>
    <s v="art. 32, inciso IV"/>
    <x v="94"/>
    <x v="102"/>
    <s v="2025"/>
    <x v="2"/>
    <x v="1"/>
    <x v="116"/>
    <x v="111"/>
    <x v="110"/>
    <x v="59"/>
    <x v="1"/>
    <x v="20"/>
    <x v="90"/>
    <x v="75"/>
    <n v="5"/>
    <x v="112"/>
    <x v="3"/>
    <x v="104"/>
    <x v="94"/>
    <x v="19"/>
    <x v="114"/>
    <n v="5117331.91"/>
    <x v="0"/>
    <x v="0"/>
    <x v="10"/>
    <x v="1"/>
    <m/>
    <n v="6"/>
    <x v="43"/>
    <x v="23"/>
    <x v="1"/>
  </r>
  <r>
    <x v="25"/>
    <s v="DTO"/>
    <x v="4"/>
    <x v="108"/>
    <x v="3"/>
    <s v="Art. 28, § 3º, inciso I, da Lei 13.303/2016"/>
    <x v="95"/>
    <x v="103"/>
    <s v="2025"/>
    <x v="2"/>
    <x v="1"/>
    <x v="117"/>
    <x v="112"/>
    <x v="111"/>
    <x v="69"/>
    <x v="1"/>
    <x v="20"/>
    <x v="91"/>
    <x v="76"/>
    <n v="1"/>
    <x v="113"/>
    <x v="2"/>
    <x v="105"/>
    <x v="95"/>
    <x v="0"/>
    <x v="115"/>
    <n v="899269.64"/>
    <x v="0"/>
    <x v="0"/>
    <x v="10"/>
    <x v="1"/>
    <m/>
    <n v="706"/>
    <x v="44"/>
    <x v="3"/>
    <x v="2"/>
  </r>
  <r>
    <x v="13"/>
    <s v="DTO"/>
    <x v="15"/>
    <x v="109"/>
    <x v="2"/>
    <s v="art. 32, inciso IV"/>
    <x v="96"/>
    <x v="104"/>
    <s v="2025"/>
    <x v="2"/>
    <x v="1"/>
    <x v="118"/>
    <x v="113"/>
    <x v="112"/>
    <x v="70"/>
    <x v="1"/>
    <x v="21"/>
    <x v="92"/>
    <x v="77"/>
    <n v="5"/>
    <x v="114"/>
    <x v="3"/>
    <x v="106"/>
    <x v="96"/>
    <x v="11"/>
    <x v="116"/>
    <n v="7214400"/>
    <x v="0"/>
    <x v="0"/>
    <x v="10"/>
    <x v="1"/>
    <m/>
    <n v="179"/>
    <x v="45"/>
    <x v="24"/>
    <x v="1"/>
  </r>
  <r>
    <x v="26"/>
    <s v="DAF"/>
    <x v="7"/>
    <x v="110"/>
    <x v="0"/>
    <s v="Art. 30, inciso II, da Lei nº 13.303/2016"/>
    <x v="97"/>
    <x v="105"/>
    <s v="2025"/>
    <x v="2"/>
    <x v="1"/>
    <x v="119"/>
    <x v="114"/>
    <x v="113"/>
    <x v="71"/>
    <x v="1"/>
    <x v="22"/>
    <x v="93"/>
    <x v="78"/>
    <n v="1"/>
    <x v="115"/>
    <x v="1"/>
    <x v="107"/>
    <x v="43"/>
    <x v="20"/>
    <x v="117"/>
    <n v="1252476"/>
    <x v="0"/>
    <x v="0"/>
    <x v="10"/>
    <x v="1"/>
    <m/>
    <n v="62"/>
    <x v="46"/>
    <x v="25"/>
    <x v="1"/>
  </r>
  <r>
    <x v="19"/>
    <s v="DTO"/>
    <x v="12"/>
    <x v="65"/>
    <x v="3"/>
    <s v="Art. 28, § 3º, inciso I, da Lei 13.303/2016"/>
    <x v="88"/>
    <x v="61"/>
    <s v="2024"/>
    <x v="2"/>
    <x v="1"/>
    <x v="120"/>
    <x v="115"/>
    <x v="105"/>
    <x v="55"/>
    <x v="1"/>
    <x v="21"/>
    <x v="92"/>
    <x v="77"/>
    <n v="5"/>
    <x v="116"/>
    <x v="4"/>
    <x v="108"/>
    <x v="60"/>
    <x v="11"/>
    <x v="118"/>
    <n v="274978.90000000002"/>
    <x v="3"/>
    <x v="0"/>
    <x v="10"/>
    <x v="1"/>
    <m/>
    <n v="333"/>
    <x v="19"/>
    <x v="3"/>
    <x v="2"/>
  </r>
  <r>
    <x v="20"/>
    <s v="DTO"/>
    <x v="12"/>
    <x v="66"/>
    <x v="3"/>
    <s v="Art. 28, § 3º, inciso I, da Lei 13.303/2016"/>
    <x v="89"/>
    <x v="62"/>
    <s v="2024"/>
    <x v="2"/>
    <x v="1"/>
    <x v="121"/>
    <x v="116"/>
    <x v="114"/>
    <x v="72"/>
    <x v="1"/>
    <x v="21"/>
    <x v="92"/>
    <x v="77"/>
    <n v="5"/>
    <x v="117"/>
    <x v="4"/>
    <x v="108"/>
    <x v="60"/>
    <x v="11"/>
    <x v="119"/>
    <n v="8716646"/>
    <x v="3"/>
    <x v="0"/>
    <x v="10"/>
    <x v="1"/>
    <m/>
    <n v="247"/>
    <x v="20"/>
    <x v="3"/>
    <x v="2"/>
  </r>
  <r>
    <x v="27"/>
    <s v="DTO"/>
    <x v="4"/>
    <x v="111"/>
    <x v="3"/>
    <s v="Art. 28, § 3º, inciso I, da Lei 13.303/2016"/>
    <x v="98"/>
    <x v="106"/>
    <s v="2025"/>
    <x v="2"/>
    <x v="1"/>
    <x v="122"/>
    <x v="117"/>
    <x v="115"/>
    <x v="29"/>
    <x v="1"/>
    <x v="22"/>
    <x v="94"/>
    <x v="79"/>
    <n v="1"/>
    <x v="118"/>
    <x v="4"/>
    <x v="40"/>
    <x v="37"/>
    <x v="0"/>
    <x v="120"/>
    <n v="111460.83"/>
    <x v="3"/>
    <x v="0"/>
    <x v="10"/>
    <x v="1"/>
    <m/>
    <n v="216"/>
    <x v="47"/>
    <x v="3"/>
    <x v="2"/>
  </r>
  <r>
    <x v="27"/>
    <s v="DTO"/>
    <x v="4"/>
    <x v="111"/>
    <x v="3"/>
    <s v="artigo 29, inciso II, da Lei no 13.303 e artigo 112, inciso II"/>
    <x v="99"/>
    <x v="106"/>
    <s v="2025"/>
    <x v="2"/>
    <x v="1"/>
    <x v="123"/>
    <x v="118"/>
    <x v="115"/>
    <x v="29"/>
    <x v="1"/>
    <x v="22"/>
    <x v="95"/>
    <x v="80"/>
    <n v="1"/>
    <x v="118"/>
    <x v="4"/>
    <x v="105"/>
    <x v="95"/>
    <x v="0"/>
    <x v="121"/>
    <n v="195841"/>
    <x v="0"/>
    <x v="0"/>
    <x v="10"/>
    <x v="1"/>
    <m/>
    <n v="207"/>
    <x v="47"/>
    <x v="3"/>
    <x v="2"/>
  </r>
  <r>
    <x v="28"/>
    <s v="DAF"/>
    <x v="7"/>
    <x v="112"/>
    <x v="1"/>
    <s v="artigo 29, inciso II, da Lei no 13.303 e artigo 112, inciso II"/>
    <x v="100"/>
    <x v="107"/>
    <s v="2025"/>
    <x v="2"/>
    <x v="1"/>
    <x v="124"/>
    <x v="119"/>
    <x v="116"/>
    <x v="73"/>
    <x v="1"/>
    <x v="22"/>
    <x v="96"/>
    <x v="81"/>
    <n v="5"/>
    <x v="119"/>
    <x v="1"/>
    <x v="109"/>
    <x v="97"/>
    <x v="11"/>
    <x v="122"/>
    <n v="1496376.51"/>
    <x v="0"/>
    <x v="0"/>
    <x v="10"/>
    <x v="1"/>
    <m/>
    <n v="42"/>
    <x v="48"/>
    <x v="26"/>
    <x v="1"/>
  </r>
  <r>
    <x v="29"/>
    <s v="DAFRI"/>
    <x v="2"/>
    <x v="113"/>
    <x v="2"/>
    <s v="art. 32, inciso IV"/>
    <x v="101"/>
    <x v="108"/>
    <s v="2025"/>
    <x v="2"/>
    <x v="1"/>
    <x v="125"/>
    <x v="120"/>
    <x v="117"/>
    <x v="74"/>
    <x v="1"/>
    <x v="23"/>
    <x v="97"/>
    <x v="82"/>
    <n v="5"/>
    <x v="120"/>
    <x v="1"/>
    <x v="110"/>
    <x v="98"/>
    <x v="11"/>
    <x v="123"/>
    <n v="1360196.5"/>
    <x v="0"/>
    <x v="0"/>
    <x v="10"/>
    <x v="1"/>
    <m/>
    <n v="116"/>
    <x v="49"/>
    <x v="27"/>
    <x v="1"/>
  </r>
  <r>
    <x v="30"/>
    <s v="DTO"/>
    <x v="15"/>
    <x v="114"/>
    <x v="2"/>
    <s v="art. 32, inciso IV"/>
    <x v="102"/>
    <x v="109"/>
    <s v="2025"/>
    <x v="2"/>
    <x v="1"/>
    <x v="126"/>
    <x v="121"/>
    <x v="118"/>
    <x v="75"/>
    <x v="1"/>
    <x v="23"/>
    <x v="98"/>
    <x v="83"/>
    <n v="3"/>
    <x v="121"/>
    <x v="3"/>
    <x v="111"/>
    <x v="99"/>
    <x v="14"/>
    <x v="124"/>
    <n v="62080"/>
    <x v="0"/>
    <x v="0"/>
    <x v="10"/>
    <x v="1"/>
    <m/>
    <n v="177"/>
    <x v="50"/>
    <x v="27"/>
    <x v="1"/>
  </r>
  <r>
    <x v="31"/>
    <s v="GIRC"/>
    <x v="24"/>
    <x v="115"/>
    <x v="0"/>
    <s v="Art. 30, inciso II, da Lei nº 13.303/2016"/>
    <x v="103"/>
    <x v="110"/>
    <s v="2025"/>
    <x v="2"/>
    <x v="1"/>
    <x v="127"/>
    <x v="122"/>
    <x v="119"/>
    <x v="37"/>
    <x v="1"/>
    <x v="14"/>
    <x v="99"/>
    <x v="84"/>
    <n v="1"/>
    <x v="122"/>
    <x v="1"/>
    <x v="112"/>
    <x v="25"/>
    <x v="21"/>
    <x v="125"/>
    <n v="23474"/>
    <x v="0"/>
    <x v="0"/>
    <x v="10"/>
    <x v="1"/>
    <m/>
    <n v="69"/>
    <x v="51"/>
    <x v="27"/>
    <x v="1"/>
  </r>
  <r>
    <x v="32"/>
    <s v="GMP"/>
    <x v="25"/>
    <x v="116"/>
    <x v="0"/>
    <s v="Art. 30, inciso II, da Lei nº 13.303/2016"/>
    <x v="104"/>
    <x v="111"/>
    <s v="2025"/>
    <x v="2"/>
    <x v="1"/>
    <x v="128"/>
    <x v="123"/>
    <x v="120"/>
    <x v="76"/>
    <x v="1"/>
    <x v="23"/>
    <x v="100"/>
    <x v="85"/>
    <n v="2"/>
    <x v="123"/>
    <x v="2"/>
    <x v="113"/>
    <x v="100"/>
    <x v="12"/>
    <x v="126"/>
    <n v="4357243.32"/>
    <x v="1"/>
    <x v="0"/>
    <x v="10"/>
    <x v="1"/>
    <m/>
    <n v="111"/>
    <x v="52"/>
    <x v="27"/>
    <x v="1"/>
  </r>
  <r>
    <x v="16"/>
    <s v="DC"/>
    <x v="26"/>
    <x v="117"/>
    <x v="2"/>
    <s v="art. 32, inciso IV"/>
    <x v="105"/>
    <x v="112"/>
    <s v="2025"/>
    <x v="2"/>
    <x v="1"/>
    <x v="129"/>
    <x v="124"/>
    <x v="121"/>
    <x v="77"/>
    <x v="2"/>
    <x v="23"/>
    <x v="101"/>
    <x v="86"/>
    <n v="2"/>
    <x v="124"/>
    <x v="1"/>
    <x v="114"/>
    <x v="101"/>
    <x v="22"/>
    <x v="127"/>
    <n v="3620492.4"/>
    <x v="0"/>
    <x v="0"/>
    <x v="10"/>
    <x v="1"/>
    <m/>
    <n v="171"/>
    <x v="53"/>
    <x v="27"/>
    <x v="1"/>
  </r>
  <r>
    <x v="30"/>
    <s v="DTO"/>
    <x v="15"/>
    <x v="114"/>
    <x v="2"/>
    <s v="art. 32, inciso IV"/>
    <x v="106"/>
    <x v="109"/>
    <s v="2025"/>
    <x v="2"/>
    <x v="1"/>
    <x v="130"/>
    <x v="125"/>
    <x v="118"/>
    <x v="75"/>
    <x v="1"/>
    <x v="23"/>
    <x v="102"/>
    <x v="87"/>
    <n v="3"/>
    <x v="125"/>
    <x v="3"/>
    <x v="115"/>
    <x v="102"/>
    <x v="14"/>
    <x v="128"/>
    <n v="18736"/>
    <x v="0"/>
    <x v="0"/>
    <x v="10"/>
    <x v="1"/>
    <m/>
    <n v="184"/>
    <x v="50"/>
    <x v="27"/>
    <x v="1"/>
  </r>
  <r>
    <x v="33"/>
    <s v="DAF"/>
    <x v="7"/>
    <x v="118"/>
    <x v="1"/>
    <s v="artigo 29, inciso II, da Lei no 13.303 e artigo 112, inciso II"/>
    <x v="107"/>
    <x v="113"/>
    <s v="2025"/>
    <x v="2"/>
    <x v="1"/>
    <x v="131"/>
    <x v="126"/>
    <x v="122"/>
    <x v="78"/>
    <x v="1"/>
    <x v="23"/>
    <x v="97"/>
    <x v="88"/>
    <n v="0"/>
    <x v="126"/>
    <x v="1"/>
    <x v="116"/>
    <x v="103"/>
    <x v="4"/>
    <x v="129"/>
    <n v="213535.56"/>
    <x v="0"/>
    <x v="0"/>
    <x v="10"/>
    <x v="1"/>
    <m/>
    <n v="28"/>
    <x v="54"/>
    <x v="27"/>
    <x v="1"/>
  </r>
  <r>
    <x v="34"/>
    <s v="DTO"/>
    <x v="12"/>
    <x v="119"/>
    <x v="4"/>
    <s v="art. 32, inciso IV"/>
    <x v="108"/>
    <x v="10"/>
    <s v="2025"/>
    <x v="2"/>
    <x v="1"/>
    <x v="132"/>
    <x v="127"/>
    <x v="123"/>
    <x v="10"/>
    <x v="2"/>
    <x v="24"/>
    <x v="103"/>
    <x v="89"/>
    <n v="2"/>
    <x v="127"/>
    <x v="4"/>
    <x v="117"/>
    <x v="104"/>
    <x v="12"/>
    <x v="130"/>
    <n v="1123000"/>
    <x v="0"/>
    <x v="0"/>
    <x v="10"/>
    <x v="1"/>
    <m/>
    <n v="25"/>
    <x v="55"/>
    <x v="27"/>
    <x v="1"/>
  </r>
  <r>
    <x v="35"/>
    <s v="DTO"/>
    <x v="15"/>
    <x v="120"/>
    <x v="4"/>
    <s v="art. 32, inciso IV"/>
    <x v="109"/>
    <x v="10"/>
    <s v="2025"/>
    <x v="2"/>
    <x v="1"/>
    <x v="133"/>
    <x v="128"/>
    <x v="124"/>
    <x v="59"/>
    <x v="2"/>
    <x v="24"/>
    <x v="104"/>
    <x v="90"/>
    <n v="5"/>
    <x v="128"/>
    <x v="1"/>
    <x v="118"/>
    <x v="94"/>
    <x v="19"/>
    <x v="131"/>
    <n v="2631068.09"/>
    <x v="0"/>
    <x v="0"/>
    <x v="10"/>
    <x v="1"/>
    <m/>
    <n v="14"/>
    <x v="43"/>
    <x v="27"/>
    <x v="1"/>
  </r>
  <r>
    <x v="36"/>
    <s v="DC"/>
    <x v="27"/>
    <x v="121"/>
    <x v="1"/>
    <s v="artigo 29, inciso II, da Lei no 13.303 e artigo 112, inciso II"/>
    <x v="110"/>
    <x v="114"/>
    <s v="2026"/>
    <x v="2"/>
    <x v="1"/>
    <x v="134"/>
    <x v="129"/>
    <x v="125"/>
    <x v="79"/>
    <x v="2"/>
    <x v="24"/>
    <x v="105"/>
    <x v="91"/>
    <n v="0"/>
    <x v="129"/>
    <x v="1"/>
    <x v="119"/>
    <x v="105"/>
    <x v="21"/>
    <x v="132"/>
    <n v="6000"/>
    <x v="0"/>
    <x v="0"/>
    <x v="10"/>
    <x v="1"/>
    <m/>
    <n v="12"/>
    <x v="56"/>
    <x v="27"/>
    <x v="1"/>
  </r>
  <r>
    <x v="37"/>
    <s v="DTO"/>
    <x v="9"/>
    <x v="122"/>
    <x v="0"/>
    <s v="Art. 30, inciso II, da Lei nº 13.303/2016"/>
    <x v="111"/>
    <x v="115"/>
    <s v="2025"/>
    <x v="2"/>
    <x v="1"/>
    <x v="135"/>
    <x v="130"/>
    <x v="126"/>
    <x v="80"/>
    <x v="2"/>
    <x v="24"/>
    <x v="106"/>
    <x v="92"/>
    <n v="1"/>
    <x v="130"/>
    <x v="2"/>
    <x v="120"/>
    <x v="106"/>
    <x v="0"/>
    <x v="133"/>
    <n v="762535.47"/>
    <x v="3"/>
    <x v="0"/>
    <x v="10"/>
    <x v="1"/>
    <m/>
    <n v="115"/>
    <x v="57"/>
    <x v="27"/>
    <x v="1"/>
  </r>
  <r>
    <x v="29"/>
    <s v="DAFRI"/>
    <x v="2"/>
    <x v="113"/>
    <x v="2"/>
    <s v="art. 32, inciso IV"/>
    <x v="112"/>
    <x v="108"/>
    <s v="2025"/>
    <x v="2"/>
    <x v="1"/>
    <x v="136"/>
    <x v="131"/>
    <x v="117"/>
    <x v="74"/>
    <x v="1"/>
    <x v="25"/>
    <x v="107"/>
    <x v="93"/>
    <n v="5"/>
    <x v="131"/>
    <x v="1"/>
    <x v="121"/>
    <x v="107"/>
    <x v="11"/>
    <x v="134"/>
    <n v="28200"/>
    <x v="0"/>
    <x v="0"/>
    <x v="10"/>
    <x v="1"/>
    <m/>
    <n v="160"/>
    <x v="49"/>
    <x v="27"/>
    <x v="1"/>
  </r>
  <r>
    <x v="38"/>
    <s v="DAFRI"/>
    <x v="2"/>
    <x v="84"/>
    <x v="2"/>
    <s v="art. 32, inciso IV"/>
    <x v="113"/>
    <x v="80"/>
    <s v="2024"/>
    <x v="2"/>
    <x v="1"/>
    <x v="137"/>
    <x v="132"/>
    <x v="86"/>
    <x v="31"/>
    <x v="2"/>
    <x v="25"/>
    <x v="108"/>
    <x v="94"/>
    <n v="0"/>
    <x v="87"/>
    <x v="1"/>
    <x v="122"/>
    <x v="108"/>
    <x v="21"/>
    <x v="135"/>
    <n v="328899.63"/>
    <x v="0"/>
    <x v="0"/>
    <x v="10"/>
    <x v="1"/>
    <m/>
    <n v="6"/>
    <x v="22"/>
    <x v="27"/>
    <x v="2"/>
  </r>
  <r>
    <x v="39"/>
    <s v="DAFRI"/>
    <x v="2"/>
    <x v="123"/>
    <x v="4"/>
    <s v="art. 32, inciso IV"/>
    <x v="114"/>
    <x v="57"/>
    <s v="2023"/>
    <x v="2"/>
    <x v="1"/>
    <x v="138"/>
    <x v="133"/>
    <x v="127"/>
    <x v="81"/>
    <x v="2"/>
    <x v="26"/>
    <x v="109"/>
    <x v="95"/>
    <n v="1"/>
    <x v="132"/>
    <x v="2"/>
    <x v="123"/>
    <x v="55"/>
    <x v="12"/>
    <x v="136"/>
    <n v="112500"/>
    <x v="1"/>
    <x v="0"/>
    <x v="10"/>
    <x v="1"/>
    <m/>
    <n v="12"/>
    <x v="58"/>
    <x v="27"/>
    <x v="4"/>
  </r>
  <r>
    <x v="40"/>
    <s v="DAFRI"/>
    <x v="23"/>
    <x v="124"/>
    <x v="1"/>
    <s v="artigo 29, inciso II, da Lei no 13.303 e artigo 112, inciso II"/>
    <x v="115"/>
    <x v="116"/>
    <s v="2026"/>
    <x v="2"/>
    <x v="1"/>
    <x v="139"/>
    <x v="134"/>
    <x v="128"/>
    <x v="82"/>
    <x v="2"/>
    <x v="26"/>
    <x v="110"/>
    <x v="96"/>
    <n v="1"/>
    <x v="133"/>
    <x v="1"/>
    <x v="124"/>
    <x v="109"/>
    <x v="12"/>
    <x v="137"/>
    <n v="38004.35"/>
    <x v="4"/>
    <x v="0"/>
    <x v="10"/>
    <x v="1"/>
    <m/>
    <n v="8"/>
    <x v="59"/>
    <x v="27"/>
    <x v="1"/>
  </r>
  <r>
    <x v="41"/>
    <s v="DTO"/>
    <x v="15"/>
    <x v="125"/>
    <x v="0"/>
    <s v="Art. 30, inciso II, da Lei nº 13.303/2016"/>
    <x v="116"/>
    <x v="117"/>
    <s v="2026"/>
    <x v="2"/>
    <x v="1"/>
    <x v="140"/>
    <x v="135"/>
    <x v="129"/>
    <x v="70"/>
    <x v="2"/>
    <x v="26"/>
    <x v="111"/>
    <x v="97"/>
    <n v="1"/>
    <x v="134"/>
    <x v="1"/>
    <x v="125"/>
    <x v="110"/>
    <x v="0"/>
    <x v="138"/>
    <n v="2855400"/>
    <x v="4"/>
    <x v="0"/>
    <x v="10"/>
    <x v="1"/>
    <m/>
    <n v="67"/>
    <x v="60"/>
    <x v="27"/>
    <x v="1"/>
  </r>
  <r>
    <x v="42"/>
    <s v="DTO"/>
    <x v="9"/>
    <x v="126"/>
    <x v="3"/>
    <s v="Art. 28, § 3º, inciso I, da Lei 13.303/2016"/>
    <x v="117"/>
    <x v="10"/>
    <s v="2026"/>
    <x v="2"/>
    <x v="1"/>
    <x v="141"/>
    <x v="136"/>
    <x v="130"/>
    <x v="83"/>
    <x v="2"/>
    <x v="26"/>
    <x v="112"/>
    <x v="98"/>
    <n v="1"/>
    <x v="135"/>
    <x v="4"/>
    <x v="36"/>
    <x v="32"/>
    <x v="21"/>
    <x v="139"/>
    <n v="100123.51"/>
    <x v="3"/>
    <x v="0"/>
    <x v="10"/>
    <x v="1"/>
    <m/>
    <n v="349"/>
    <x v="61"/>
    <x v="28"/>
    <x v="2"/>
  </r>
  <r>
    <x v="43"/>
    <s v="DAFRI"/>
    <x v="23"/>
    <x v="127"/>
    <x v="2"/>
    <s v="art. 32, inciso IV"/>
    <x v="118"/>
    <x v="118"/>
    <s v="2025"/>
    <x v="2"/>
    <x v="1"/>
    <x v="142"/>
    <x v="137"/>
    <x v="131"/>
    <x v="82"/>
    <x v="2"/>
    <x v="27"/>
    <x v="113"/>
    <x v="99"/>
    <n v="5"/>
    <x v="136"/>
    <x v="1"/>
    <x v="126"/>
    <x v="111"/>
    <x v="11"/>
    <x v="140"/>
    <n v="498450"/>
    <x v="4"/>
    <x v="0"/>
    <x v="10"/>
    <x v="1"/>
    <m/>
    <n v="129"/>
    <x v="62"/>
    <x v="27"/>
    <x v="1"/>
  </r>
  <r>
    <x v="44"/>
    <s v="DAFRI"/>
    <x v="2"/>
    <x v="128"/>
    <x v="2"/>
    <s v="art. 32, inciso IV"/>
    <x v="119"/>
    <x v="10"/>
    <s v="2026"/>
    <x v="2"/>
    <x v="1"/>
    <x v="143"/>
    <x v="138"/>
    <x v="132"/>
    <x v="74"/>
    <x v="2"/>
    <x v="28"/>
    <x v="114"/>
    <x v="100"/>
    <n v="5"/>
    <x v="137"/>
    <x v="1"/>
    <x v="127"/>
    <x v="112"/>
    <x v="11"/>
    <x v="141"/>
    <n v="788123.45"/>
    <x v="4"/>
    <x v="0"/>
    <x v="10"/>
    <x v="1"/>
    <m/>
    <n v="184"/>
    <x v="63"/>
    <x v="27"/>
    <x v="1"/>
  </r>
  <r>
    <x v="45"/>
    <s v="DTO"/>
    <x v="9"/>
    <x v="129"/>
    <x v="3"/>
    <s v="Art. 28, § 3º, inciso I, da Lei 13.303/2016"/>
    <x v="120"/>
    <x v="10"/>
    <s v="2026"/>
    <x v="2"/>
    <x v="1"/>
    <x v="144"/>
    <x v="139"/>
    <x v="133"/>
    <x v="84"/>
    <x v="2"/>
    <x v="28"/>
    <x v="115"/>
    <x v="101"/>
    <n v="1"/>
    <x v="138"/>
    <x v="4"/>
    <x v="128"/>
    <x v="113"/>
    <x v="0"/>
    <x v="142"/>
    <n v="196076.52"/>
    <x v="3"/>
    <x v="0"/>
    <x v="59"/>
    <x v="11"/>
    <m/>
    <n v="115"/>
    <x v="61"/>
    <x v="28"/>
    <x v="2"/>
  </r>
  <r>
    <x v="46"/>
    <s v="DTO"/>
    <x v="9"/>
    <x v="130"/>
    <x v="0"/>
    <s v="Art. 30, inciso II, da Lei nº 13.303/2016"/>
    <x v="121"/>
    <x v="10"/>
    <s v="2024"/>
    <x v="2"/>
    <x v="1"/>
    <x v="145"/>
    <x v="140"/>
    <x v="134"/>
    <x v="85"/>
    <x v="2"/>
    <x v="29"/>
    <x v="116"/>
    <x v="102"/>
    <n v="3"/>
    <x v="139"/>
    <x v="4"/>
    <x v="129"/>
    <x v="114"/>
    <x v="14"/>
    <x v="143"/>
    <n v="4870422.96"/>
    <x v="3"/>
    <x v="0"/>
    <x v="10"/>
    <x v="1"/>
    <m/>
    <n v="62"/>
    <x v="64"/>
    <x v="27"/>
    <x v="1"/>
  </r>
  <r>
    <x v="47"/>
    <s v="DAFRI"/>
    <x v="6"/>
    <x v="131"/>
    <x v="1"/>
    <s v="Art. 30, inciso II, da Lei nº 13.303/2017"/>
    <x v="122"/>
    <x v="10"/>
    <s v="2026"/>
    <x v="2"/>
    <x v="1"/>
    <x v="146"/>
    <x v="141"/>
    <x v="135"/>
    <x v="44"/>
    <x v="2"/>
    <x v="30"/>
    <x v="117"/>
    <x v="103"/>
    <n v="0"/>
    <x v="140"/>
    <x v="1"/>
    <x v="130"/>
    <x v="115"/>
    <x v="5"/>
    <x v="144"/>
    <n v="39500"/>
    <x v="4"/>
    <x v="0"/>
    <x v="10"/>
    <x v="1"/>
    <m/>
    <n v="38"/>
    <x v="65"/>
    <x v="27"/>
    <x v="0"/>
  </r>
  <r>
    <x v="48"/>
    <s v="PR"/>
    <x v="11"/>
    <x v="132"/>
    <x v="4"/>
    <s v="art. 32, inciso IV"/>
    <x v="123"/>
    <x v="10"/>
    <s v="2026"/>
    <x v="2"/>
    <x v="1"/>
    <x v="147"/>
    <x v="142"/>
    <x v="136"/>
    <x v="86"/>
    <x v="2"/>
    <x v="31"/>
    <x v="118"/>
    <x v="104"/>
    <n v="5"/>
    <x v="141"/>
    <x v="1"/>
    <x v="131"/>
    <x v="116"/>
    <x v="11"/>
    <x v="145"/>
    <n v="581"/>
    <x v="0"/>
    <x v="0"/>
    <x v="10"/>
    <x v="1"/>
    <m/>
    <n v="20"/>
    <x v="66"/>
    <x v="27"/>
    <x v="0"/>
  </r>
  <r>
    <x v="49"/>
    <s v="DTO"/>
    <x v="4"/>
    <x v="133"/>
    <x v="2"/>
    <s v="art. 32, inciso IV"/>
    <x v="124"/>
    <x v="10"/>
    <s v="2026"/>
    <x v="2"/>
    <x v="1"/>
    <x v="148"/>
    <x v="143"/>
    <x v="137"/>
    <x v="87"/>
    <x v="2"/>
    <x v="32"/>
    <x v="119"/>
    <x v="105"/>
    <n v="1"/>
    <x v="142"/>
    <x v="1"/>
    <x v="132"/>
    <x v="117"/>
    <x v="0"/>
    <x v="146"/>
    <n v="11233661"/>
    <x v="4"/>
    <x v="0"/>
    <x v="60"/>
    <x v="12"/>
    <m/>
    <n v="103"/>
    <x v="67"/>
    <x v="27"/>
    <x v="0"/>
  </r>
  <r>
    <x v="47"/>
    <s v="DTO"/>
    <x v="9"/>
    <x v="134"/>
    <x v="1"/>
    <s v="artigo 29, inciso II, da Lei no 13.303 e artigo 112, inciso II"/>
    <x v="125"/>
    <x v="119"/>
    <s v="2026"/>
    <x v="2"/>
    <x v="1"/>
    <x v="149"/>
    <x v="144"/>
    <x v="138"/>
    <x v="88"/>
    <x v="2"/>
    <x v="33"/>
    <x v="120"/>
    <x v="106"/>
    <n v="0"/>
    <x v="143"/>
    <x v="1"/>
    <x v="133"/>
    <x v="118"/>
    <x v="21"/>
    <x v="147"/>
    <n v="14398"/>
    <x v="0"/>
    <x v="0"/>
    <x v="10"/>
    <x v="1"/>
    <m/>
    <n v="59"/>
    <x v="68"/>
    <x v="0"/>
    <x v="0"/>
  </r>
  <r>
    <x v="50"/>
    <s v="DAFRI"/>
    <x v="6"/>
    <x v="135"/>
    <x v="2"/>
    <s v="art. 32, inciso IV"/>
    <x v="126"/>
    <x v="120"/>
    <s v="2026"/>
    <x v="2"/>
    <x v="1"/>
    <x v="150"/>
    <x v="145"/>
    <x v="139"/>
    <x v="89"/>
    <x v="2"/>
    <x v="34"/>
    <x v="121"/>
    <x v="107"/>
    <n v="2"/>
    <x v="144"/>
    <x v="1"/>
    <x v="134"/>
    <x v="119"/>
    <x v="12"/>
    <x v="148"/>
    <n v="2299498"/>
    <x v="0"/>
    <x v="0"/>
    <x v="10"/>
    <x v="1"/>
    <m/>
    <n v="221"/>
    <x v="69"/>
    <x v="27"/>
    <x v="0"/>
  </r>
  <r>
    <x v="51"/>
    <s v="DTO"/>
    <x v="4"/>
    <x v="136"/>
    <x v="2"/>
    <s v="art. 32, inciso IV"/>
    <x v="126"/>
    <x v="120"/>
    <s v="2026"/>
    <x v="2"/>
    <x v="1"/>
    <x v="151"/>
    <x v="146"/>
    <x v="140"/>
    <x v="90"/>
    <x v="2"/>
    <x v="35"/>
    <x v="122"/>
    <x v="108"/>
    <n v="5"/>
    <x v="145"/>
    <x v="4"/>
    <x v="135"/>
    <x v="120"/>
    <x v="11"/>
    <x v="149"/>
    <n v="9396172.9399999995"/>
    <x v="0"/>
    <x v="0"/>
    <x v="10"/>
    <x v="1"/>
    <m/>
    <n v="160"/>
    <x v="70"/>
    <x v="27"/>
    <x v="0"/>
  </r>
  <r>
    <x v="52"/>
    <s v="DAFRI"/>
    <x v="7"/>
    <x v="137"/>
    <x v="2"/>
    <s v="art. 32, inciso IV"/>
    <x v="126"/>
    <x v="120"/>
    <s v="2026"/>
    <x v="2"/>
    <x v="1"/>
    <x v="152"/>
    <x v="147"/>
    <x v="141"/>
    <x v="91"/>
    <x v="2"/>
    <x v="36"/>
    <x v="123"/>
    <x v="109"/>
    <n v="5"/>
    <x v="146"/>
    <x v="1"/>
    <x v="136"/>
    <x v="121"/>
    <x v="11"/>
    <x v="150"/>
    <n v="3499355"/>
    <x v="0"/>
    <x v="0"/>
    <x v="10"/>
    <x v="1"/>
    <m/>
    <n v="105"/>
    <x v="71"/>
    <x v="27"/>
    <x v="0"/>
  </r>
  <r>
    <x v="53"/>
    <s v="PR"/>
    <x v="11"/>
    <x v="138"/>
    <x v="4"/>
    <s v="art. 32, inciso IV"/>
    <x v="126"/>
    <x v="120"/>
    <s v="2026"/>
    <x v="2"/>
    <x v="1"/>
    <x v="153"/>
    <x v="148"/>
    <x v="142"/>
    <x v="92"/>
    <x v="2"/>
    <x v="37"/>
    <x v="124"/>
    <x v="110"/>
    <n v="5"/>
    <x v="147"/>
    <x v="1"/>
    <x v="131"/>
    <x v="116"/>
    <x v="11"/>
    <x v="151"/>
    <n v="2325"/>
    <x v="0"/>
    <x v="0"/>
    <x v="10"/>
    <x v="1"/>
    <m/>
    <n v="281"/>
    <x v="66"/>
    <x v="27"/>
    <x v="0"/>
  </r>
  <r>
    <x v="53"/>
    <s v="PR"/>
    <x v="11"/>
    <x v="139"/>
    <x v="4"/>
    <s v="art. 32, inciso IV"/>
    <x v="126"/>
    <x v="120"/>
    <s v="2026"/>
    <x v="2"/>
    <x v="1"/>
    <x v="154"/>
    <x v="149"/>
    <x v="143"/>
    <x v="92"/>
    <x v="2"/>
    <x v="38"/>
    <x v="125"/>
    <x v="111"/>
    <n v="5"/>
    <x v="148"/>
    <x v="1"/>
    <x v="131"/>
    <x v="116"/>
    <x v="11"/>
    <x v="152"/>
    <n v="41860"/>
    <x v="0"/>
    <x v="0"/>
    <x v="10"/>
    <x v="1"/>
    <m/>
    <n v="294"/>
    <x v="66"/>
    <x v="27"/>
    <x v="0"/>
  </r>
  <r>
    <x v="0"/>
    <m/>
    <x v="28"/>
    <x v="140"/>
    <x v="5"/>
    <m/>
    <x v="10"/>
    <x v="10"/>
    <m/>
    <x v="4"/>
    <x v="4"/>
    <x v="155"/>
    <x v="150"/>
    <x v="144"/>
    <x v="93"/>
    <x v="3"/>
    <x v="39"/>
    <x v="126"/>
    <x v="112"/>
    <n v="0"/>
    <x v="149"/>
    <x v="5"/>
    <x v="137"/>
    <x v="122"/>
    <x v="23"/>
    <x v="153"/>
    <m/>
    <x v="5"/>
    <x v="1"/>
    <x v="10"/>
    <x v="1"/>
    <m/>
    <n v="0"/>
    <x v="68"/>
    <x v="0"/>
    <x v="0"/>
  </r>
  <r>
    <x v="0"/>
    <m/>
    <x v="28"/>
    <x v="140"/>
    <x v="5"/>
    <m/>
    <x v="10"/>
    <x v="10"/>
    <m/>
    <x v="4"/>
    <x v="4"/>
    <x v="155"/>
    <x v="150"/>
    <x v="144"/>
    <x v="93"/>
    <x v="3"/>
    <x v="39"/>
    <x v="126"/>
    <x v="112"/>
    <n v="0"/>
    <x v="149"/>
    <x v="5"/>
    <x v="137"/>
    <x v="122"/>
    <x v="23"/>
    <x v="153"/>
    <m/>
    <x v="5"/>
    <x v="1"/>
    <x v="10"/>
    <x v="1"/>
    <m/>
    <n v="0"/>
    <x v="68"/>
    <x v="0"/>
    <x v="0"/>
  </r>
  <r>
    <x v="0"/>
    <m/>
    <x v="28"/>
    <x v="140"/>
    <x v="5"/>
    <m/>
    <x v="10"/>
    <x v="10"/>
    <m/>
    <x v="4"/>
    <x v="4"/>
    <x v="155"/>
    <x v="150"/>
    <x v="144"/>
    <x v="93"/>
    <x v="3"/>
    <x v="39"/>
    <x v="126"/>
    <x v="112"/>
    <n v="0"/>
    <x v="149"/>
    <x v="5"/>
    <x v="137"/>
    <x v="122"/>
    <x v="23"/>
    <x v="153"/>
    <m/>
    <x v="5"/>
    <x v="1"/>
    <x v="10"/>
    <x v="1"/>
    <m/>
    <n v="0"/>
    <x v="68"/>
    <x v="0"/>
    <x v="0"/>
  </r>
  <r>
    <x v="0"/>
    <m/>
    <x v="28"/>
    <x v="140"/>
    <x v="5"/>
    <m/>
    <x v="10"/>
    <x v="10"/>
    <m/>
    <x v="4"/>
    <x v="4"/>
    <x v="156"/>
    <x v="151"/>
    <x v="144"/>
    <x v="93"/>
    <x v="3"/>
    <x v="39"/>
    <x v="126"/>
    <x v="112"/>
    <n v="0"/>
    <x v="149"/>
    <x v="5"/>
    <x v="137"/>
    <x v="122"/>
    <x v="23"/>
    <x v="153"/>
    <m/>
    <x v="5"/>
    <x v="1"/>
    <x v="10"/>
    <x v="1"/>
    <m/>
    <n v="0"/>
    <x v="68"/>
    <x v="0"/>
    <x v="0"/>
  </r>
  <r>
    <x v="0"/>
    <m/>
    <x v="28"/>
    <x v="140"/>
    <x v="5"/>
    <m/>
    <x v="10"/>
    <x v="10"/>
    <m/>
    <x v="4"/>
    <x v="4"/>
    <x v="157"/>
    <x v="151"/>
    <x v="144"/>
    <x v="93"/>
    <x v="3"/>
    <x v="39"/>
    <x v="126"/>
    <x v="112"/>
    <n v="0"/>
    <x v="149"/>
    <x v="5"/>
    <x v="137"/>
    <x v="122"/>
    <x v="23"/>
    <x v="153"/>
    <m/>
    <x v="5"/>
    <x v="1"/>
    <x v="10"/>
    <x v="1"/>
    <m/>
    <n v="0"/>
    <x v="68"/>
    <x v="0"/>
    <x v="0"/>
  </r>
  <r>
    <x v="0"/>
    <m/>
    <x v="28"/>
    <x v="140"/>
    <x v="5"/>
    <m/>
    <x v="10"/>
    <x v="10"/>
    <m/>
    <x v="4"/>
    <x v="4"/>
    <x v="158"/>
    <x v="151"/>
    <x v="144"/>
    <x v="93"/>
    <x v="3"/>
    <x v="39"/>
    <x v="126"/>
    <x v="112"/>
    <n v="0"/>
    <x v="149"/>
    <x v="5"/>
    <x v="137"/>
    <x v="122"/>
    <x v="23"/>
    <x v="153"/>
    <m/>
    <x v="5"/>
    <x v="1"/>
    <x v="10"/>
    <x v="1"/>
    <m/>
    <n v="0"/>
    <x v="68"/>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
  <r>
    <s v="GEOS"/>
    <x v="0"/>
  </r>
  <r>
    <s v="GNN"/>
    <x v="1"/>
  </r>
  <r>
    <s v="GEOS"/>
    <x v="0"/>
  </r>
  <r>
    <s v="GCC"/>
    <x v="2"/>
  </r>
  <r>
    <s v="GCONT"/>
    <x v="3"/>
  </r>
  <r>
    <s v="GLOG"/>
    <x v="4"/>
  </r>
  <r>
    <s v="GCC"/>
    <x v="5"/>
  </r>
  <r>
    <s v="GLOG"/>
    <x v="6"/>
  </r>
  <r>
    <s v="GIRC"/>
    <x v="7"/>
  </r>
  <r>
    <s v="GLOG"/>
    <x v="6"/>
  </r>
  <r>
    <s v="GERP"/>
    <x v="8"/>
  </r>
  <r>
    <s v="GI"/>
    <x v="9"/>
  </r>
  <r>
    <s v="GCC"/>
    <x v="10"/>
  </r>
  <r>
    <s v="GERP"/>
    <x v="8"/>
  </r>
  <r>
    <s v="GIRC"/>
    <x v="7"/>
  </r>
  <r>
    <s v="DTO"/>
    <x v="11"/>
  </r>
  <r>
    <s v="GCC"/>
    <x v="12"/>
  </r>
  <r>
    <s v="GGP"/>
    <x v="13"/>
  </r>
  <r>
    <s v="GIRC"/>
    <x v="7"/>
  </r>
  <r>
    <s v="GEOS"/>
    <x v="14"/>
  </r>
  <r>
    <s v="GNN"/>
    <x v="1"/>
  </r>
  <r>
    <s v="GERP"/>
    <x v="8"/>
  </r>
  <r>
    <s v="GCONT"/>
    <x v="15"/>
  </r>
  <r>
    <s v="GNN"/>
    <x v="1"/>
  </r>
  <r>
    <s v="GFO"/>
    <x v="16"/>
  </r>
  <r>
    <s v="GGP"/>
    <x v="13"/>
  </r>
  <r>
    <s v="DTO"/>
    <x v="11"/>
  </r>
  <r>
    <s v="GLOG"/>
    <x v="17"/>
  </r>
  <r>
    <s v="GERP"/>
    <x v="18"/>
  </r>
  <r>
    <s v="GNN"/>
    <x v="1"/>
  </r>
  <r>
    <s v="GCC"/>
    <x v="19"/>
  </r>
  <r>
    <s v="GERP"/>
    <x v="18"/>
  </r>
  <r>
    <s v="GERP"/>
    <x v="20"/>
  </r>
  <r>
    <s v="GCONT-TRIBUT"/>
    <x v="21"/>
  </r>
  <r>
    <s v="GNN"/>
    <x v="22"/>
  </r>
  <r>
    <s v="GEOS"/>
    <x v="0"/>
  </r>
  <r>
    <s v="GIRC"/>
    <x v="7"/>
  </r>
  <r>
    <s v="GFO"/>
    <x v="16"/>
  </r>
  <r>
    <s v="DTO"/>
    <x v="11"/>
  </r>
  <r>
    <s v="GCC"/>
    <x v="23"/>
  </r>
  <r>
    <s v="DTO"/>
    <x v="11"/>
  </r>
  <r>
    <s v="GMP"/>
    <x v="24"/>
  </r>
  <r>
    <s v="GEOS"/>
    <x v="14"/>
  </r>
  <r>
    <s v="GCC"/>
    <x v="10"/>
  </r>
  <r>
    <s v="GCONT-TRIBUT"/>
    <x v="21"/>
  </r>
  <r>
    <s v="GCC"/>
    <x v="25"/>
  </r>
  <r>
    <s v="GCC"/>
    <x v="26"/>
  </r>
  <r>
    <s v="DTO"/>
    <x v="11"/>
  </r>
  <r>
    <s v="GEOS"/>
    <x v="27"/>
  </r>
  <r>
    <s v="GNN"/>
    <x v="22"/>
  </r>
  <r>
    <s v="GCC"/>
    <x v="2"/>
  </r>
  <r>
    <s v="GEOS"/>
    <x v="27"/>
  </r>
  <r>
    <s v="GERP"/>
    <x v="18"/>
  </r>
  <r>
    <s v="GCC"/>
    <x v="26"/>
  </r>
  <r>
    <s v="GNN"/>
    <x v="22"/>
  </r>
  <r>
    <s v="GFO"/>
    <x v="16"/>
  </r>
  <r>
    <s v="GEOS"/>
    <x v="27"/>
  </r>
  <r>
    <s v="GLOG"/>
    <x v="4"/>
  </r>
  <r>
    <s v="GLOG"/>
    <x v="28"/>
  </r>
  <r>
    <s v="GEOS"/>
    <x v="14"/>
  </r>
  <r>
    <s v="GLOG"/>
    <x v="29"/>
  </r>
  <r>
    <s v="GCONT"/>
    <x v="15"/>
  </r>
  <r>
    <s v="GERP"/>
    <x v="18"/>
  </r>
  <r>
    <s v="GLOG"/>
    <x v="30"/>
  </r>
  <r>
    <s v="GORS"/>
    <x v="31"/>
  </r>
  <r>
    <s v="GLOG"/>
    <x v="6"/>
  </r>
  <r>
    <s v="GCC"/>
    <x v="10"/>
  </r>
  <r>
    <s v="GCONT"/>
    <x v="32"/>
  </r>
  <r>
    <s v="GIRC"/>
    <x v="7"/>
  </r>
  <r>
    <s v="ARI"/>
    <x v="33"/>
  </r>
  <r>
    <s v="GORS"/>
    <x v="34"/>
  </r>
  <r>
    <s v="GORS"/>
    <x v="35"/>
  </r>
  <r>
    <s v="GOC"/>
    <x v="36"/>
  </r>
  <r>
    <s v="GI"/>
    <x v="9"/>
  </r>
  <r>
    <s v="GLOG"/>
    <x v="4"/>
  </r>
  <r>
    <s v="GCONT-TRIBUT"/>
    <x v="21"/>
  </r>
  <r>
    <s v="GCC"/>
    <x v="37"/>
  </r>
  <r>
    <s v="GORS"/>
    <x v="31"/>
  </r>
  <r>
    <s v="ARI"/>
    <x v="33"/>
  </r>
  <r>
    <s v="GCC"/>
    <x v="38"/>
  </r>
  <r>
    <s v="GCC"/>
    <x v="10"/>
  </r>
  <r>
    <s v="GOC"/>
    <x v="36"/>
  </r>
  <r>
    <s v="GLOG"/>
    <x v="30"/>
  </r>
  <r>
    <s v="GERP"/>
    <x v="20"/>
  </r>
  <r>
    <s v="GCC"/>
    <x v="12"/>
  </r>
  <r>
    <s v="GERP"/>
    <x v="18"/>
  </r>
  <r>
    <s v="GCONT"/>
    <x v="15"/>
  </r>
  <r>
    <s v="GEOS"/>
    <x v="27"/>
  </r>
  <r>
    <s v="GCC"/>
    <x v="37"/>
  </r>
  <r>
    <s v="GEOS"/>
    <x v="27"/>
  </r>
  <r>
    <s v="GFO"/>
    <x v="16"/>
  </r>
  <r>
    <s v="GORS"/>
    <x v="34"/>
  </r>
  <r>
    <s v="DTO"/>
    <x v="11"/>
  </r>
  <r>
    <s v="GLOG"/>
    <x v="6"/>
  </r>
  <r>
    <s v="GCC"/>
    <x v="5"/>
  </r>
  <r>
    <s v="GCONT"/>
    <x v="39"/>
  </r>
  <r>
    <s v="GCC"/>
    <x v="10"/>
  </r>
  <r>
    <s v="GLOG"/>
    <x v="6"/>
  </r>
  <r>
    <s v="ARI"/>
    <x v="33"/>
  </r>
  <r>
    <s v="GORS"/>
    <x v="34"/>
  </r>
  <r>
    <s v="GCC"/>
    <x v="2"/>
  </r>
  <r>
    <s v="GEOS"/>
    <x v="14"/>
  </r>
  <r>
    <s v="GCONT-TRIBUT"/>
    <x v="40"/>
  </r>
  <r>
    <s v="GORS"/>
    <x v="31"/>
  </r>
  <r>
    <s v="GCC"/>
    <x v="5"/>
  </r>
  <r>
    <s v="GCONT-TRIBUT"/>
    <x v="21"/>
  </r>
  <r>
    <s v="GCONT"/>
    <x v="3"/>
  </r>
  <r>
    <s v="GORS"/>
    <x v="34"/>
  </r>
  <r>
    <s v="GCC"/>
    <x v="23"/>
  </r>
  <r>
    <s v="GCC"/>
    <x v="37"/>
  </r>
  <r>
    <s v="GCC"/>
    <x v="10"/>
  </r>
  <r>
    <s v="GOC"/>
    <x v="36"/>
  </r>
  <r>
    <s v="GLOG"/>
    <x v="4"/>
  </r>
  <r>
    <s v="GCC"/>
    <x v="38"/>
  </r>
  <r>
    <s v="GEOS"/>
    <x v="14"/>
  </r>
  <r>
    <s v="GEOS"/>
    <x v="0"/>
  </r>
  <r>
    <s v="GCC"/>
    <x v="23"/>
  </r>
  <r>
    <s v="GLOG"/>
    <x v="6"/>
  </r>
  <r>
    <s v="GERP"/>
    <x v="20"/>
  </r>
  <r>
    <s v="GCC"/>
    <x v="2"/>
  </r>
  <r>
    <s v="GMP"/>
    <x v="24"/>
  </r>
  <r>
    <s v="GCC"/>
    <x v="23"/>
  </r>
  <r>
    <s v="ARI"/>
    <x v="33"/>
  </r>
  <r>
    <s v="GORS"/>
    <x v="35"/>
  </r>
  <r>
    <s v="GLOG"/>
    <x v="6"/>
  </r>
  <r>
    <s v="GCC"/>
    <x v="12"/>
  </r>
  <r>
    <s v="GCC"/>
    <x v="37"/>
  </r>
  <r>
    <s v="GI"/>
    <x v="9"/>
  </r>
  <r>
    <s v="GFO"/>
    <x v="16"/>
  </r>
  <r>
    <s v="GCC"/>
    <x v="23"/>
  </r>
  <r>
    <s v="GLOG"/>
    <x v="4"/>
  </r>
  <r>
    <s v="GCC"/>
    <x v="38"/>
  </r>
  <r>
    <s v="GCC"/>
    <x v="12"/>
  </r>
  <r>
    <s v="GERP"/>
    <x v="8"/>
  </r>
  <r>
    <s v="GCONT-TRIBUT"/>
    <x v="21"/>
  </r>
  <r>
    <s v="GERP"/>
    <x v="18"/>
  </r>
  <r>
    <s v="GLOG"/>
    <x v="30"/>
  </r>
  <r>
    <s v="GMP"/>
    <x v="24"/>
  </r>
  <r>
    <s v="GLOG"/>
    <x v="6"/>
  </r>
  <r>
    <s v="GNN"/>
    <x v="1"/>
  </r>
  <r>
    <s v="GI"/>
    <x v="9"/>
  </r>
  <r>
    <s v="GCC"/>
    <x v="12"/>
  </r>
  <r>
    <s v="GCC"/>
    <x v="26"/>
  </r>
  <r>
    <s v="GERP"/>
    <x v="20"/>
  </r>
  <r>
    <s v="GLOG"/>
    <x v="29"/>
  </r>
  <r>
    <s v="GORS"/>
    <x v="34"/>
  </r>
  <r>
    <s v="GCC"/>
    <x v="26"/>
  </r>
  <r>
    <s v="GI"/>
    <x v="9"/>
  </r>
  <r>
    <s v="GCC"/>
    <x v="38"/>
  </r>
  <r>
    <s v="GCC"/>
    <x v="41"/>
  </r>
  <r>
    <s v="GERP"/>
    <x v="8"/>
  </r>
  <r>
    <s v="GCC"/>
    <x v="26"/>
  </r>
  <r>
    <s v="GOC"/>
    <x v="36"/>
  </r>
  <r>
    <s v="GLOG"/>
    <x v="29"/>
  </r>
  <r>
    <s v="GNN"/>
    <x v="22"/>
  </r>
  <r>
    <s v="GCONT"/>
    <x v="15"/>
  </r>
  <r>
    <s v="GERP"/>
    <x v="20"/>
  </r>
  <r>
    <s v="GERP"/>
    <x v="8"/>
  </r>
  <r>
    <s v="GCC"/>
    <x v="2"/>
  </r>
  <r>
    <s v="GFO"/>
    <x v="16"/>
  </r>
  <r>
    <s v="GCC"/>
    <x v="5"/>
  </r>
  <r>
    <s v="GCC"/>
    <x v="38"/>
  </r>
  <r>
    <s v="GEOS"/>
    <x v="0"/>
  </r>
  <r>
    <s v="GOC"/>
    <x v="36"/>
  </r>
  <r>
    <s v="GCC"/>
    <x v="23"/>
  </r>
  <r>
    <s v="GCONT"/>
    <x v="15"/>
  </r>
  <r>
    <s v="ARI"/>
    <x v="33"/>
  </r>
  <r>
    <s v="GERP"/>
    <x v="18"/>
  </r>
  <r>
    <s v="GNN"/>
    <x v="22"/>
  </r>
  <r>
    <s v="GMP"/>
    <x v="24"/>
  </r>
  <r>
    <s v="GLOG"/>
    <x v="2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DAFRI"/>
    <s v="GLOG"/>
    <x v="0"/>
    <s v="Serviços"/>
    <x v="0"/>
    <s v="PE SRP nº 00007/2021"/>
    <s v="ADMINISTRATIVO"/>
    <m/>
    <x v="0"/>
    <s v="https://www.telebras.com.br/wp-content/uploads/2025/07/1.-TLB-ARP-2022-00001_iNB-Tecnologia-LTDA.pdf"/>
    <x v="0"/>
    <m/>
    <x v="0"/>
    <x v="0"/>
    <x v="0"/>
    <x v="0"/>
    <x v="0"/>
    <n v="1"/>
    <x v="0"/>
    <x v="0"/>
    <n v="50976935.659999996"/>
    <s v="Bens e serviços"/>
    <x v="0"/>
    <m/>
    <m/>
  </r>
  <r>
    <s v="DTO"/>
    <s v="GERP"/>
    <x v="1"/>
    <s v="Serviços"/>
    <x v="0"/>
    <s v="PE SRP nº 00017/2022 "/>
    <s v="ADMINISTRATIVO"/>
    <m/>
    <x v="1"/>
    <m/>
    <x v="1"/>
    <s v="CANCELADO"/>
    <x v="1"/>
    <x v="1"/>
    <x v="1"/>
    <x v="1"/>
    <x v="1"/>
    <n v="0"/>
    <x v="1"/>
    <x v="1"/>
    <n v="0"/>
    <m/>
    <x v="0"/>
    <m/>
    <m/>
  </r>
  <r>
    <s v="DTO"/>
    <s v="GERP"/>
    <x v="1"/>
    <s v="Serviços"/>
    <x v="0"/>
    <s v="PE SRP nº 00017/2022 "/>
    <s v="ADMINISTRATIVO"/>
    <m/>
    <x v="2"/>
    <s v="https://www.telebras.com.br/wp-content/uploads/2025/07/2.-TLB-ARP-2022-00003_PADTEC-SA.pdf"/>
    <x v="2"/>
    <s v="-"/>
    <x v="2"/>
    <x v="0"/>
    <x v="2"/>
    <x v="2"/>
    <x v="2"/>
    <n v="1"/>
    <x v="2"/>
    <x v="2"/>
    <n v="3234695.57"/>
    <s v="Bens e serviços"/>
    <x v="0"/>
    <m/>
    <m/>
  </r>
  <r>
    <s v="DTO"/>
    <s v="GERP"/>
    <x v="2"/>
    <s v="Serviços"/>
    <x v="0"/>
    <s v="PE SRP nº 00012/2022"/>
    <s v="ADMINISTRATIVO"/>
    <m/>
    <x v="3"/>
    <s v="https://www.telebras.com.br/wp-content/uploads/2026/09/DOCUMENTO_PADTEC_S-A_LGPD.pdf"/>
    <x v="3"/>
    <s v="-"/>
    <x v="2"/>
    <x v="0"/>
    <x v="3"/>
    <x v="3"/>
    <x v="3"/>
    <n v="1"/>
    <x v="2"/>
    <x v="2"/>
    <n v="3481619.4"/>
    <s v="Bens e serviços"/>
    <x v="0"/>
    <m/>
    <m/>
  </r>
  <r>
    <s v="DAFRI"/>
    <s v="GLOG"/>
    <x v="3"/>
    <s v="Compras"/>
    <x v="0"/>
    <s v="PE SRP nº 00031/2022"/>
    <s v="ADMINISTRATIVO"/>
    <m/>
    <x v="4"/>
    <m/>
    <x v="1"/>
    <s v="CANCELADO"/>
    <x v="1"/>
    <x v="1"/>
    <x v="1"/>
    <x v="1"/>
    <x v="1"/>
    <n v="0"/>
    <x v="1"/>
    <x v="1"/>
    <n v="0"/>
    <m/>
    <x v="0"/>
    <m/>
    <m/>
  </r>
  <r>
    <s v="DAFRI"/>
    <s v="GLOG"/>
    <x v="3"/>
    <s v="Compras"/>
    <x v="0"/>
    <s v="PE SRP nº 00031/2022"/>
    <s v="ADMINISTRATIVO"/>
    <m/>
    <x v="5"/>
    <s v="https://www.telebras.com.br/wp-content/uploads/2025/07/4.-TLB-ARP-2022-00006_FK-GRUPO-SA.pdf"/>
    <x v="4"/>
    <s v="-"/>
    <x v="2"/>
    <x v="0"/>
    <x v="4"/>
    <x v="4"/>
    <x v="4"/>
    <n v="1"/>
    <x v="3"/>
    <x v="3"/>
    <n v="826837.7"/>
    <s v="Bens"/>
    <x v="0"/>
    <m/>
    <m/>
  </r>
  <r>
    <m/>
    <m/>
    <x v="4"/>
    <m/>
    <x v="1"/>
    <m/>
    <m/>
    <m/>
    <x v="6"/>
    <m/>
    <x v="5"/>
    <m/>
    <x v="0"/>
    <x v="2"/>
    <x v="1"/>
    <x v="1"/>
    <x v="1"/>
    <n v="0"/>
    <x v="4"/>
    <x v="4"/>
    <m/>
    <m/>
    <x v="0"/>
    <m/>
    <m/>
  </r>
  <r>
    <s v="DAFRI"/>
    <s v="GLOG"/>
    <x v="5"/>
    <s v="Serviços"/>
    <x v="0"/>
    <s v="PE SRP nº 00032/2022"/>
    <s v="ADMINISTRATIVO"/>
    <m/>
    <x v="7"/>
    <m/>
    <x v="1"/>
    <s v="CANCELADO"/>
    <x v="1"/>
    <x v="1"/>
    <x v="1"/>
    <x v="1"/>
    <x v="1"/>
    <n v="0"/>
    <x v="1"/>
    <x v="1"/>
    <n v="0"/>
    <m/>
    <x v="0"/>
    <m/>
    <m/>
  </r>
  <r>
    <s v="DAFRI"/>
    <s v="GLOG"/>
    <x v="5"/>
    <s v="Serviços"/>
    <x v="0"/>
    <s v="PE SRP nº 00032/2022"/>
    <s v="ADMINISTRATIVO"/>
    <m/>
    <x v="8"/>
    <s v="https://www.telebras.com.br/wp-content/uploads/2026/09/DOCUMENTO_CLEMAR_ENGENHARIA_LTDA_LGPD-1.pdf"/>
    <x v="6"/>
    <m/>
    <x v="0"/>
    <x v="3"/>
    <x v="5"/>
    <x v="5"/>
    <x v="5"/>
    <n v="1"/>
    <x v="5"/>
    <x v="5"/>
    <n v="4166614.47"/>
    <s v="Serviço "/>
    <x v="0"/>
    <m/>
    <m/>
  </r>
  <r>
    <s v="DTO"/>
    <s v="GMP"/>
    <x v="6"/>
    <s v="Compras"/>
    <x v="0"/>
    <s v="PE SRP nº 00021/2023"/>
    <s v="ADMINISTRATIVO"/>
    <m/>
    <x v="9"/>
    <m/>
    <x v="1"/>
    <s v="CANCELADO"/>
    <x v="1"/>
    <x v="1"/>
    <x v="1"/>
    <x v="1"/>
    <x v="1"/>
    <n v="0"/>
    <x v="1"/>
    <x v="1"/>
    <n v="0"/>
    <m/>
    <x v="0"/>
    <m/>
    <m/>
  </r>
  <r>
    <s v="DTO"/>
    <s v="GMP"/>
    <x v="6"/>
    <s v="Compras"/>
    <x v="0"/>
    <s v="PE SRP nº 00021/2023"/>
    <s v="ADMINISTRATIVO"/>
    <m/>
    <x v="10"/>
    <s v="https://www.telebras.com.br/wp-content/uploads/2026/09/DOCUMENTO_SECPOWER_COMERCIAL_IMPORTADORA_EXPORTADORA_LTDA_LGPD.pdf"/>
    <x v="7"/>
    <s v="-"/>
    <x v="2"/>
    <x v="3"/>
    <x v="6"/>
    <x v="6"/>
    <x v="6"/>
    <n v="1"/>
    <x v="6"/>
    <x v="6"/>
    <n v="211920"/>
    <s v="Bens"/>
    <x v="0"/>
    <m/>
    <m/>
  </r>
  <r>
    <s v="DTO"/>
    <s v="GMP"/>
    <x v="6"/>
    <s v="Compras"/>
    <x v="0"/>
    <s v="PE SRP nº 00021/2023"/>
    <s v="ADMINISTRATIVO"/>
    <m/>
    <x v="11"/>
    <s v="https://www.telebras.com.br/wp-content/uploads/2025/07/3.-TLB-ARP-2023-00005_INFOPLAN-TECNOLOGIA-COMERCIO-E-SERVICOS-LTDA-EPP.pdf"/>
    <x v="8"/>
    <s v="-"/>
    <x v="2"/>
    <x v="3"/>
    <x v="7"/>
    <x v="7"/>
    <x v="7"/>
    <n v="1"/>
    <x v="7"/>
    <x v="7"/>
    <n v="1013080"/>
    <s v="Bens"/>
    <x v="0"/>
    <m/>
    <m/>
  </r>
  <r>
    <s v="DTO"/>
    <s v="GERP"/>
    <x v="7"/>
    <s v="Serviços"/>
    <x v="0"/>
    <s v="PE SRP nº 00019/2023"/>
    <s v="ADMINISTRATIVO"/>
    <m/>
    <x v="12"/>
    <s v="https://www.telebras.com.br/wp-content/uploads/2025/07/4.-TLB-ARP-2023-00006_HC-COMUNICACAO-DE-DADOS-LTDA.pdf"/>
    <x v="9"/>
    <s v="-"/>
    <x v="2"/>
    <x v="3"/>
    <x v="8"/>
    <x v="8"/>
    <x v="8"/>
    <n v="1"/>
    <x v="8"/>
    <x v="8"/>
    <n v="10119234.51"/>
    <s v="Bens e serviços"/>
    <x v="0"/>
    <m/>
    <m/>
  </r>
  <r>
    <s v="DTO"/>
    <s v="GERP"/>
    <x v="8"/>
    <s v="Serviços"/>
    <x v="0"/>
    <s v="PE SRP nº 00017/2023"/>
    <s v="ADMINISTRATIVO"/>
    <m/>
    <x v="13"/>
    <s v="https://www.telebras.com.br/wp-content/uploads/2026/09/DOCUMENTO_HC_COMUNICACAO_DE_DADOS_LTDA_LGPD-2.pdf"/>
    <x v="10"/>
    <s v="-"/>
    <x v="2"/>
    <x v="3"/>
    <x v="9"/>
    <x v="9"/>
    <x v="9"/>
    <n v="1"/>
    <x v="8"/>
    <x v="8"/>
    <n v="5528112.3899999997"/>
    <s v="Bens e serviços"/>
    <x v="0"/>
    <m/>
    <m/>
  </r>
  <r>
    <m/>
    <m/>
    <x v="4"/>
    <m/>
    <x v="1"/>
    <m/>
    <m/>
    <m/>
    <x v="6"/>
    <m/>
    <x v="5"/>
    <m/>
    <x v="0"/>
    <x v="2"/>
    <x v="1"/>
    <x v="1"/>
    <x v="1"/>
    <n v="0"/>
    <x v="4"/>
    <x v="4"/>
    <m/>
    <m/>
    <x v="0"/>
    <m/>
    <m/>
  </r>
  <r>
    <s v="DAFRI"/>
    <s v="GLOG"/>
    <x v="9"/>
    <s v="Compras"/>
    <x v="0"/>
    <s v="PE SRP nº  0008/2023"/>
    <s v="ADMINISTRATIVO"/>
    <m/>
    <x v="14"/>
    <s v="https://www.telebras.com.br/wp-content/uploads/2026/09/DOCUMENTO_TECNO_2000_INDUSTRIA_E_COMERCIO_LTDA_LGPD.pdf"/>
    <x v="11"/>
    <s v="TLB-DEG-2024/00131"/>
    <x v="3"/>
    <x v="4"/>
    <x v="10"/>
    <x v="10"/>
    <x v="10"/>
    <n v="1"/>
    <x v="9"/>
    <x v="9"/>
    <n v="180000"/>
    <s v="Bens"/>
    <x v="1"/>
    <s v="10014630"/>
    <m/>
  </r>
  <r>
    <m/>
    <m/>
    <x v="4"/>
    <m/>
    <x v="1"/>
    <m/>
    <m/>
    <m/>
    <x v="6"/>
    <m/>
    <x v="5"/>
    <m/>
    <x v="0"/>
    <x v="2"/>
    <x v="1"/>
    <x v="1"/>
    <x v="1"/>
    <n v="0"/>
    <x v="4"/>
    <x v="4"/>
    <m/>
    <m/>
    <x v="0"/>
    <m/>
    <m/>
  </r>
  <r>
    <s v="DTO"/>
    <s v="GTI"/>
    <x v="10"/>
    <s v="Informática (TIC)"/>
    <x v="0"/>
    <s v="PE SRP nº 90004/2025"/>
    <s v="ADMINISTRATIVO"/>
    <m/>
    <x v="15"/>
    <m/>
    <x v="1"/>
    <s v="CANCELADO"/>
    <x v="1"/>
    <x v="1"/>
    <x v="1"/>
    <x v="1"/>
    <x v="1"/>
    <n v="0"/>
    <x v="1"/>
    <x v="1"/>
    <n v="0"/>
    <m/>
    <x v="0"/>
    <m/>
    <m/>
  </r>
  <r>
    <s v="DTO"/>
    <s v="GTI"/>
    <x v="10"/>
    <s v="Informática (TIC)"/>
    <x v="0"/>
    <s v="PE SRP nº 90004/2025"/>
    <s v="ADMINISTRATIVO"/>
    <m/>
    <x v="16"/>
    <s v="https://www.telebras.com.br/wp-content/uploads/2026/09/DOCUMENTO_BRASOFTWARE_INFORMATICA_LTDA_LGPD-1.pdf"/>
    <x v="12"/>
    <s v="TLB-DEG-2025/00044"/>
    <x v="4"/>
    <x v="5"/>
    <x v="11"/>
    <x v="11"/>
    <x v="11"/>
    <n v="1"/>
    <x v="10"/>
    <x v="10"/>
    <n v="6376307.2000000002"/>
    <s v="Bens e serviços"/>
    <x v="1"/>
    <m/>
    <s v="SIM"/>
  </r>
  <r>
    <s v="DTO"/>
    <s v="GEOS"/>
    <x v="11"/>
    <s v="Compras"/>
    <x v="0"/>
    <s v="PE SRP nº 90003/2025"/>
    <s v="ADMINISTRATIVO"/>
    <m/>
    <x v="17"/>
    <s v="https://www.telebras.com.br/wp-content/uploads/2026/09/DOCUMENTO_CREATIVE_THINGS_COMERCIO_E_DISTRIBUICAO_LTDA_LGPD.pdf"/>
    <x v="13"/>
    <s v="A definir"/>
    <x v="5"/>
    <x v="5"/>
    <x v="12"/>
    <x v="12"/>
    <x v="12"/>
    <n v="1"/>
    <x v="11"/>
    <x v="11"/>
    <n v="325.5"/>
    <s v="Material "/>
    <x v="1"/>
    <m/>
    <s v="SIM"/>
  </r>
  <r>
    <s v="DTO"/>
    <s v="GEOS"/>
    <x v="11"/>
    <s v="Compras"/>
    <x v="0"/>
    <s v="PE SRP nº 90003/2025"/>
    <s v="ADMINISTRATIVO"/>
    <m/>
    <x v="18"/>
    <s v="https://www.telebras.com.br/wp-content/uploads/2026/09/DOCUMENTO_ASG_BROTHERS_LICITACOES_COMERCIAL_LTDA_LGPD.pdf"/>
    <x v="14"/>
    <s v="A definir"/>
    <x v="5"/>
    <x v="5"/>
    <x v="13"/>
    <x v="12"/>
    <x v="12"/>
    <n v="1"/>
    <x v="12"/>
    <x v="12"/>
    <n v="19399.5"/>
    <s v="Material "/>
    <x v="1"/>
    <m/>
    <s v="SIM"/>
  </r>
  <r>
    <s v="DTO"/>
    <s v="GEOS"/>
    <x v="11"/>
    <s v="Compras"/>
    <x v="0"/>
    <s v="PE SRP nº 90003/2025"/>
    <s v="ADMINISTRATIVO"/>
    <m/>
    <x v="19"/>
    <s v="https://www.telebras.com.br/wp-content/uploads/2026/09/DOCUMENTO_GUARDA_VIDA_EPI_EIRELI_LGPD.pdf"/>
    <x v="15"/>
    <s v="A definir"/>
    <x v="5"/>
    <x v="5"/>
    <x v="11"/>
    <x v="12"/>
    <x v="12"/>
    <n v="1"/>
    <x v="13"/>
    <x v="13"/>
    <n v="10780.3"/>
    <s v="Material "/>
    <x v="1"/>
    <m/>
    <s v="SIM"/>
  </r>
  <r>
    <s v="DAFRI"/>
    <s v="GLOG"/>
    <x v="12"/>
    <s v="Serviços"/>
    <x v="0"/>
    <s v="PE SRP nº 90011/2024"/>
    <s v="ADMINISTRATIVO"/>
    <m/>
    <x v="20"/>
    <s v="https://www.telebras.com.br/wp-content/uploads/2026/09/DOCUMENTO_CLEMAR_ENGENHARIA_LTDA_LGPD-2.pdf"/>
    <x v="16"/>
    <s v="A definir"/>
    <x v="5"/>
    <x v="5"/>
    <x v="14"/>
    <x v="13"/>
    <x v="13"/>
    <n v="1"/>
    <x v="5"/>
    <x v="5"/>
    <n v="521187.45"/>
    <s v="Serviço "/>
    <x v="1"/>
    <m/>
    <s v="SIM"/>
  </r>
  <r>
    <s v="DAFRI"/>
    <s v="GLOG"/>
    <x v="12"/>
    <s v="Serviços"/>
    <x v="0"/>
    <s v="PE SRP nº 90011/2024"/>
    <s v="ADMINISTRATIVO"/>
    <m/>
    <x v="21"/>
    <m/>
    <x v="1"/>
    <s v="CANCELADO"/>
    <x v="1"/>
    <x v="1"/>
    <x v="1"/>
    <x v="1"/>
    <x v="1"/>
    <n v="0"/>
    <x v="4"/>
    <x v="4"/>
    <m/>
    <m/>
    <x v="0"/>
    <m/>
    <m/>
  </r>
  <r>
    <s v="DAFRI"/>
    <s v="GLOG"/>
    <x v="12"/>
    <s v="Serviços"/>
    <x v="0"/>
    <s v="PE SRP nº 90011/2024"/>
    <s v="ADMINISTRATIVO"/>
    <m/>
    <x v="22"/>
    <s v="https://www.telebras.com.br/wp-content/uploads/2026/09/DOCUMENTO_OTTONI_SERVICO_DE_ENGENHARIA_LTDA_LGPD.pdf"/>
    <x v="17"/>
    <s v="A definir"/>
    <x v="5"/>
    <x v="5"/>
    <x v="14"/>
    <x v="13"/>
    <x v="13"/>
    <n v="1"/>
    <x v="14"/>
    <x v="14"/>
    <n v="937756.06"/>
    <s v="Serviço "/>
    <x v="1"/>
    <m/>
    <s v="SIM"/>
  </r>
  <r>
    <s v="DTO"/>
    <s v="GORS"/>
    <x v="13"/>
    <s v="Compras"/>
    <x v="0"/>
    <s v="PE SRP nº 90010/2025"/>
    <s v="ADMINISTRATIVO"/>
    <s v="CECÍLIA REGINA"/>
    <x v="23"/>
    <s v="https://www.telebras.com.br/wp-content/uploads/2026/09/DOCUMENTO_NTSEC_SOLUCOES_EM_TELEINFORMATICA_LTDA_LGPD-1.pdf"/>
    <x v="18"/>
    <m/>
    <x v="5"/>
    <x v="5"/>
    <x v="15"/>
    <x v="14"/>
    <x v="14"/>
    <n v="1"/>
    <x v="15"/>
    <x v="15"/>
    <n v="7748400"/>
    <s v="Bens e serviços"/>
    <x v="1"/>
    <m/>
    <s v="SIM"/>
  </r>
  <r>
    <s v="DTO"/>
    <s v="GERP"/>
    <x v="14"/>
    <s v="Serviços"/>
    <x v="0"/>
    <s v="PE SRP n° 90011/2025"/>
    <s v="ADMINISTRATIVO"/>
    <s v="CECÍLIA REGINA"/>
    <x v="24"/>
    <s v="https://www.telebras.com.br/wp-content/uploads/2026/09/DOCUMENTO_PLANEJE_TECNOLOGIA_E_SERVICOS_LTDA_LGPD-1.pdf"/>
    <x v="19"/>
    <m/>
    <x v="6"/>
    <x v="5"/>
    <x v="16"/>
    <x v="15"/>
    <x v="15"/>
    <n v="1"/>
    <x v="16"/>
    <x v="16"/>
    <n v="1123000"/>
    <s v="Bens e serviços"/>
    <x v="1"/>
    <m/>
    <s v="SIM"/>
  </r>
  <r>
    <m/>
    <m/>
    <x v="4"/>
    <m/>
    <x v="1"/>
    <m/>
    <m/>
    <m/>
    <x v="6"/>
    <m/>
    <x v="5"/>
    <m/>
    <x v="0"/>
    <x v="2"/>
    <x v="1"/>
    <x v="1"/>
    <x v="1"/>
    <n v="0"/>
    <x v="4"/>
    <x v="4"/>
    <m/>
    <m/>
    <x v="0"/>
    <m/>
    <m/>
  </r>
  <r>
    <s v="PRES"/>
    <s v="GB-PR"/>
    <x v="15"/>
    <s v="Serviços"/>
    <x v="0"/>
    <s v="PE SRP n° 90004/2026"/>
    <s v="ADMINISTRATIVO"/>
    <m/>
    <x v="25"/>
    <m/>
    <x v="1"/>
    <s v="CANCELADO"/>
    <x v="1"/>
    <x v="1"/>
    <x v="1"/>
    <x v="1"/>
    <x v="1"/>
    <n v="0"/>
    <x v="1"/>
    <x v="1"/>
    <n v="0"/>
    <m/>
    <x v="0"/>
    <m/>
    <m/>
  </r>
  <r>
    <s v="PRES"/>
    <s v="GB-PR"/>
    <x v="15"/>
    <s v="Serviços"/>
    <x v="0"/>
    <s v="PE SRP n° 90004/2026"/>
    <s v="ADMINISTRATIVO"/>
    <s v="CECÍLIA REGINA"/>
    <x v="26"/>
    <s v="https://www.telebras.com.br/wp-content/uploads/2026/09/DOCUMENTO_FORTE_GRAFICA_E_EDITORA_LTDA_LGPD-1.pdf"/>
    <x v="20"/>
    <s v="TLB-DEG-2026/00091"/>
    <x v="7"/>
    <x v="6"/>
    <x v="17"/>
    <x v="16"/>
    <x v="16"/>
    <n v="1"/>
    <x v="17"/>
    <x v="17"/>
    <n v="140850"/>
    <s v="Serviço "/>
    <x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ela dinâmica3" cacheId="1" applyNumberFormats="0" applyBorderFormats="0" applyFontFormats="0" applyPatternFormats="0" applyAlignmentFormats="0" applyWidthHeightFormats="1" dataCaption="Valores" updatedVersion="8" minRefreshableVersion="3" useAutoFormatting="1" rowGrandTotals="0" colGrandTotals="0" itemPrintTitles="1" createdVersion="6" indent="0" outline="1" outlineData="1" multipleFieldFilters="0">
  <location ref="G3:G45" firstHeaderRow="1" firstDataRow="1" firstDataCol="1"/>
  <pivotFields count="2">
    <pivotField showAll="0" defaultSubtotal="0"/>
    <pivotField axis="axisRow" showAll="0" sortType="ascending" defaultSubtotal="0">
      <items count="81">
        <item x="31"/>
        <item m="1" x="47"/>
        <item x="35"/>
        <item m="1" x="48"/>
        <item x="17"/>
        <item m="1" x="49"/>
        <item x="6"/>
        <item m="1" x="50"/>
        <item x="24"/>
        <item m="1" x="52"/>
        <item x="18"/>
        <item m="1" x="53"/>
        <item x="8"/>
        <item m="1" x="54"/>
        <item x="41"/>
        <item m="1" x="55"/>
        <item x="26"/>
        <item m="1" x="56"/>
        <item x="10"/>
        <item m="1" x="76"/>
        <item x="5"/>
        <item m="1" x="77"/>
        <item x="40"/>
        <item m="1" x="78"/>
        <item x="38"/>
        <item m="1" x="79"/>
        <item x="21"/>
        <item m="1" x="80"/>
        <item x="0"/>
        <item m="1" x="42"/>
        <item x="36"/>
        <item m="1" x="43"/>
        <item x="20"/>
        <item m="1" x="44"/>
        <item x="22"/>
        <item m="1" x="45"/>
        <item x="14"/>
        <item m="1" x="46"/>
        <item x="9"/>
        <item m="1" x="66"/>
        <item x="1"/>
        <item m="1" x="67"/>
        <item x="34"/>
        <item m="1" x="68"/>
        <item x="27"/>
        <item m="1" x="69"/>
        <item x="7"/>
        <item m="1" x="70"/>
        <item x="28"/>
        <item m="1" x="71"/>
        <item x="37"/>
        <item m="1" x="72"/>
        <item x="3"/>
        <item m="1" x="73"/>
        <item x="39"/>
        <item m="1" x="74"/>
        <item x="32"/>
        <item m="1" x="75"/>
        <item x="15"/>
        <item m="1" x="57"/>
        <item x="16"/>
        <item m="1" x="58"/>
        <item x="13"/>
        <item m="1" x="59"/>
        <item x="11"/>
        <item x="4"/>
        <item m="1" x="60"/>
        <item x="29"/>
        <item m="1" x="61"/>
        <item x="12"/>
        <item m="1" x="62"/>
        <item x="25"/>
        <item m="1" x="63"/>
        <item x="19"/>
        <item m="1" x="64"/>
        <item x="23"/>
        <item m="1" x="65"/>
        <item x="2"/>
        <item x="33"/>
        <item m="1" x="51"/>
        <item x="30"/>
      </items>
    </pivotField>
  </pivotFields>
  <rowFields count="1">
    <field x="1"/>
  </rowFields>
  <rowItems count="42">
    <i>
      <x/>
    </i>
    <i>
      <x v="2"/>
    </i>
    <i>
      <x v="4"/>
    </i>
    <i>
      <x v="6"/>
    </i>
    <i>
      <x v="8"/>
    </i>
    <i>
      <x v="10"/>
    </i>
    <i>
      <x v="12"/>
    </i>
    <i>
      <x v="14"/>
    </i>
    <i>
      <x v="16"/>
    </i>
    <i>
      <x v="18"/>
    </i>
    <i>
      <x v="20"/>
    </i>
    <i>
      <x v="22"/>
    </i>
    <i>
      <x v="24"/>
    </i>
    <i>
      <x v="26"/>
    </i>
    <i>
      <x v="28"/>
    </i>
    <i>
      <x v="30"/>
    </i>
    <i>
      <x v="32"/>
    </i>
    <i>
      <x v="34"/>
    </i>
    <i>
      <x v="36"/>
    </i>
    <i>
      <x v="38"/>
    </i>
    <i>
      <x v="40"/>
    </i>
    <i>
      <x v="42"/>
    </i>
    <i>
      <x v="44"/>
    </i>
    <i>
      <x v="46"/>
    </i>
    <i>
      <x v="48"/>
    </i>
    <i>
      <x v="50"/>
    </i>
    <i>
      <x v="52"/>
    </i>
    <i>
      <x v="54"/>
    </i>
    <i>
      <x v="56"/>
    </i>
    <i>
      <x v="58"/>
    </i>
    <i>
      <x v="60"/>
    </i>
    <i>
      <x v="62"/>
    </i>
    <i>
      <x v="64"/>
    </i>
    <i>
      <x v="65"/>
    </i>
    <i>
      <x v="67"/>
    </i>
    <i>
      <x v="69"/>
    </i>
    <i>
      <x v="71"/>
    </i>
    <i>
      <x v="73"/>
    </i>
    <i>
      <x v="75"/>
    </i>
    <i>
      <x v="77"/>
    </i>
    <i>
      <x v="78"/>
    </i>
    <i>
      <x v="80"/>
    </i>
  </rowItems>
  <colItems count="1">
    <i/>
  </colItems>
  <pivotTableStyleInfo name="Estilo de Tabela Dinâmica 2"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0CFF95-345B-4129-9B7D-070D06C9EE1C}" name="Tabela dinâmica2" cacheId="0"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location ref="A4:F12" firstHeaderRow="1" firstDataRow="2" firstDataCol="1" rowPageCount="2" colPageCount="1"/>
  <pivotFields count="36">
    <pivotField showAll="0"/>
    <pivotField showAll="0"/>
    <pivotField showAll="0"/>
    <pivotField showAll="0"/>
    <pivotField axis="axisRow" showAll="0">
      <items count="7">
        <item x="3"/>
        <item x="1"/>
        <item x="0"/>
        <item x="2"/>
        <item x="4"/>
        <item x="5"/>
        <item t="default"/>
      </items>
    </pivotField>
    <pivotField showAll="0"/>
    <pivotField showAll="0"/>
    <pivotField showAll="0"/>
    <pivotField showAll="0"/>
    <pivotField axis="axisPage" multipleItemSelectionAllowed="1" showAll="0">
      <items count="6">
        <item x="2"/>
        <item x="0"/>
        <item h="1" x="1"/>
        <item x="3"/>
        <item x="4"/>
        <item t="default"/>
      </items>
    </pivotField>
    <pivotField axis="axisPage" showAll="0">
      <items count="6">
        <item x="1"/>
        <item x="0"/>
        <item x="2"/>
        <item x="3"/>
        <item x="4"/>
        <item t="default"/>
      </items>
    </pivotField>
    <pivotField dataField="1" showAll="0"/>
    <pivotField showAll="0"/>
    <pivotField showAll="0"/>
    <pivotField showAll="0"/>
    <pivotField axis="axisCol" showAll="0">
      <items count="5">
        <item x="0"/>
        <item x="1"/>
        <item x="2"/>
        <item x="3"/>
        <item t="default"/>
      </items>
    </pivotField>
    <pivotField showAll="0"/>
    <pivotField showAll="0"/>
    <pivotField showAll="0"/>
    <pivotField showAll="0"/>
    <pivotField showAll="0"/>
    <pivotField showAll="0"/>
    <pivotField showAll="0"/>
    <pivotField showAll="0"/>
    <pivotField numFmtId="1" showAll="0"/>
    <pivotField numFmtId="44" showAll="0"/>
    <pivotField numFmtId="44" showAll="0"/>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Fields count="1">
    <field x="15"/>
  </colFields>
  <colItems count="5">
    <i>
      <x/>
    </i>
    <i>
      <x v="1"/>
    </i>
    <i>
      <x v="2"/>
    </i>
    <i>
      <x v="3"/>
    </i>
    <i t="grand">
      <x/>
    </i>
  </colItems>
  <pageFields count="2">
    <pageField fld="10" hier="-1"/>
    <pageField fld="9" hier="-1"/>
  </pageFields>
  <dataFields count="1">
    <dataField name="Contagem de Nº CONTRATO" fld="11" subtotal="count" baseField="0" baseItem="0"/>
  </dataFields>
  <pivotTableStyleInfo name="PivotStyleLight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9000000}" name="Tabela dinâmica5" cacheId="0" applyNumberFormats="0" applyBorderFormats="0" applyFontFormats="0" applyPatternFormats="0" applyAlignmentFormats="0" applyWidthHeightFormats="1" dataCaption="Valores" updatedVersion="8" minRefreshableVersion="3" showDrill="0" rowGrandTotals="0" colGrandTotals="0" itemPrintTitles="1" createdVersion="6" indent="0" compact="0" compactData="0" multipleFieldFilters="0">
  <location ref="B8:R17" firstHeaderRow="1" firstDataRow="1" firstDataCol="16" rowPageCount="2" colPageCount="1"/>
  <pivotFields count="36">
    <pivotField axis="axisRow" compact="0" outline="0" showAll="0" defaultSubtotal="0">
      <items count="55">
        <item x="0"/>
        <item x="19"/>
        <item x="20"/>
        <item x="29"/>
        <item x="30"/>
        <item x="16"/>
        <item x="1"/>
        <item x="2"/>
        <item x="3"/>
        <item x="4"/>
        <item x="5"/>
        <item x="6"/>
        <item x="7"/>
        <item x="8"/>
        <item x="9"/>
        <item x="10"/>
        <item x="11"/>
        <item x="12"/>
        <item x="13"/>
        <item x="14"/>
        <item x="15"/>
        <item x="17"/>
        <item x="18"/>
        <item x="21"/>
        <item x="22"/>
        <item x="23"/>
        <item x="24"/>
        <item x="25"/>
        <item x="26"/>
        <item x="27"/>
        <item x="28"/>
        <item x="31"/>
        <item x="32"/>
        <item x="33"/>
        <item x="34"/>
        <item x="35"/>
        <item x="36"/>
        <item x="37"/>
        <item m="1" x="54"/>
        <item x="38"/>
        <item x="39"/>
        <item x="40"/>
        <item x="41"/>
        <item x="42"/>
        <item x="43"/>
        <item x="44"/>
        <item x="45"/>
        <item x="46"/>
        <item x="47"/>
        <item x="48"/>
        <item x="49"/>
        <item x="50"/>
        <item x="51"/>
        <item x="52"/>
        <item x="53"/>
      </items>
      <extLst>
        <ext xmlns:x14="http://schemas.microsoft.com/office/spreadsheetml/2009/9/main" uri="{2946ED86-A175-432a-8AC1-64E0C546D7DE}">
          <x14:pivotField fillDownLabels="1"/>
        </ext>
      </extLst>
    </pivotField>
    <pivotField compact="0" outline="0" showAll="0" defaultSubtotal="0"/>
    <pivotField compact="0" outline="0" showAll="0" defaultSubtotal="0"/>
    <pivotField axis="axisRow" compact="0" outline="0" subtotalTop="0" showAll="0" defaultSubtotal="0">
      <items count="141">
        <item x="51"/>
        <item x="52"/>
        <item x="56"/>
        <item x="55"/>
        <item x="54"/>
        <item x="57"/>
        <item x="53"/>
        <item x="36"/>
        <item x="124"/>
        <item x="38"/>
        <item x="44"/>
        <item x="39"/>
        <item x="30"/>
        <item x="108"/>
        <item x="43"/>
        <item x="41"/>
        <item x="50"/>
        <item x="35"/>
        <item x="47"/>
        <item x="31"/>
        <item x="61"/>
        <item x="42"/>
        <item x="8"/>
        <item x="40"/>
        <item x="27"/>
        <item x="96"/>
        <item x="32"/>
        <item x="15"/>
        <item x="49"/>
        <item x="2"/>
        <item x="33"/>
        <item x="34"/>
        <item x="9"/>
        <item x="0"/>
        <item x="4"/>
        <item x="1"/>
        <item x="28"/>
        <item x="29"/>
        <item x="14"/>
        <item x="46"/>
        <item x="37"/>
        <item x="5"/>
        <item x="3"/>
        <item x="45"/>
        <item x="48"/>
        <item x="6"/>
        <item x="11"/>
        <item x="7"/>
        <item x="10"/>
        <item x="100"/>
        <item x="83"/>
        <item x="13"/>
        <item x="12"/>
        <item x="88"/>
        <item x="20"/>
        <item x="98"/>
        <item x="85"/>
        <item x="84"/>
        <item x="19"/>
        <item x="18"/>
        <item x="16"/>
        <item x="59"/>
        <item x="86"/>
        <item x="62"/>
        <item x="17"/>
        <item x="64"/>
        <item x="21"/>
        <item x="58"/>
        <item x="22"/>
        <item x="67"/>
        <item x="63"/>
        <item x="25"/>
        <item x="89"/>
        <item x="23"/>
        <item x="104"/>
        <item x="111"/>
        <item x="24"/>
        <item x="92"/>
        <item x="60"/>
        <item x="26"/>
        <item x="68"/>
        <item x="130"/>
        <item x="90"/>
        <item x="115"/>
        <item x="65"/>
        <item x="69"/>
        <item x="94"/>
        <item x="70"/>
        <item x="72"/>
        <item x="73"/>
        <item x="71"/>
        <item x="74"/>
        <item x="75"/>
        <item x="76"/>
        <item x="82"/>
        <item x="78"/>
        <item x="79"/>
        <item x="81"/>
        <item x="77"/>
        <item x="80"/>
        <item x="93"/>
        <item x="66"/>
        <item x="102"/>
        <item x="114"/>
        <item x="105"/>
        <item x="125"/>
        <item x="97"/>
        <item x="126"/>
        <item x="129"/>
        <item x="87"/>
        <item x="110"/>
        <item x="122"/>
        <item x="116"/>
        <item x="91"/>
        <item x="109"/>
        <item x="106"/>
        <item x="95"/>
        <item x="117"/>
        <item x="99"/>
        <item x="103"/>
        <item x="101"/>
        <item x="112"/>
        <item x="113"/>
        <item x="128"/>
        <item x="127"/>
        <item x="107"/>
        <item x="121"/>
        <item x="118"/>
        <item x="119"/>
        <item x="120"/>
        <item x="123"/>
        <item x="140"/>
        <item x="131"/>
        <item x="132"/>
        <item x="133"/>
        <item x="134"/>
        <item x="135"/>
        <item x="136"/>
        <item x="137"/>
        <item x="138"/>
        <item x="139"/>
      </items>
    </pivotField>
    <pivotField axis="axisRow" compact="0" outline="0" subtotalTop="0" showAll="0" defaultSubtotal="0">
      <items count="6">
        <item x="3"/>
        <item x="1"/>
        <item x="0"/>
        <item x="2"/>
        <item x="4"/>
        <item x="5"/>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Row" compact="0" outline="0" showAll="0" defaultSubtotal="0">
      <items count="185">
        <item m="1" x="175"/>
        <item x="0"/>
        <item x="1"/>
        <item x="2"/>
        <item x="3"/>
        <item x="4"/>
        <item x="5"/>
        <item x="6"/>
        <item x="7"/>
        <item x="8"/>
        <item x="9"/>
        <item x="10"/>
        <item x="11"/>
        <item m="1" x="165"/>
        <item m="1" x="177"/>
        <item x="31"/>
        <item x="34"/>
        <item x="35"/>
        <item x="36"/>
        <item x="155"/>
        <item x="33"/>
        <item x="37"/>
        <item x="38"/>
        <item x="40"/>
        <item x="41"/>
        <item x="43"/>
        <item x="44"/>
        <item x="46"/>
        <item x="42"/>
        <item x="14"/>
        <item x="15"/>
        <item x="45"/>
        <item x="47"/>
        <item x="49"/>
        <item x="48"/>
        <item m="1" x="162"/>
        <item x="32"/>
        <item x="50"/>
        <item m="1" x="183"/>
        <item x="51"/>
        <item x="53"/>
        <item x="18"/>
        <item x="19"/>
        <item x="13"/>
        <item x="16"/>
        <item x="20"/>
        <item x="54"/>
        <item x="22"/>
        <item x="25"/>
        <item x="21"/>
        <item x="24"/>
        <item x="23"/>
        <item x="26"/>
        <item x="12"/>
        <item x="17"/>
        <item x="55"/>
        <item x="56"/>
        <item x="57"/>
        <item x="58"/>
        <item x="59"/>
        <item x="60"/>
        <item x="61"/>
        <item x="62"/>
        <item x="27"/>
        <item x="28"/>
        <item x="63"/>
        <item x="29"/>
        <item x="30"/>
        <item m="1" x="180"/>
        <item m="1" x="181"/>
        <item m="1" x="182"/>
        <item m="1" x="166"/>
        <item m="1" x="167"/>
        <item m="1" x="168"/>
        <item m="1" x="170"/>
        <item m="1" x="171"/>
        <item m="1" x="172"/>
        <item m="1" x="173"/>
        <item m="1" x="174"/>
        <item m="1" x="176"/>
        <item m="1" x="163"/>
        <item x="64"/>
        <item x="39"/>
        <item x="52"/>
        <item x="65"/>
        <item x="66"/>
        <item x="67"/>
        <item x="68"/>
        <item x="69"/>
        <item x="70"/>
        <item x="71"/>
        <item x="72"/>
        <item x="73"/>
        <item m="1" x="164"/>
        <item m="1" x="178"/>
        <item x="90"/>
        <item m="1" x="179"/>
        <item x="74"/>
        <item x="75"/>
        <item x="76"/>
        <item x="77"/>
        <item x="78"/>
        <item x="79"/>
        <item x="80"/>
        <item x="81"/>
        <item x="82"/>
        <item x="83"/>
        <item x="84"/>
        <item x="85"/>
        <item x="86"/>
        <item x="87"/>
        <item x="88"/>
        <item x="89"/>
        <item x="91"/>
        <item x="92"/>
        <item m="1" x="184"/>
        <item m="1" x="169"/>
        <item x="93"/>
        <item x="94"/>
        <item x="95"/>
        <item x="96"/>
        <item x="97"/>
        <item x="98"/>
        <item x="127"/>
        <item x="99"/>
        <item x="100"/>
        <item x="101"/>
        <item x="102"/>
        <item x="103"/>
        <item x="104"/>
        <item x="105"/>
        <item x="106"/>
        <item x="110"/>
        <item x="111"/>
        <item x="120"/>
        <item x="121"/>
        <item m="1" x="160"/>
        <item m="1" x="161"/>
        <item x="107"/>
        <item x="108"/>
        <item x="109"/>
        <item x="112"/>
        <item x="113"/>
        <item x="114"/>
        <item x="115"/>
        <item x="116"/>
        <item x="117"/>
        <item x="118"/>
        <item x="119"/>
        <item x="123"/>
        <item x="128"/>
        <item x="122"/>
        <item m="1" x="159"/>
        <item x="124"/>
        <item x="125"/>
        <item x="126"/>
        <item x="129"/>
        <item x="130"/>
        <item x="131"/>
        <item x="132"/>
        <item x="133"/>
        <item x="134"/>
        <item x="135"/>
        <item x="136"/>
        <item x="137"/>
        <item x="139"/>
        <item x="140"/>
        <item x="141"/>
        <item x="142"/>
        <item x="143"/>
        <item x="144"/>
        <item x="145"/>
        <item x="138"/>
        <item x="146"/>
        <item x="147"/>
        <item x="148"/>
        <item x="149"/>
        <item x="150"/>
        <item x="151"/>
        <item x="152"/>
        <item x="153"/>
        <item x="154"/>
        <item x="156"/>
        <item x="157"/>
        <item x="158"/>
      </items>
      <extLst>
        <ext xmlns:x14="http://schemas.microsoft.com/office/spreadsheetml/2009/9/main" uri="{2946ED86-A175-432a-8AC1-64E0C546D7DE}">
          <x14:pivotField fillDownLabels="1"/>
        </ext>
      </extLst>
    </pivotField>
    <pivotField compact="0" outline="0" subtotalTop="0" showAll="0" defaultSubtotal="0"/>
    <pivotField compact="0" outline="0" subtotalTop="0" showAll="0" defaultSubtotal="0"/>
    <pivotField axis="axisRow" compact="0" outline="0" showAll="0" defaultSubtotal="0">
      <items count="100">
        <item x="1"/>
        <item x="27"/>
        <item x="29"/>
        <item x="34"/>
        <item x="21"/>
        <item x="26"/>
        <item x="5"/>
        <item x="6"/>
        <item x="30"/>
        <item x="3"/>
        <item x="10"/>
        <item x="32"/>
        <item x="28"/>
        <item x="4"/>
        <item x="31"/>
        <item x="20"/>
        <item x="8"/>
        <item x="13"/>
        <item x="23"/>
        <item x="22"/>
        <item x="33"/>
        <item x="2"/>
        <item x="24"/>
        <item x="25"/>
        <item x="0"/>
        <item x="7"/>
        <item x="93"/>
        <item m="1" x="97"/>
        <item x="35"/>
        <item x="12"/>
        <item x="9"/>
        <item x="36"/>
        <item x="38"/>
        <item x="37"/>
        <item x="14"/>
        <item x="15"/>
        <item x="11"/>
        <item x="16"/>
        <item x="39"/>
        <item x="40"/>
        <item x="41"/>
        <item x="42"/>
        <item x="43"/>
        <item x="44"/>
        <item x="45"/>
        <item x="17"/>
        <item x="46"/>
        <item x="18"/>
        <item x="19"/>
        <item x="47"/>
        <item m="1" x="95"/>
        <item x="48"/>
        <item x="49"/>
        <item x="50"/>
        <item m="1" x="98"/>
        <item x="51"/>
        <item x="52"/>
        <item m="1" x="99"/>
        <item x="53"/>
        <item x="54"/>
        <item x="55"/>
        <item x="56"/>
        <item x="57"/>
        <item x="58"/>
        <item x="60"/>
        <item x="59"/>
        <item x="61"/>
        <item x="62"/>
        <item x="63"/>
        <item x="64"/>
        <item x="65"/>
        <item m="1" x="96"/>
        <item x="66"/>
        <item m="1" x="94"/>
        <item x="68"/>
        <item x="69"/>
        <item x="70"/>
        <item x="71"/>
        <item x="72"/>
        <item x="73"/>
        <item x="76"/>
        <item x="77"/>
        <item x="75"/>
        <item x="78"/>
        <item x="79"/>
        <item x="80"/>
        <item x="74"/>
        <item x="81"/>
        <item x="82"/>
        <item x="83"/>
        <item x="84"/>
        <item x="85"/>
        <item x="86"/>
        <item x="87"/>
        <item x="67"/>
        <item x="88"/>
        <item x="89"/>
        <item x="90"/>
        <item x="91"/>
        <item x="92"/>
      </items>
    </pivotField>
    <pivotField axis="axisPage" compact="0" outline="0" multipleItemSelectionAllowed="1" showAll="0" defaultSubtotal="0">
      <items count="4">
        <item h="1" x="0"/>
        <item x="1"/>
        <item x="2"/>
        <item h="1" x="3"/>
      </items>
    </pivotField>
    <pivotField compact="0" outline="0" showAll="0" defaultSubtotal="0"/>
    <pivotField axis="axisRow" compact="0" outline="0" subtotalTop="0" showAll="0" defaultSubtotal="0">
      <items count="127">
        <item x="29"/>
        <item x="23"/>
        <item x="73"/>
        <item x="63"/>
        <item x="64"/>
        <item x="65"/>
        <item x="68"/>
        <item x="67"/>
        <item x="72"/>
        <item x="60"/>
        <item x="22"/>
        <item x="54"/>
        <item x="33"/>
        <item x="55"/>
        <item x="56"/>
        <item x="57"/>
        <item x="74"/>
        <item x="66"/>
        <item x="75"/>
        <item x="61"/>
        <item x="58"/>
        <item x="71"/>
        <item x="59"/>
        <item x="62"/>
        <item x="70"/>
        <item x="0"/>
        <item x="26"/>
        <item x="25"/>
        <item x="27"/>
        <item x="1"/>
        <item x="3"/>
        <item x="28"/>
        <item x="4"/>
        <item x="31"/>
        <item x="5"/>
        <item x="24"/>
        <item x="30"/>
        <item x="6"/>
        <item x="7"/>
        <item x="2"/>
        <item x="34"/>
        <item x="8"/>
        <item x="36"/>
        <item x="9"/>
        <item x="32"/>
        <item x="35"/>
        <item x="10"/>
        <item x="37"/>
        <item x="39"/>
        <item x="38"/>
        <item x="11"/>
        <item x="12"/>
        <item x="40"/>
        <item x="42"/>
        <item x="13"/>
        <item x="41"/>
        <item x="43"/>
        <item x="44"/>
        <item x="14"/>
        <item x="15"/>
        <item x="16"/>
        <item x="45"/>
        <item x="46"/>
        <item x="17"/>
        <item x="47"/>
        <item x="18"/>
        <item x="48"/>
        <item x="49"/>
        <item x="50"/>
        <item x="19"/>
        <item x="20"/>
        <item x="21"/>
        <item x="51"/>
        <item x="52"/>
        <item x="53"/>
        <item x="69"/>
        <item x="99"/>
        <item x="76"/>
        <item x="77"/>
        <item x="78"/>
        <item x="79"/>
        <item x="81"/>
        <item x="80"/>
        <item x="85"/>
        <item x="82"/>
        <item x="83"/>
        <item x="84"/>
        <item x="87"/>
        <item x="86"/>
        <item x="88"/>
        <item x="90"/>
        <item x="91"/>
        <item x="89"/>
        <item x="92"/>
        <item x="93"/>
        <item x="95"/>
        <item x="94"/>
        <item x="96"/>
        <item x="100"/>
        <item x="98"/>
        <item x="97"/>
        <item x="101"/>
        <item x="102"/>
        <item x="104"/>
        <item x="103"/>
        <item x="105"/>
        <item x="106"/>
        <item x="107"/>
        <item x="108"/>
        <item x="110"/>
        <item x="109"/>
        <item x="111"/>
        <item x="112"/>
        <item x="115"/>
        <item x="114"/>
        <item x="113"/>
        <item x="116"/>
        <item x="126"/>
        <item x="117"/>
        <item x="118"/>
        <item x="119"/>
        <item x="120"/>
        <item x="121"/>
        <item x="122"/>
        <item x="123"/>
        <item x="124"/>
        <item x="125"/>
      </items>
    </pivotField>
    <pivotField axis="axisRow" compact="0" outline="0" subtotalTop="0" showAll="0" defaultSubtotal="0">
      <items count="113">
        <item x="10"/>
        <item x="12"/>
        <item x="57"/>
        <item x="46"/>
        <item x="47"/>
        <item x="48"/>
        <item x="7"/>
        <item x="52"/>
        <item x="51"/>
        <item x="56"/>
        <item x="43"/>
        <item x="5"/>
        <item x="9"/>
        <item x="37"/>
        <item x="15"/>
        <item x="0"/>
        <item x="59"/>
        <item x="49"/>
        <item x="38"/>
        <item x="39"/>
        <item x="53"/>
        <item x="40"/>
        <item x="58"/>
        <item x="50"/>
        <item x="44"/>
        <item x="41"/>
        <item x="55"/>
        <item x="8"/>
        <item x="42"/>
        <item x="45"/>
        <item x="54"/>
        <item x="1"/>
        <item x="23"/>
        <item x="3"/>
        <item x="30"/>
        <item x="2"/>
        <item x="13"/>
        <item x="16"/>
        <item x="17"/>
        <item x="22"/>
        <item x="26"/>
        <item x="27"/>
        <item x="29"/>
        <item x="32"/>
        <item x="60"/>
        <item x="4"/>
        <item x="66"/>
        <item x="64"/>
        <item x="35"/>
        <item x="68"/>
        <item x="91"/>
        <item x="94"/>
        <item x="20"/>
        <item x="84"/>
        <item x="61"/>
        <item x="88"/>
        <item x="19"/>
        <item x="69"/>
        <item x="71"/>
        <item x="73"/>
        <item x="76"/>
        <item x="74"/>
        <item x="80"/>
        <item x="79"/>
        <item x="34"/>
        <item x="78"/>
        <item x="92"/>
        <item x="96"/>
        <item x="97"/>
        <item x="98"/>
        <item x="95"/>
        <item x="101"/>
        <item x="31"/>
        <item x="85"/>
        <item x="89"/>
        <item x="11"/>
        <item x="65"/>
        <item x="86"/>
        <item x="83"/>
        <item x="87"/>
        <item x="70"/>
        <item x="18"/>
        <item x="14"/>
        <item x="102"/>
        <item x="21"/>
        <item x="24"/>
        <item x="25"/>
        <item x="28"/>
        <item x="33"/>
        <item x="36"/>
        <item x="62"/>
        <item x="63"/>
        <item x="67"/>
        <item x="72"/>
        <item x="77"/>
        <item x="81"/>
        <item x="82"/>
        <item x="75"/>
        <item x="93"/>
        <item x="90"/>
        <item x="100"/>
        <item x="99"/>
        <item x="6"/>
        <item x="112"/>
        <item x="103"/>
        <item x="104"/>
        <item x="105"/>
        <item x="106"/>
        <item x="107"/>
        <item x="108"/>
        <item x="109"/>
        <item x="110"/>
        <item x="111"/>
      </items>
    </pivotField>
    <pivotField compact="0" outline="0" showAll="0" defaultSubtotal="0"/>
    <pivotField axis="axisRow" compact="0" outline="0" showAll="0" defaultSubtotal="0">
      <items count="162">
        <item x="3"/>
        <item x="9"/>
        <item x="35"/>
        <item x="2"/>
        <item x="10"/>
        <item x="32"/>
        <item x="0"/>
        <item x="8"/>
        <item x="7"/>
        <item x="31"/>
        <item x="30"/>
        <item x="4"/>
        <item x="1"/>
        <item x="6"/>
        <item x="28"/>
        <item x="29"/>
        <item x="5"/>
        <item x="149"/>
        <item x="33"/>
        <item x="34"/>
        <item x="36"/>
        <item x="37"/>
        <item x="39"/>
        <item x="40"/>
        <item x="42"/>
        <item x="38"/>
        <item x="13"/>
        <item x="41"/>
        <item x="43"/>
        <item x="45"/>
        <item x="44"/>
        <item m="1" x="158"/>
        <item x="46"/>
        <item x="48"/>
        <item x="47"/>
        <item m="1" x="159"/>
        <item x="16"/>
        <item x="12"/>
        <item x="14"/>
        <item x="17"/>
        <item x="50"/>
        <item x="19"/>
        <item x="18"/>
        <item x="21"/>
        <item x="20"/>
        <item x="23"/>
        <item x="22"/>
        <item x="11"/>
        <item x="15"/>
        <item x="51"/>
        <item x="52"/>
        <item x="53"/>
        <item x="54"/>
        <item x="55"/>
        <item x="56"/>
        <item x="57"/>
        <item m="1" x="160"/>
        <item x="24"/>
        <item x="25"/>
        <item x="59"/>
        <item x="26"/>
        <item x="27"/>
        <item m="1" x="155"/>
        <item m="1" x="152"/>
        <item x="60"/>
        <item x="61"/>
        <item x="62"/>
        <item x="63"/>
        <item x="64"/>
        <item m="1" x="161"/>
        <item m="1" x="157"/>
        <item m="1" x="156"/>
        <item m="1" x="154"/>
        <item n="O presente Contrato tem por objeto a contratação de empresa especializada para fornecimento de solução de ampliação da maturidade de ambiente computacional, envolvendo operação de Central de Suporte Técnico (Service Desk), com registro e acompanhamento d" x="86"/>
        <item x="70"/>
        <item x="71"/>
        <item x="72"/>
        <item x="73"/>
        <item x="74"/>
        <item x="75"/>
        <item x="76"/>
        <item x="77"/>
        <item x="78"/>
        <item x="79"/>
        <item x="80"/>
        <item x="81"/>
        <item x="82"/>
        <item x="83"/>
        <item x="84"/>
        <item x="85"/>
        <item n="O presente Contrato tem por objeto a contratação de empresa especializada na prestação de serviços de apoio logístico na produção de eventos, sob demanda, compreendendo o planejamento, a organização, a promoção, a execução e o acompanhamento de organizaç" x="87"/>
        <item x="88"/>
        <item x="96"/>
        <item x="49"/>
        <item x="58"/>
        <item m="1" x="153"/>
        <item x="89"/>
        <item x="90"/>
        <item n="O presente contrato tem por objeto a contratação de  empresa  especializada  para  a  prestação  de serviços continuados de transporte, com fornecimento de veículos e mão de obra de motoristas habilitados, para o  transporte  de  pessoas  para  atender  " x="91"/>
        <item x="92"/>
        <item x="65"/>
        <item x="66"/>
        <item x="67"/>
        <item x="68"/>
        <item x="69"/>
        <item x="93"/>
        <item n="O presente Contrato tem por objeto a contratação, mediante o sistema de registro de preços – srp, de empresa especializada na prestação do serviço de subscrição de licenças de uso de softwares para prover solução de colaboração, comunicação e produtivida" x="94"/>
        <item x="95"/>
        <item x="97"/>
        <item x="98"/>
        <item x="99"/>
        <item x="100"/>
        <item x="101"/>
        <item x="102"/>
        <item x="103"/>
        <item n="O presente contrato tem por objeto a Participação da TELEBRAS no Seminário Nacional de TIC para a Gestão Pública – SECOP 2025, por meio de ação promocional. O evento é organizado exclusivamente pela Associação Brasileira de Entidades Estaduais e Públicas" x="104"/>
        <item x="105"/>
        <item x="106"/>
        <item x="107"/>
        <item x="108"/>
        <item x="109"/>
        <item x="110"/>
        <item x="111"/>
        <item x="112"/>
        <item x="113"/>
        <item x="114"/>
        <item x="115"/>
        <item x="117"/>
        <item x="116"/>
        <item x="118"/>
        <item x="119"/>
        <item x="120"/>
        <item m="1" x="150"/>
        <item x="122"/>
        <item x="123"/>
        <item x="124"/>
        <item m="1" x="151"/>
        <item n="O presente Contrato tem por objeto a contratação de empresa especializada na prestação de serviços de saúde do trabalho, visando à execução do Programa de Controle Médico de Saúde Ocupacional (PCMSO) e demais atividades correlatas, em atendimento à SEDE " x="126"/>
        <item n="O presente Contrato tem por objeto a contratação, mediante o Sistema de Registro de Preços – SRP, de empresa ou consórcio de empresas especializadas em soluções de infraestrutura com o fornecimento e Implantação de UPS para Ar-Condicionado nas Estações d" x="127"/>
        <item n="O presente Contrato tem por objeto a contratação, mediante o sistema de registro de preços – srp, de empresa especializada para atualização, aquisição e instalação de equipamentos firewall compatível e serviços de suporte on-site e manutenção de hardware" x="128"/>
        <item x="129"/>
        <item x="130"/>
        <item x="131"/>
        <item x="121"/>
        <item x="125"/>
        <item x="132"/>
        <item x="133"/>
        <item x="134"/>
        <item x="135"/>
        <item x="136"/>
        <item x="137"/>
        <item x="138"/>
        <item x="139"/>
        <item x="140"/>
        <item x="141"/>
        <item x="142"/>
        <item x="143"/>
        <item x="144"/>
        <item x="145"/>
        <item x="146"/>
        <item x="147"/>
        <item x="148"/>
      </items>
    </pivotField>
    <pivotField axis="axisRow" compact="0" outline="0" showAll="0" defaultSubtotal="0">
      <items count="7">
        <item x="0"/>
        <item x="2"/>
        <item x="3"/>
        <item m="1" x="6"/>
        <item x="1"/>
        <item x="5"/>
        <item x="4"/>
      </items>
    </pivotField>
    <pivotField axis="axisRow" compact="0" outline="0" showAll="0" defaultSubtotal="0">
      <items count="144">
        <item x="1"/>
        <item x="6"/>
        <item x="11"/>
        <item x="30"/>
        <item x="8"/>
        <item x="35"/>
        <item m="1" x="143"/>
        <item x="0"/>
        <item x="10"/>
        <item x="33"/>
        <item x="4"/>
        <item x="2"/>
        <item x="31"/>
        <item x="29"/>
        <item x="3"/>
        <item x="5"/>
        <item x="9"/>
        <item x="32"/>
        <item x="7"/>
        <item x="137"/>
        <item x="34"/>
        <item x="36"/>
        <item x="37"/>
        <item x="39"/>
        <item x="40"/>
        <item x="42"/>
        <item x="38"/>
        <item x="14"/>
        <item x="41"/>
        <item x="43"/>
        <item x="45"/>
        <item x="44"/>
        <item m="1" x="142"/>
        <item x="46"/>
        <item x="48"/>
        <item x="47"/>
        <item x="49"/>
        <item x="17"/>
        <item x="18"/>
        <item x="13"/>
        <item x="15"/>
        <item x="19"/>
        <item x="50"/>
        <item x="21"/>
        <item x="27"/>
        <item x="20"/>
        <item x="23"/>
        <item x="22"/>
        <item x="25"/>
        <item x="24"/>
        <item x="12"/>
        <item x="16"/>
        <item x="51"/>
        <item x="52"/>
        <item x="53"/>
        <item x="54"/>
        <item x="55"/>
        <item x="56"/>
        <item x="57"/>
        <item x="58"/>
        <item x="26"/>
        <item x="59"/>
        <item x="28"/>
        <item m="1" x="141"/>
        <item x="60"/>
        <item x="61"/>
        <item x="62"/>
        <item x="63"/>
        <item x="64"/>
        <item x="65"/>
        <item x="66"/>
        <item x="67"/>
        <item x="68"/>
        <item x="82"/>
        <item x="69"/>
        <item x="70"/>
        <item x="71"/>
        <item x="72"/>
        <item x="73"/>
        <item x="74"/>
        <item x="75"/>
        <item x="76"/>
        <item x="77"/>
        <item x="78"/>
        <item x="79"/>
        <item x="80"/>
        <item x="81"/>
        <item x="83"/>
        <item x="84"/>
        <item x="91"/>
        <item x="85"/>
        <item x="86"/>
        <item x="87"/>
        <item x="88"/>
        <item x="89"/>
        <item x="90"/>
        <item x="92"/>
        <item x="93"/>
        <item x="94"/>
        <item x="95"/>
        <item x="96"/>
        <item x="97"/>
        <item x="98"/>
        <item x="99"/>
        <item x="100"/>
        <item x="101"/>
        <item x="102"/>
        <item x="103"/>
        <item x="104"/>
        <item x="105"/>
        <item x="106"/>
        <item x="107"/>
        <item x="108"/>
        <item x="109"/>
        <item x="110"/>
        <item m="1" x="140"/>
        <item x="112"/>
        <item x="113"/>
        <item x="114"/>
        <item x="111"/>
        <item x="116"/>
        <item x="117"/>
        <item m="1" x="139"/>
        <item x="119"/>
        <item x="120"/>
        <item x="121"/>
        <item x="115"/>
        <item x="122"/>
        <item x="118"/>
        <item x="123"/>
        <item x="124"/>
        <item x="125"/>
        <item x="126"/>
        <item x="127"/>
        <item x="128"/>
        <item x="129"/>
        <item m="1" x="138"/>
        <item x="131"/>
        <item x="130"/>
        <item x="132"/>
        <item x="133"/>
        <item x="134"/>
        <item x="135"/>
        <item x="136"/>
      </items>
    </pivotField>
    <pivotField axis="axisRow" compact="0" outline="0" subtotalTop="0" showAll="0" defaultSubtotal="0">
      <items count="123">
        <item x="63"/>
        <item x="45"/>
        <item x="38"/>
        <item x="42"/>
        <item x="85"/>
        <item x="89"/>
        <item x="25"/>
        <item x="53"/>
        <item x="34"/>
        <item x="30"/>
        <item x="107"/>
        <item x="19"/>
        <item x="31"/>
        <item x="15"/>
        <item x="114"/>
        <item x="100"/>
        <item x="99"/>
        <item x="61"/>
        <item x="108"/>
        <item x="68"/>
        <item x="74"/>
        <item x="33"/>
        <item x="80"/>
        <item x="28"/>
        <item x="37"/>
        <item x="79"/>
        <item x="72"/>
        <item x="0"/>
        <item x="29"/>
        <item x="75"/>
        <item x="62"/>
        <item x="44"/>
        <item x="110"/>
        <item x="78"/>
        <item x="10"/>
        <item x="27"/>
        <item x="8"/>
        <item x="12"/>
        <item x="60"/>
        <item x="43"/>
        <item x="58"/>
        <item x="94"/>
        <item x="18"/>
        <item x="93"/>
        <item x="39"/>
        <item x="86"/>
        <item x="5"/>
        <item x="103"/>
        <item x="64"/>
        <item x="96"/>
        <item x="4"/>
        <item x="51"/>
        <item x="98"/>
        <item x="97"/>
        <item x="101"/>
        <item x="14"/>
        <item x="46"/>
        <item x="55"/>
        <item x="87"/>
        <item x="90"/>
        <item x="69"/>
        <item x="32"/>
        <item x="65"/>
        <item x="41"/>
        <item x="52"/>
        <item x="81"/>
        <item x="102"/>
        <item x="104"/>
        <item x="16"/>
        <item x="66"/>
        <item x="21"/>
        <item x="91"/>
        <item x="40"/>
        <item x="26"/>
        <item x="11"/>
        <item x="56"/>
        <item x="88"/>
        <item x="48"/>
        <item x="20"/>
        <item x="9"/>
        <item x="54"/>
        <item x="105"/>
        <item x="47"/>
        <item x="22"/>
        <item x="84"/>
        <item x="113"/>
        <item x="73"/>
        <item x="2"/>
        <item x="50"/>
        <item x="109"/>
        <item x="71"/>
        <item x="24"/>
        <item x="106"/>
        <item x="70"/>
        <item x="3"/>
        <item x="17"/>
        <item x="67"/>
        <item x="57"/>
        <item x="82"/>
        <item x="77"/>
        <item x="92"/>
        <item x="35"/>
        <item x="111"/>
        <item x="49"/>
        <item x="13"/>
        <item x="83"/>
        <item x="112"/>
        <item x="76"/>
        <item x="23"/>
        <item x="59"/>
        <item x="7"/>
        <item x="36"/>
        <item x="95"/>
        <item x="1"/>
        <item x="6"/>
        <item x="115"/>
        <item x="116"/>
        <item x="117"/>
        <item x="122"/>
        <item x="118"/>
        <item x="119"/>
        <item x="120"/>
        <item x="121"/>
      </items>
    </pivotField>
    <pivotField axis="axisRow" compact="0" outline="0" showAll="0" defaultSubtotal="0">
      <items count="25">
        <item m="1" x="24"/>
        <item x="21"/>
        <item x="9"/>
        <item x="7"/>
        <item x="8"/>
        <item x="6"/>
        <item x="5"/>
        <item x="4"/>
        <item x="2"/>
        <item x="3"/>
        <item x="1"/>
        <item x="0"/>
        <item x="17"/>
        <item x="16"/>
        <item x="12"/>
        <item x="15"/>
        <item x="14"/>
        <item x="13"/>
        <item x="18"/>
        <item x="19"/>
        <item x="11"/>
        <item x="20"/>
        <item x="22"/>
        <item x="10"/>
        <item x="23"/>
      </items>
      <extLst>
        <ext xmlns:x14="http://schemas.microsoft.com/office/spreadsheetml/2009/9/main" uri="{2946ED86-A175-432a-8AC1-64E0C546D7DE}">
          <x14:pivotField fillDownLabels="1"/>
        </ext>
      </extLst>
    </pivotField>
    <pivotField axis="axisRow" compact="0" outline="0" showAll="0" defaultSubtotal="0">
      <items count="241">
        <item x="32"/>
        <item x="79"/>
        <item x="21"/>
        <item m="1" x="162"/>
        <item x="19"/>
        <item x="15"/>
        <item x="60"/>
        <item x="62"/>
        <item x="66"/>
        <item x="47"/>
        <item x="86"/>
        <item x="77"/>
        <item x="8"/>
        <item x="82"/>
        <item x="72"/>
        <item x="10"/>
        <item x="74"/>
        <item x="65"/>
        <item m="1" x="183"/>
        <item x="81"/>
        <item x="76"/>
        <item x="84"/>
        <item x="2"/>
        <item x="80"/>
        <item m="1" x="220"/>
        <item x="92"/>
        <item x="99"/>
        <item x="83"/>
        <item x="25"/>
        <item m="1" x="181"/>
        <item x="78"/>
        <item x="16"/>
        <item x="6"/>
        <item x="95"/>
        <item x="30"/>
        <item x="87"/>
        <item x="11"/>
        <item x="7"/>
        <item x="12"/>
        <item m="1" x="238"/>
        <item x="3"/>
        <item x="13"/>
        <item x="27"/>
        <item x="22"/>
        <item x="17"/>
        <item m="1" x="206"/>
        <item x="85"/>
        <item m="1" x="200"/>
        <item m="1" x="197"/>
        <item x="18"/>
        <item m="1" x="214"/>
        <item x="50"/>
        <item x="42"/>
        <item x="1"/>
        <item m="1" x="201"/>
        <item x="20"/>
        <item x="73"/>
        <item m="1" x="182"/>
        <item m="1" x="228"/>
        <item m="1" x="225"/>
        <item x="23"/>
        <item m="1" x="236"/>
        <item x="45"/>
        <item x="0"/>
        <item x="14"/>
        <item m="1" x="202"/>
        <item x="75"/>
        <item x="64"/>
        <item x="4"/>
        <item m="1" x="209"/>
        <item m="1" x="165"/>
        <item x="26"/>
        <item x="40"/>
        <item x="56"/>
        <item m="1" x="188"/>
        <item x="5"/>
        <item m="1" x="232"/>
        <item x="33"/>
        <item m="1" x="170"/>
        <item x="63"/>
        <item m="1" x="229"/>
        <item m="1" x="179"/>
        <item m="1" x="205"/>
        <item m="1" x="215"/>
        <item m="1" x="156"/>
        <item m="1" x="219"/>
        <item x="9"/>
        <item m="1" x="217"/>
        <item x="41"/>
        <item m="1" x="184"/>
        <item m="1" x="230"/>
        <item x="29"/>
        <item m="1" x="167"/>
        <item x="54"/>
        <item m="1" x="203"/>
        <item x="94"/>
        <item x="43"/>
        <item m="1" x="189"/>
        <item x="39"/>
        <item m="1" x="235"/>
        <item m="1" x="161"/>
        <item m="1" x="177"/>
        <item m="1" x="180"/>
        <item x="44"/>
        <item x="28"/>
        <item m="1" x="231"/>
        <item m="1" x="207"/>
        <item x="51"/>
        <item m="1" x="191"/>
        <item x="55"/>
        <item x="24"/>
        <item x="69"/>
        <item m="1" x="233"/>
        <item x="59"/>
        <item m="1" x="210"/>
        <item m="1" x="178"/>
        <item m="1" x="199"/>
        <item m="1" x="158"/>
        <item x="49"/>
        <item m="1" x="174"/>
        <item x="48"/>
        <item m="1" x="195"/>
        <item x="38"/>
        <item m="1" x="227"/>
        <item m="1" x="239"/>
        <item m="1" x="172"/>
        <item x="34"/>
        <item x="52"/>
        <item x="67"/>
        <item m="1" x="234"/>
        <item m="1" x="171"/>
        <item m="1" x="240"/>
        <item x="35"/>
        <item x="46"/>
        <item m="1" x="164"/>
        <item m="1" x="173"/>
        <item x="89"/>
        <item m="1" x="157"/>
        <item m="1" x="175"/>
        <item x="71"/>
        <item m="1" x="212"/>
        <item m="1" x="193"/>
        <item m="1" x="159"/>
        <item x="58"/>
        <item x="31"/>
        <item m="1" x="176"/>
        <item x="36"/>
        <item x="93"/>
        <item x="100"/>
        <item x="53"/>
        <item m="1" x="163"/>
        <item x="61"/>
        <item m="1" x="168"/>
        <item x="88"/>
        <item x="68"/>
        <item m="1" x="166"/>
        <item m="1" x="237"/>
        <item m="1" x="216"/>
        <item x="37"/>
        <item m="1" x="223"/>
        <item x="90"/>
        <item m="1" x="222"/>
        <item m="1" x="224"/>
        <item m="1" x="160"/>
        <item m="1" x="211"/>
        <item m="1" x="186"/>
        <item m="1" x="221"/>
        <item x="57"/>
        <item x="70"/>
        <item m="1" x="198"/>
        <item m="1" x="194"/>
        <item m="1" x="190"/>
        <item m="1" x="192"/>
        <item x="91"/>
        <item m="1" x="185"/>
        <item m="1" x="169"/>
        <item m="1" x="218"/>
        <item m="1" x="226"/>
        <item m="1" x="204"/>
        <item m="1" x="213"/>
        <item m="1" x="187"/>
        <item m="1" x="196"/>
        <item m="1" x="208"/>
        <item x="97"/>
        <item x="98"/>
        <item x="101"/>
        <item x="102"/>
        <item x="103"/>
        <item x="104"/>
        <item x="105"/>
        <item x="106"/>
        <item n=" " m="1" x="155"/>
        <item x="108"/>
        <item x="109"/>
        <item x="110"/>
        <item x="111"/>
        <item x="112"/>
        <item x="113"/>
        <item x="114"/>
        <item x="115"/>
        <item x="107"/>
        <item x="116"/>
        <item x="117"/>
        <item x="119"/>
        <item x="118"/>
        <item x="121"/>
        <item x="120"/>
        <item x="122"/>
        <item x="123"/>
        <item x="124"/>
        <item x="125"/>
        <item x="126"/>
        <item x="127"/>
        <item x="129"/>
        <item x="130"/>
        <item x="131"/>
        <item x="132"/>
        <item x="133"/>
        <item x="134"/>
        <item x="128"/>
        <item x="135"/>
        <item x="136"/>
        <item x="137"/>
        <item m="1" x="154"/>
        <item x="139"/>
        <item x="140"/>
        <item x="141"/>
        <item x="142"/>
        <item x="143"/>
        <item x="96"/>
        <item x="138"/>
        <item x="144"/>
        <item x="145"/>
        <item x="146"/>
        <item x="153"/>
        <item x="147"/>
        <item x="148"/>
        <item x="149"/>
        <item x="150"/>
        <item x="151"/>
        <item x="152"/>
      </items>
    </pivotField>
    <pivotField dataField="1" compact="0" outline="0" subtotalTop="0" showAll="0" defaultSubtotal="0"/>
    <pivotField compact="0" outline="0" showAll="0" defaultSubtotal="0"/>
    <pivotField axis="axisPage" compact="0" outline="0" multipleItemSelectionAllowed="1" showAll="0" defaultSubtotal="0">
      <items count="4">
        <item x="0"/>
        <item m="1" x="3"/>
        <item x="1"/>
        <item h="1" m="1" x="2"/>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72">
        <item x="18"/>
        <item x="14"/>
        <item x="7"/>
        <item x="4"/>
        <item x="8"/>
        <item x="9"/>
        <item x="5"/>
        <item x="13"/>
        <item x="10"/>
        <item x="16"/>
        <item x="1"/>
        <item x="26"/>
        <item x="2"/>
        <item x="30"/>
        <item x="3"/>
        <item x="27"/>
        <item x="32"/>
        <item x="11"/>
        <item x="25"/>
        <item x="21"/>
        <item x="22"/>
        <item x="28"/>
        <item x="31"/>
        <item x="29"/>
        <item x="6"/>
        <item x="17"/>
        <item x="12"/>
        <item x="23"/>
        <item x="15"/>
        <item x="24"/>
        <item x="19"/>
        <item x="20"/>
        <item x="0"/>
        <item x="33"/>
        <item x="35"/>
        <item x="34"/>
        <item x="38"/>
        <item x="37"/>
        <item x="36"/>
        <item x="41"/>
        <item x="43"/>
        <item x="40"/>
        <item x="39"/>
        <item x="42"/>
        <item x="44"/>
        <item x="47"/>
        <item x="46"/>
        <item x="48"/>
        <item x="45"/>
        <item x="49"/>
        <item x="50"/>
        <item x="53"/>
        <item x="51"/>
        <item x="52"/>
        <item x="54"/>
        <item x="55"/>
        <item x="56"/>
        <item x="57"/>
        <item x="62"/>
        <item x="58"/>
        <item x="63"/>
        <item x="59"/>
        <item x="60"/>
        <item x="61"/>
        <item x="64"/>
        <item x="68"/>
        <item x="69"/>
        <item x="70"/>
        <item x="71"/>
        <item x="66"/>
        <item x="67"/>
        <item x="65"/>
      </items>
      <extLst>
        <ext xmlns:x14="http://schemas.microsoft.com/office/spreadsheetml/2009/9/main" uri="{2946ED86-A175-432a-8AC1-64E0C546D7DE}">
          <x14:pivotField fillDownLabels="1"/>
        </ext>
      </extLst>
    </pivotField>
    <pivotField axis="axisRow" compact="0" outline="0" showAll="0" defaultSubtotal="0">
      <items count="31">
        <item m="1" x="30"/>
        <item x="27"/>
        <item x="0"/>
        <item x="1"/>
        <item x="2"/>
        <item x="4"/>
        <item x="5"/>
        <item x="6"/>
        <item m="1" x="29"/>
        <item x="8"/>
        <item x="9"/>
        <item x="10"/>
        <item x="11"/>
        <item x="12"/>
        <item x="13"/>
        <item x="14"/>
        <item x="15"/>
        <item x="16"/>
        <item x="17"/>
        <item x="18"/>
        <item x="20"/>
        <item x="28"/>
        <item x="19"/>
        <item x="22"/>
        <item x="21"/>
        <item x="7"/>
        <item x="3"/>
        <item x="24"/>
        <item x="26"/>
        <item x="25"/>
        <item x="23"/>
      </items>
      <extLst>
        <ext xmlns:x14="http://schemas.microsoft.com/office/spreadsheetml/2009/9/main" uri="{2946ED86-A175-432a-8AC1-64E0C546D7DE}">
          <x14:pivotField fillDownLabels="1"/>
        </ext>
      </extLst>
    </pivotField>
    <pivotField axis="axisRow" compact="0" outline="0" subtotalTop="0" showAll="0" defaultSubtotal="0">
      <items count="6">
        <item h="1" m="1" x="5"/>
        <item h="1" x="2"/>
        <item h="1" x="1"/>
        <item x="0"/>
        <item h="1" x="3"/>
        <item h="1" x="4"/>
      </items>
    </pivotField>
  </pivotFields>
  <rowFields count="16">
    <field x="0"/>
    <field x="17"/>
    <field x="18"/>
    <field x="4"/>
    <field x="3"/>
    <field x="22"/>
    <field x="11"/>
    <field x="21"/>
    <field x="23"/>
    <field x="14"/>
    <field x="20"/>
    <field x="24"/>
    <field x="25"/>
    <field x="33"/>
    <field x="34"/>
    <field x="35"/>
  </rowFields>
  <rowItems count="9">
    <i>
      <x v="48"/>
      <x v="118"/>
      <x v="104"/>
      <x v="1"/>
      <x v="132"/>
      <x v="138"/>
      <x v="173"/>
      <x v="4"/>
      <x v="115"/>
      <x v="43"/>
      <x v="153"/>
      <x v="6"/>
      <x v="231"/>
      <x v="71"/>
      <x v="1"/>
      <x v="3"/>
    </i>
    <i r="1">
      <x v="121"/>
      <x v="107"/>
      <x v="1"/>
      <x v="135"/>
      <x v="140"/>
      <x v="176"/>
      <x v="4"/>
      <x v="119"/>
      <x v="95"/>
      <x v="156"/>
      <x v="1"/>
      <x v="235"/>
      <x v="65"/>
      <x v="2"/>
      <x v="3"/>
    </i>
    <i>
      <x v="49"/>
      <x v="119"/>
      <x v="105"/>
      <x v="4"/>
      <x v="133"/>
      <x v="137"/>
      <x v="174"/>
      <x v="4"/>
      <x v="116"/>
      <x v="92"/>
      <x v="154"/>
      <x v="20"/>
      <x v="232"/>
      <x v="69"/>
      <x v="1"/>
      <x v="3"/>
    </i>
    <i>
      <x v="50"/>
      <x v="120"/>
      <x v="106"/>
      <x v="3"/>
      <x v="134"/>
      <x v="139"/>
      <x v="175"/>
      <x v="4"/>
      <x v="117"/>
      <x v="93"/>
      <x v="155"/>
      <x v="11"/>
      <x v="233"/>
      <x v="70"/>
      <x v="1"/>
      <x v="3"/>
    </i>
    <i>
      <x v="51"/>
      <x v="122"/>
      <x v="108"/>
      <x v="3"/>
      <x v="136"/>
      <x v="141"/>
      <x v="177"/>
      <x v="4"/>
      <x v="120"/>
      <x v="96"/>
      <x v="157"/>
      <x v="14"/>
      <x v="236"/>
      <x v="66"/>
      <x v="1"/>
      <x v="3"/>
    </i>
    <i>
      <x v="52"/>
      <x v="123"/>
      <x v="109"/>
      <x v="3"/>
      <x v="137"/>
      <x v="142"/>
      <x v="178"/>
      <x v="6"/>
      <x v="121"/>
      <x v="97"/>
      <x v="158"/>
      <x v="20"/>
      <x v="237"/>
      <x v="67"/>
      <x v="1"/>
      <x v="3"/>
    </i>
    <i>
      <x v="53"/>
      <x v="124"/>
      <x v="110"/>
      <x v="3"/>
      <x v="138"/>
      <x v="143"/>
      <x v="179"/>
      <x v="4"/>
      <x v="122"/>
      <x v="98"/>
      <x v="159"/>
      <x v="20"/>
      <x v="238"/>
      <x v="68"/>
      <x v="1"/>
      <x v="3"/>
    </i>
    <i>
      <x v="54"/>
      <x v="125"/>
      <x v="111"/>
      <x v="4"/>
      <x v="139"/>
      <x v="137"/>
      <x v="180"/>
      <x v="4"/>
      <x v="116"/>
      <x v="99"/>
      <x v="160"/>
      <x v="20"/>
      <x v="239"/>
      <x v="69"/>
      <x v="1"/>
      <x v="3"/>
    </i>
    <i r="1">
      <x v="126"/>
      <x v="112"/>
      <x v="4"/>
      <x v="140"/>
      <x v="137"/>
      <x v="181"/>
      <x v="4"/>
      <x v="116"/>
      <x v="99"/>
      <x v="161"/>
      <x v="20"/>
      <x v="240"/>
      <x v="69"/>
      <x v="1"/>
      <x v="3"/>
    </i>
  </rowItems>
  <colItems count="1">
    <i/>
  </colItems>
  <pageFields count="2">
    <pageField fld="15" hier="-1"/>
    <pageField fld="28" hier="-1"/>
  </pageFields>
  <dataFields count="1">
    <dataField name="Soma de VALOR CONTRATO" fld="26" baseField="0" baseItem="0"/>
  </dataFields>
  <formats count="162">
    <format dxfId="883">
      <pivotArea outline="0" collapsedLevelsAreSubtotals="1" fieldPosition="0"/>
    </format>
    <format dxfId="882">
      <pivotArea outline="0" collapsedLevelsAreSubtotals="1" fieldPosition="0"/>
    </format>
    <format dxfId="881">
      <pivotArea outline="0" collapsedLevelsAreSubtotals="1" fieldPosition="0"/>
    </format>
    <format dxfId="880">
      <pivotArea outline="0" collapsedLevelsAreSubtotals="1" fieldPosition="0"/>
    </format>
    <format dxfId="879">
      <pivotArea field="11" type="button" dataOnly="0" labelOnly="1" outline="0" axis="axisRow" fieldPosition="6"/>
    </format>
    <format dxfId="878">
      <pivotArea field="20" type="button" dataOnly="0" labelOnly="1" outline="0" axis="axisRow" fieldPosition="10"/>
    </format>
    <format dxfId="877">
      <pivotArea field="22" type="button" dataOnly="0" labelOnly="1" outline="0" axis="axisRow" fieldPosition="5"/>
    </format>
    <format dxfId="876">
      <pivotArea dataOnly="0" labelOnly="1" outline="0" axis="axisValues" fieldPosition="0"/>
    </format>
    <format dxfId="875">
      <pivotArea dataOnly="0" labelOnly="1" outline="0" axis="axisValues" fieldPosition="0"/>
    </format>
    <format dxfId="874">
      <pivotArea outline="0" collapsedLevelsAreSubtotals="1" fieldPosition="0"/>
    </format>
    <format dxfId="873">
      <pivotArea field="11" type="button" dataOnly="0" labelOnly="1" outline="0" axis="axisRow" fieldPosition="6"/>
    </format>
    <format dxfId="872">
      <pivotArea field="20" type="button" dataOnly="0" labelOnly="1" outline="0" axis="axisRow" fieldPosition="10"/>
    </format>
    <format dxfId="871">
      <pivotArea field="22" type="button" dataOnly="0" labelOnly="1" outline="0" axis="axisRow" fieldPosition="5"/>
    </format>
    <format dxfId="870">
      <pivotArea dataOnly="0" labelOnly="1" outline="0" axis="axisValues" fieldPosition="0"/>
    </format>
    <format dxfId="869">
      <pivotArea dataOnly="0" labelOnly="1" outline="0" axis="axisValues" fieldPosition="0"/>
    </format>
    <format dxfId="868">
      <pivotArea outline="0" collapsedLevelsAreSubtotals="1" fieldPosition="0"/>
    </format>
    <format dxfId="867">
      <pivotArea outline="0" collapsedLevelsAreSubtotals="1" fieldPosition="0"/>
    </format>
    <format dxfId="866">
      <pivotArea field="11" type="button" dataOnly="0" labelOnly="1" outline="0" axis="axisRow" fieldPosition="6"/>
    </format>
    <format dxfId="865">
      <pivotArea field="14" type="button" dataOnly="0" labelOnly="1" outline="0" axis="axisRow" fieldPosition="9"/>
    </format>
    <format dxfId="864">
      <pivotArea field="20" type="button" dataOnly="0" labelOnly="1" outline="0" axis="axisRow" fieldPosition="10"/>
    </format>
    <format dxfId="863">
      <pivotArea field="22" type="button" dataOnly="0" labelOnly="1" outline="0" axis="axisRow" fieldPosition="5"/>
    </format>
    <format dxfId="862">
      <pivotArea dataOnly="0" labelOnly="1" outline="0" axis="axisValues" fieldPosition="0"/>
    </format>
    <format dxfId="861">
      <pivotArea dataOnly="0" labelOnly="1" outline="0" axis="axisValues" fieldPosition="0"/>
    </format>
    <format dxfId="860">
      <pivotArea field="11" type="button" dataOnly="0" labelOnly="1" outline="0" axis="axisRow" fieldPosition="6"/>
    </format>
    <format dxfId="859">
      <pivotArea field="14" type="button" dataOnly="0" labelOnly="1" outline="0" axis="axisRow" fieldPosition="9"/>
    </format>
    <format dxfId="858">
      <pivotArea field="20" type="button" dataOnly="0" labelOnly="1" outline="0" axis="axisRow" fieldPosition="10"/>
    </format>
    <format dxfId="857">
      <pivotArea field="22" type="button" dataOnly="0" labelOnly="1" outline="0" axis="axisRow" fieldPosition="5"/>
    </format>
    <format dxfId="856">
      <pivotArea dataOnly="0" labelOnly="1" outline="0" axis="axisValues" fieldPosition="0"/>
    </format>
    <format dxfId="855">
      <pivotArea dataOnly="0" labelOnly="1" outline="0" axis="axisValues" fieldPosition="0"/>
    </format>
    <format dxfId="854">
      <pivotArea field="11" type="button" dataOnly="0" labelOnly="1" outline="0" axis="axisRow" fieldPosition="6"/>
    </format>
    <format dxfId="853">
      <pivotArea field="14" type="button" dataOnly="0" labelOnly="1" outline="0" axis="axisRow" fieldPosition="9"/>
    </format>
    <format dxfId="852">
      <pivotArea field="20" type="button" dataOnly="0" labelOnly="1" outline="0" axis="axisRow" fieldPosition="10"/>
    </format>
    <format dxfId="851">
      <pivotArea field="22" type="button" dataOnly="0" labelOnly="1" outline="0" axis="axisRow" fieldPosition="5"/>
    </format>
    <format dxfId="850">
      <pivotArea dataOnly="0" labelOnly="1" outline="0" axis="axisValues" fieldPosition="0"/>
    </format>
    <format dxfId="849">
      <pivotArea dataOnly="0" labelOnly="1" outline="0" axis="axisValues" fieldPosition="0"/>
    </format>
    <format dxfId="848">
      <pivotArea dataOnly="0" labelOnly="1" outline="0" axis="axisValues" fieldPosition="0"/>
    </format>
    <format dxfId="847">
      <pivotArea dataOnly="0" labelOnly="1" outline="0" axis="axisValues" fieldPosition="0"/>
    </format>
    <format dxfId="846">
      <pivotArea dataOnly="0" labelOnly="1" outline="0" axis="axisValues" fieldPosition="0"/>
    </format>
    <format dxfId="845">
      <pivotArea dataOnly="0" labelOnly="1" outline="0" axis="axisValues" fieldPosition="0"/>
    </format>
    <format dxfId="844">
      <pivotArea field="11" type="button" dataOnly="0" labelOnly="1" outline="0" axis="axisRow" fieldPosition="6"/>
    </format>
    <format dxfId="843">
      <pivotArea field="14" type="button" dataOnly="0" labelOnly="1" outline="0" axis="axisRow" fieldPosition="9"/>
    </format>
    <format dxfId="842">
      <pivotArea field="20" type="button" dataOnly="0" labelOnly="1" outline="0" axis="axisRow" fieldPosition="10"/>
    </format>
    <format dxfId="841">
      <pivotArea field="22" type="button" dataOnly="0" labelOnly="1" outline="0" axis="axisRow" fieldPosition="5"/>
    </format>
    <format dxfId="840">
      <pivotArea dataOnly="0" labelOnly="1" outline="0" axis="axisValues" fieldPosition="0"/>
    </format>
    <format dxfId="839">
      <pivotArea dataOnly="0" labelOnly="1" outline="0" axis="axisValues" fieldPosition="0"/>
    </format>
    <format dxfId="838">
      <pivotArea field="11" type="button" dataOnly="0" labelOnly="1" outline="0" axis="axisRow" fieldPosition="6"/>
    </format>
    <format dxfId="837">
      <pivotArea field="14" type="button" dataOnly="0" labelOnly="1" outline="0" axis="axisRow" fieldPosition="9"/>
    </format>
    <format dxfId="836">
      <pivotArea field="20" type="button" dataOnly="0" labelOnly="1" outline="0" axis="axisRow" fieldPosition="10"/>
    </format>
    <format dxfId="835">
      <pivotArea field="22" type="button" dataOnly="0" labelOnly="1" outline="0" axis="axisRow" fieldPosition="5"/>
    </format>
    <format dxfId="834">
      <pivotArea dataOnly="0" labelOnly="1" outline="0" axis="axisValues" fieldPosition="0"/>
    </format>
    <format dxfId="833">
      <pivotArea dataOnly="0" labelOnly="1" outline="0" axis="axisValues" fieldPosition="0"/>
    </format>
    <format dxfId="832">
      <pivotArea field="11" type="button" dataOnly="0" labelOnly="1" outline="0" axis="axisRow" fieldPosition="6"/>
    </format>
    <format dxfId="831">
      <pivotArea field="14" type="button" dataOnly="0" labelOnly="1" outline="0" axis="axisRow" fieldPosition="9"/>
    </format>
    <format dxfId="830">
      <pivotArea field="20" type="button" dataOnly="0" labelOnly="1" outline="0" axis="axisRow" fieldPosition="10"/>
    </format>
    <format dxfId="829">
      <pivotArea field="22" type="button" dataOnly="0" labelOnly="1" outline="0" axis="axisRow" fieldPosition="5"/>
    </format>
    <format dxfId="828">
      <pivotArea dataOnly="0" labelOnly="1" outline="0" axis="axisValues" fieldPosition="0"/>
    </format>
    <format dxfId="827">
      <pivotArea dataOnly="0" labelOnly="1" outline="0" axis="axisValues" fieldPosition="0"/>
    </format>
    <format dxfId="826">
      <pivotArea field="11" type="button" dataOnly="0" labelOnly="1" outline="0" axis="axisRow" fieldPosition="6"/>
    </format>
    <format dxfId="825">
      <pivotArea field="14" type="button" dataOnly="0" labelOnly="1" outline="0" axis="axisRow" fieldPosition="9"/>
    </format>
    <format dxfId="824">
      <pivotArea field="20" type="button" dataOnly="0" labelOnly="1" outline="0" axis="axisRow" fieldPosition="10"/>
    </format>
    <format dxfId="823">
      <pivotArea field="22" type="button" dataOnly="0" labelOnly="1" outline="0" axis="axisRow" fieldPosition="5"/>
    </format>
    <format dxfId="822">
      <pivotArea dataOnly="0" labelOnly="1" outline="0" axis="axisValues" fieldPosition="0"/>
    </format>
    <format dxfId="821">
      <pivotArea dataOnly="0" labelOnly="1" outline="0" axis="axisValues" fieldPosition="0"/>
    </format>
    <format dxfId="820">
      <pivotArea field="25" type="button" dataOnly="0" labelOnly="1" outline="0" axis="axisRow" fieldPosition="12"/>
    </format>
    <format dxfId="819">
      <pivotArea field="11" type="button" dataOnly="0" labelOnly="1" outline="0" axis="axisRow" fieldPosition="6"/>
    </format>
    <format dxfId="818">
      <pivotArea field="14" type="button" dataOnly="0" labelOnly="1" outline="0" axis="axisRow" fieldPosition="9"/>
    </format>
    <format dxfId="817">
      <pivotArea field="20" type="button" dataOnly="0" labelOnly="1" outline="0" axis="axisRow" fieldPosition="10"/>
    </format>
    <format dxfId="816">
      <pivotArea field="22" type="button" dataOnly="0" labelOnly="1" outline="0" axis="axisRow" fieldPosition="5"/>
    </format>
    <format dxfId="815">
      <pivotArea field="24" type="button" dataOnly="0" labelOnly="1" outline="0" axis="axisRow" fieldPosition="11"/>
    </format>
    <format dxfId="814">
      <pivotArea field="25" type="button" dataOnly="0" labelOnly="1" outline="0" axis="axisRow" fieldPosition="12"/>
    </format>
    <format dxfId="813">
      <pivotArea dataOnly="0" labelOnly="1" outline="0" axis="axisValues" fieldPosition="0"/>
    </format>
    <format dxfId="812">
      <pivotArea dataOnly="0" labelOnly="1" outline="0" axis="axisValues" fieldPosition="0"/>
    </format>
    <format dxfId="811">
      <pivotArea field="11" type="button" dataOnly="0" labelOnly="1" outline="0" axis="axisRow" fieldPosition="6"/>
    </format>
    <format dxfId="810">
      <pivotArea field="14" type="button" dataOnly="0" labelOnly="1" outline="0" axis="axisRow" fieldPosition="9"/>
    </format>
    <format dxfId="809">
      <pivotArea field="20" type="button" dataOnly="0" labelOnly="1" outline="0" axis="axisRow" fieldPosition="10"/>
    </format>
    <format dxfId="808">
      <pivotArea field="22" type="button" dataOnly="0" labelOnly="1" outline="0" axis="axisRow" fieldPosition="5"/>
    </format>
    <format dxfId="807">
      <pivotArea field="24" type="button" dataOnly="0" labelOnly="1" outline="0" axis="axisRow" fieldPosition="11"/>
    </format>
    <format dxfId="806">
      <pivotArea field="25" type="button" dataOnly="0" labelOnly="1" outline="0" axis="axisRow" fieldPosition="12"/>
    </format>
    <format dxfId="805">
      <pivotArea dataOnly="0" labelOnly="1" outline="0" axis="axisValues" fieldPosition="0"/>
    </format>
    <format dxfId="804">
      <pivotArea dataOnly="0" labelOnly="1" outline="0" axis="axisValues" fieldPosition="0"/>
    </format>
    <format dxfId="803">
      <pivotArea field="11" type="button" dataOnly="0" labelOnly="1" outline="0" axis="axisRow" fieldPosition="6"/>
    </format>
    <format dxfId="802">
      <pivotArea field="14" type="button" dataOnly="0" labelOnly="1" outline="0" axis="axisRow" fieldPosition="9"/>
    </format>
    <format dxfId="801">
      <pivotArea field="20" type="button" dataOnly="0" labelOnly="1" outline="0" axis="axisRow" fieldPosition="10"/>
    </format>
    <format dxfId="800">
      <pivotArea field="22" type="button" dataOnly="0" labelOnly="1" outline="0" axis="axisRow" fieldPosition="5"/>
    </format>
    <format dxfId="799">
      <pivotArea field="24" type="button" dataOnly="0" labelOnly="1" outline="0" axis="axisRow" fieldPosition="11"/>
    </format>
    <format dxfId="798">
      <pivotArea field="25" type="button" dataOnly="0" labelOnly="1" outline="0" axis="axisRow" fieldPosition="12"/>
    </format>
    <format dxfId="797">
      <pivotArea dataOnly="0" labelOnly="1" outline="0" axis="axisValues" fieldPosition="0"/>
    </format>
    <format dxfId="796">
      <pivotArea dataOnly="0" labelOnly="1" outline="0" axis="axisValues" fieldPosition="0"/>
    </format>
    <format dxfId="795">
      <pivotArea field="11" type="button" dataOnly="0" labelOnly="1" outline="0" axis="axisRow" fieldPosition="6"/>
    </format>
    <format dxfId="794">
      <pivotArea field="14" type="button" dataOnly="0" labelOnly="1" outline="0" axis="axisRow" fieldPosition="9"/>
    </format>
    <format dxfId="793">
      <pivotArea field="20" type="button" dataOnly="0" labelOnly="1" outline="0" axis="axisRow" fieldPosition="10"/>
    </format>
    <format dxfId="792">
      <pivotArea field="22" type="button" dataOnly="0" labelOnly="1" outline="0" axis="axisRow" fieldPosition="5"/>
    </format>
    <format dxfId="791">
      <pivotArea field="24" type="button" dataOnly="0" labelOnly="1" outline="0" axis="axisRow" fieldPosition="11"/>
    </format>
    <format dxfId="790">
      <pivotArea field="25" type="button" dataOnly="0" labelOnly="1" outline="0" axis="axisRow" fieldPosition="12"/>
    </format>
    <format dxfId="789">
      <pivotArea dataOnly="0" labelOnly="1" outline="0" axis="axisValues" fieldPosition="0"/>
    </format>
    <format dxfId="788">
      <pivotArea dataOnly="0" labelOnly="1" outline="0" axis="axisValues" fieldPosition="0"/>
    </format>
    <format dxfId="787">
      <pivotArea field="11" type="button" dataOnly="0" labelOnly="1" outline="0" axis="axisRow" fieldPosition="6"/>
    </format>
    <format dxfId="786">
      <pivotArea field="14" type="button" dataOnly="0" labelOnly="1" outline="0" axis="axisRow" fieldPosition="9"/>
    </format>
    <format dxfId="785">
      <pivotArea field="20" type="button" dataOnly="0" labelOnly="1" outline="0" axis="axisRow" fieldPosition="10"/>
    </format>
    <format dxfId="784">
      <pivotArea field="22" type="button" dataOnly="0" labelOnly="1" outline="0" axis="axisRow" fieldPosition="5"/>
    </format>
    <format dxfId="783">
      <pivotArea field="24" type="button" dataOnly="0" labelOnly="1" outline="0" axis="axisRow" fieldPosition="11"/>
    </format>
    <format dxfId="782">
      <pivotArea field="25" type="button" dataOnly="0" labelOnly="1" outline="0" axis="axisRow" fieldPosition="12"/>
    </format>
    <format dxfId="781">
      <pivotArea dataOnly="0" labelOnly="1" outline="0" axis="axisValues" fieldPosition="0"/>
    </format>
    <format dxfId="780">
      <pivotArea dataOnly="0" labelOnly="1" outline="0" axis="axisValues" fieldPosition="0"/>
    </format>
    <format dxfId="779">
      <pivotArea field="14" type="button" dataOnly="0" labelOnly="1" outline="0" axis="axisRow" fieldPosition="9"/>
    </format>
    <format dxfId="778">
      <pivotArea field="20" type="button" dataOnly="0" labelOnly="1" outline="0" axis="axisRow" fieldPosition="10"/>
    </format>
    <format dxfId="777">
      <pivotArea field="22" type="button" dataOnly="0" labelOnly="1" outline="0" axis="axisRow" fieldPosition="5"/>
    </format>
    <format dxfId="776">
      <pivotArea field="24" type="button" dataOnly="0" labelOnly="1" outline="0" axis="axisRow" fieldPosition="11"/>
    </format>
    <format dxfId="775">
      <pivotArea field="25" type="button" dataOnly="0" labelOnly="1" outline="0" axis="axisRow" fieldPosition="12"/>
    </format>
    <format dxfId="774">
      <pivotArea dataOnly="0" labelOnly="1" outline="0" axis="axisValues" fieldPosition="0"/>
    </format>
    <format dxfId="773">
      <pivotArea dataOnly="0" labelOnly="1" outline="0" axis="axisValues" fieldPosition="0"/>
    </format>
    <format dxfId="772">
      <pivotArea dataOnly="0" labelOnly="1" outline="0" fieldPosition="0">
        <references count="1">
          <reference field="0" count="2">
            <x v="1"/>
            <x v="2"/>
          </reference>
        </references>
      </pivotArea>
    </format>
    <format dxfId="771">
      <pivotArea outline="0" fieldPosition="0">
        <references count="1">
          <reference field="0" count="2" selected="0">
            <x v="1"/>
            <x v="2"/>
          </reference>
        </references>
      </pivotArea>
    </format>
    <format dxfId="770">
      <pivotArea dataOnly="0" labelOnly="1" outline="0" fieldPosition="0">
        <references count="1">
          <reference field="0" count="2">
            <x v="1"/>
            <x v="2"/>
          </reference>
        </references>
      </pivotArea>
    </format>
    <format dxfId="769">
      <pivotArea dataOnly="0" labelOnly="1" outline="0" fieldPosition="0">
        <references count="1">
          <reference field="0" count="2">
            <x v="1"/>
            <x v="2"/>
          </reference>
        </references>
      </pivotArea>
    </format>
    <format dxfId="768">
      <pivotArea outline="0" collapsedLevelsAreSubtotals="1" fieldPosition="0"/>
    </format>
    <format dxfId="767">
      <pivotArea dataOnly="0" labelOnly="1" outline="0" axis="axisValues" fieldPosition="0"/>
    </format>
    <format dxfId="766">
      <pivotArea outline="0" collapsedLevelsAreSubtotals="1" fieldPosition="0"/>
    </format>
    <format dxfId="765">
      <pivotArea field="0" type="button" dataOnly="0" labelOnly="1" outline="0" axis="axisRow" fieldPosition="0"/>
    </format>
    <format dxfId="764">
      <pivotArea field="11" type="button" dataOnly="0" labelOnly="1" outline="0" axis="axisRow" fieldPosition="6"/>
    </format>
    <format dxfId="763">
      <pivotArea field="14" type="button" dataOnly="0" labelOnly="1" outline="0" axis="axisRow" fieldPosition="9"/>
    </format>
    <format dxfId="762">
      <pivotArea field="21" type="button" dataOnly="0" labelOnly="1" outline="0" axis="axisRow" fieldPosition="7"/>
    </format>
    <format dxfId="761">
      <pivotArea field="20" type="button" dataOnly="0" labelOnly="1" outline="0" axis="axisRow" fieldPosition="10"/>
    </format>
    <format dxfId="760">
      <pivotArea field="22" type="button" dataOnly="0" labelOnly="1" outline="0" axis="axisRow" fieldPosition="5"/>
    </format>
    <format dxfId="759">
      <pivotArea field="33" type="button" dataOnly="0" labelOnly="1" outline="0" axis="axisRow" fieldPosition="13"/>
    </format>
    <format dxfId="758">
      <pivotArea field="34" type="button" dataOnly="0" labelOnly="1" outline="0" axis="axisRow" fieldPosition="14"/>
    </format>
    <format dxfId="757">
      <pivotArea field="24" type="button" dataOnly="0" labelOnly="1" outline="0" axis="axisRow" fieldPosition="11"/>
    </format>
    <format dxfId="756">
      <pivotArea field="25" type="button" dataOnly="0" labelOnly="1" outline="0" axis="axisRow" fieldPosition="12"/>
    </format>
    <format dxfId="755">
      <pivotArea dataOnly="0" labelOnly="1" outline="0" axis="axisValues" fieldPosition="0"/>
    </format>
    <format dxfId="754">
      <pivotArea field="0" type="button" dataOnly="0" labelOnly="1" outline="0" axis="axisRow" fieldPosition="0"/>
    </format>
    <format dxfId="753">
      <pivotArea field="11" type="button" dataOnly="0" labelOnly="1" outline="0" axis="axisRow" fieldPosition="6"/>
    </format>
    <format dxfId="752">
      <pivotArea field="14" type="button" dataOnly="0" labelOnly="1" outline="0" axis="axisRow" fieldPosition="9"/>
    </format>
    <format dxfId="751">
      <pivotArea field="21" type="button" dataOnly="0" labelOnly="1" outline="0" axis="axisRow" fieldPosition="7"/>
    </format>
    <format dxfId="750">
      <pivotArea field="20" type="button" dataOnly="0" labelOnly="1" outline="0" axis="axisRow" fieldPosition="10"/>
    </format>
    <format dxfId="749">
      <pivotArea field="22" type="button" dataOnly="0" labelOnly="1" outline="0" axis="axisRow" fieldPosition="5"/>
    </format>
    <format dxfId="748">
      <pivotArea field="33" type="button" dataOnly="0" labelOnly="1" outline="0" axis="axisRow" fieldPosition="13"/>
    </format>
    <format dxfId="747">
      <pivotArea field="34" type="button" dataOnly="0" labelOnly="1" outline="0" axis="axisRow" fieldPosition="14"/>
    </format>
    <format dxfId="746">
      <pivotArea field="24" type="button" dataOnly="0" labelOnly="1" outline="0" axis="axisRow" fieldPosition="11"/>
    </format>
    <format dxfId="745">
      <pivotArea field="25" type="button" dataOnly="0" labelOnly="1" outline="0" axis="axisRow" fieldPosition="12"/>
    </format>
    <format dxfId="744">
      <pivotArea dataOnly="0" labelOnly="1" outline="0" axis="axisValues" fieldPosition="0"/>
    </format>
    <format dxfId="743">
      <pivotArea field="35" type="button" dataOnly="0" labelOnly="1" outline="0" axis="axisRow" fieldPosition="15"/>
    </format>
    <format dxfId="742">
      <pivotArea field="24" type="button" dataOnly="0" labelOnly="1" outline="0" axis="axisRow" fieldPosition="11"/>
    </format>
    <format dxfId="741">
      <pivotArea field="25" type="button" dataOnly="0" labelOnly="1" outline="0" axis="axisRow" fieldPosition="12"/>
    </format>
    <format dxfId="740">
      <pivotArea dataOnly="0" labelOnly="1" outline="0" fieldPosition="0">
        <references count="1">
          <reference field="0" count="2">
            <x v="1"/>
            <x v="2"/>
          </reference>
        </references>
      </pivotArea>
    </format>
    <format dxfId="739">
      <pivotArea field="33" type="button" dataOnly="0" labelOnly="1" outline="0" axis="axisRow" fieldPosition="13"/>
    </format>
    <format dxfId="738">
      <pivotArea field="34" type="button" dataOnly="0" labelOnly="1" outline="0" axis="axisRow" fieldPosition="14"/>
    </format>
    <format dxfId="737">
      <pivotArea field="35" type="button" dataOnly="0" labelOnly="1" outline="0" axis="axisRow" fieldPosition="15"/>
    </format>
    <format dxfId="736">
      <pivotArea outline="0" fieldPosition="0">
        <references count="1">
          <reference field="0" count="3" selected="0">
            <x v="3"/>
            <x v="4"/>
            <x v="5"/>
          </reference>
        </references>
      </pivotArea>
    </format>
    <format dxfId="735">
      <pivotArea dataOnly="0" labelOnly="1" outline="0" fieldPosition="0">
        <references count="1">
          <reference field="0" count="3">
            <x v="3"/>
            <x v="4"/>
            <x v="5"/>
          </reference>
        </references>
      </pivotArea>
    </format>
    <format dxfId="734">
      <pivotArea field="0" type="button" dataOnly="0" labelOnly="1" outline="0" axis="axisRow" fieldPosition="0"/>
    </format>
    <format dxfId="733">
      <pivotArea dataOnly="0" labelOnly="1" outline="0" fieldPosition="0">
        <references count="1">
          <reference field="0" count="5">
            <x v="1"/>
            <x v="2"/>
            <x v="3"/>
            <x v="4"/>
            <x v="5"/>
          </reference>
        </references>
      </pivotArea>
    </format>
    <format dxfId="732">
      <pivotArea dataOnly="0" labelOnly="1" outline="0" fieldPosition="0">
        <references count="8">
          <reference field="0" count="1" selected="0">
            <x v="13"/>
          </reference>
          <reference field="11" count="1" selected="0">
            <x v="122"/>
          </reference>
          <reference field="14" count="1" selected="0">
            <x v="59"/>
          </reference>
          <reference field="20" count="1" selected="0">
            <x v="106"/>
          </reference>
          <reference field="21" count="1" selected="0">
            <x v="4"/>
          </reference>
          <reference field="22" count="1" selected="0">
            <x v="95"/>
          </reference>
          <reference field="24" count="1" selected="0">
            <x v="16"/>
          </reference>
          <reference field="25" count="1">
            <x v="229"/>
          </reference>
        </references>
      </pivotArea>
    </format>
    <format dxfId="731">
      <pivotArea dataOnly="0" labelOnly="1" outline="0" fieldPosition="0">
        <references count="13">
          <reference field="0" count="1" selected="0">
            <x v="47"/>
          </reference>
          <reference field="3" count="1" selected="0">
            <x v="81"/>
          </reference>
          <reference field="4" count="1" selected="0">
            <x v="2"/>
          </reference>
          <reference field="11" count="1" selected="0">
            <x v="171"/>
          </reference>
          <reference field="14" count="1" selected="0">
            <x v="91"/>
          </reference>
          <reference field="17" count="1" selected="0">
            <x v="116"/>
          </reference>
          <reference field="18" count="1" selected="0">
            <x v="83"/>
          </reference>
          <reference field="20" count="1" selected="0">
            <x v="152"/>
          </reference>
          <reference field="21" count="1" selected="0">
            <x v="6"/>
          </reference>
          <reference field="22" count="1" selected="0">
            <x v="135"/>
          </reference>
          <reference field="23" count="1" selected="0">
            <x v="14"/>
          </reference>
          <reference field="24" count="1" selected="0">
            <x v="16"/>
          </reference>
          <reference field="25" count="1">
            <x v="228"/>
          </reference>
        </references>
      </pivotArea>
    </format>
    <format dxfId="730">
      <pivotArea dataOnly="0" labelOnly="1" outline="0" fieldPosition="0">
        <references count="13">
          <reference field="0" count="1" selected="0">
            <x v="48"/>
          </reference>
          <reference field="3" count="1" selected="0">
            <x v="132"/>
          </reference>
          <reference field="4" count="1" selected="0">
            <x v="1"/>
          </reference>
          <reference field="11" count="1" selected="0">
            <x v="173"/>
          </reference>
          <reference field="14" count="1" selected="0">
            <x v="43"/>
          </reference>
          <reference field="17" count="1" selected="0">
            <x v="118"/>
          </reference>
          <reference field="18" count="1" selected="0">
            <x v="104"/>
          </reference>
          <reference field="20" count="1" selected="0">
            <x v="153"/>
          </reference>
          <reference field="21" count="1" selected="0">
            <x v="4"/>
          </reference>
          <reference field="22" count="1" selected="0">
            <x v="138"/>
          </reference>
          <reference field="23" count="1" selected="0">
            <x v="115"/>
          </reference>
          <reference field="24" count="1" selected="0">
            <x v="6"/>
          </reference>
          <reference field="25" count="1">
            <x v="231"/>
          </reference>
        </references>
      </pivotArea>
    </format>
    <format dxfId="729">
      <pivotArea dataOnly="0" labelOnly="1" outline="0" fieldPosition="0">
        <references count="13">
          <reference field="0" count="1" selected="0">
            <x v="48"/>
          </reference>
          <reference field="3" count="1" selected="0">
            <x v="135"/>
          </reference>
          <reference field="4" count="1" selected="0">
            <x v="1"/>
          </reference>
          <reference field="11" count="1" selected="0">
            <x v="176"/>
          </reference>
          <reference field="14" count="1" selected="0">
            <x v="95"/>
          </reference>
          <reference field="17" count="1" selected="0">
            <x v="121"/>
          </reference>
          <reference field="18" count="1" selected="0">
            <x v="107"/>
          </reference>
          <reference field="20" count="1" selected="0">
            <x v="156"/>
          </reference>
          <reference field="21" count="1" selected="0">
            <x v="4"/>
          </reference>
          <reference field="22" count="1" selected="0">
            <x v="140"/>
          </reference>
          <reference field="23" count="1" selected="0">
            <x v="119"/>
          </reference>
          <reference field="24" count="1" selected="0">
            <x v="1"/>
          </reference>
          <reference field="25" count="1">
            <x v="235"/>
          </reference>
        </references>
      </pivotArea>
    </format>
    <format dxfId="728">
      <pivotArea dataOnly="0" labelOnly="1" outline="0" fieldPosition="0">
        <references count="13">
          <reference field="0" count="1" selected="0">
            <x v="49"/>
          </reference>
          <reference field="3" count="1" selected="0">
            <x v="133"/>
          </reference>
          <reference field="4" count="1" selected="0">
            <x v="4"/>
          </reference>
          <reference field="11" count="1" selected="0">
            <x v="174"/>
          </reference>
          <reference field="14" count="1" selected="0">
            <x v="92"/>
          </reference>
          <reference field="17" count="1" selected="0">
            <x v="119"/>
          </reference>
          <reference field="18" count="1" selected="0">
            <x v="105"/>
          </reference>
          <reference field="20" count="1" selected="0">
            <x v="154"/>
          </reference>
          <reference field="21" count="1" selected="0">
            <x v="4"/>
          </reference>
          <reference field="22" count="1" selected="0">
            <x v="137"/>
          </reference>
          <reference field="23" count="1" selected="0">
            <x v="116"/>
          </reference>
          <reference field="24" count="1" selected="0">
            <x v="20"/>
          </reference>
          <reference field="25" count="1">
            <x v="232"/>
          </reference>
        </references>
      </pivotArea>
    </format>
    <format dxfId="727">
      <pivotArea dataOnly="0" labelOnly="1" outline="0" fieldPosition="0">
        <references count="13">
          <reference field="0" count="1" selected="0">
            <x v="50"/>
          </reference>
          <reference field="3" count="1" selected="0">
            <x v="134"/>
          </reference>
          <reference field="4" count="1" selected="0">
            <x v="3"/>
          </reference>
          <reference field="11" count="1" selected="0">
            <x v="175"/>
          </reference>
          <reference field="14" count="1" selected="0">
            <x v="93"/>
          </reference>
          <reference field="17" count="1" selected="0">
            <x v="120"/>
          </reference>
          <reference field="18" count="1" selected="0">
            <x v="106"/>
          </reference>
          <reference field="20" count="1" selected="0">
            <x v="155"/>
          </reference>
          <reference field="21" count="1" selected="0">
            <x v="4"/>
          </reference>
          <reference field="22" count="1" selected="0">
            <x v="139"/>
          </reference>
          <reference field="23" count="1" selected="0">
            <x v="117"/>
          </reference>
          <reference field="24" count="1" selected="0">
            <x v="11"/>
          </reference>
          <reference field="25" count="1">
            <x v="233"/>
          </reference>
        </references>
      </pivotArea>
    </format>
    <format dxfId="726">
      <pivotArea dataOnly="0" labelOnly="1" outline="0" fieldPosition="0">
        <references count="13">
          <reference field="0" count="1" selected="0">
            <x v="51"/>
          </reference>
          <reference field="3" count="1" selected="0">
            <x v="136"/>
          </reference>
          <reference field="4" count="1" selected="0">
            <x v="3"/>
          </reference>
          <reference field="11" count="1" selected="0">
            <x v="177"/>
          </reference>
          <reference field="14" count="1" selected="0">
            <x v="96"/>
          </reference>
          <reference field="17" count="1" selected="0">
            <x v="122"/>
          </reference>
          <reference field="18" count="1" selected="0">
            <x v="108"/>
          </reference>
          <reference field="20" count="1" selected="0">
            <x v="157"/>
          </reference>
          <reference field="21" count="1" selected="0">
            <x v="4"/>
          </reference>
          <reference field="22" count="1" selected="0">
            <x v="141"/>
          </reference>
          <reference field="23" count="1" selected="0">
            <x v="120"/>
          </reference>
          <reference field="24" count="1" selected="0">
            <x v="14"/>
          </reference>
          <reference field="25" count="1">
            <x v="236"/>
          </reference>
        </references>
      </pivotArea>
    </format>
    <format dxfId="725">
      <pivotArea dataOnly="0" labelOnly="1" outline="0" fieldPosition="0">
        <references count="13">
          <reference field="0" count="1" selected="0">
            <x v="52"/>
          </reference>
          <reference field="3" count="1" selected="0">
            <x v="137"/>
          </reference>
          <reference field="4" count="1" selected="0">
            <x v="3"/>
          </reference>
          <reference field="11" count="1" selected="0">
            <x v="178"/>
          </reference>
          <reference field="14" count="1" selected="0">
            <x v="97"/>
          </reference>
          <reference field="17" count="1" selected="0">
            <x v="123"/>
          </reference>
          <reference field="18" count="1" selected="0">
            <x v="109"/>
          </reference>
          <reference field="20" count="1" selected="0">
            <x v="158"/>
          </reference>
          <reference field="21" count="1" selected="0">
            <x v="6"/>
          </reference>
          <reference field="22" count="1" selected="0">
            <x v="142"/>
          </reference>
          <reference field="23" count="1" selected="0">
            <x v="121"/>
          </reference>
          <reference field="24" count="1" selected="0">
            <x v="20"/>
          </reference>
          <reference field="25" count="1">
            <x v="237"/>
          </reference>
        </references>
      </pivotArea>
    </format>
    <format dxfId="724">
      <pivotArea dataOnly="0" labelOnly="1" outline="0" fieldPosition="0">
        <references count="13">
          <reference field="0" count="1" selected="0">
            <x v="53"/>
          </reference>
          <reference field="3" count="1" selected="0">
            <x v="138"/>
          </reference>
          <reference field="4" count="1" selected="0">
            <x v="3"/>
          </reference>
          <reference field="11" count="1" selected="0">
            <x v="179"/>
          </reference>
          <reference field="14" count="1" selected="0">
            <x v="98"/>
          </reference>
          <reference field="17" count="1" selected="0">
            <x v="124"/>
          </reference>
          <reference field="18" count="1" selected="0">
            <x v="110"/>
          </reference>
          <reference field="20" count="1" selected="0">
            <x v="159"/>
          </reference>
          <reference field="21" count="1" selected="0">
            <x v="4"/>
          </reference>
          <reference field="22" count="1" selected="0">
            <x v="143"/>
          </reference>
          <reference field="23" count="1" selected="0">
            <x v="122"/>
          </reference>
          <reference field="24" count="1" selected="0">
            <x v="20"/>
          </reference>
          <reference field="25" count="1">
            <x v="238"/>
          </reference>
        </references>
      </pivotArea>
    </format>
    <format dxfId="723">
      <pivotArea dataOnly="0" labelOnly="1" outline="0" fieldPosition="0">
        <references count="13">
          <reference field="0" count="1" selected="0">
            <x v="54"/>
          </reference>
          <reference field="3" count="1" selected="0">
            <x v="139"/>
          </reference>
          <reference field="4" count="1" selected="0">
            <x v="4"/>
          </reference>
          <reference field="11" count="1" selected="0">
            <x v="180"/>
          </reference>
          <reference field="14" count="1" selected="0">
            <x v="99"/>
          </reference>
          <reference field="17" count="1" selected="0">
            <x v="125"/>
          </reference>
          <reference field="18" count="1" selected="0">
            <x v="111"/>
          </reference>
          <reference field="20" count="1" selected="0">
            <x v="160"/>
          </reference>
          <reference field="21" count="1" selected="0">
            <x v="4"/>
          </reference>
          <reference field="22" count="1" selected="0">
            <x v="137"/>
          </reference>
          <reference field="23" count="1" selected="0">
            <x v="116"/>
          </reference>
          <reference field="24" count="1" selected="0">
            <x v="20"/>
          </reference>
          <reference field="25" count="1">
            <x v="239"/>
          </reference>
        </references>
      </pivotArea>
    </format>
    <format dxfId="722">
      <pivotArea dataOnly="0" labelOnly="1" outline="0" fieldPosition="0">
        <references count="13">
          <reference field="0" count="1" selected="0">
            <x v="54"/>
          </reference>
          <reference field="3" count="1" selected="0">
            <x v="140"/>
          </reference>
          <reference field="4" count="1" selected="0">
            <x v="4"/>
          </reference>
          <reference field="11" count="1" selected="0">
            <x v="181"/>
          </reference>
          <reference field="14" count="1" selected="0">
            <x v="99"/>
          </reference>
          <reference field="17" count="1" selected="0">
            <x v="126"/>
          </reference>
          <reference field="18" count="1" selected="0">
            <x v="112"/>
          </reference>
          <reference field="20" count="1" selected="0">
            <x v="161"/>
          </reference>
          <reference field="21" count="1" selected="0">
            <x v="4"/>
          </reference>
          <reference field="22" count="1" selected="0">
            <x v="137"/>
          </reference>
          <reference field="23" count="1" selected="0">
            <x v="116"/>
          </reference>
          <reference field="24" count="1" selected="0">
            <x v="20"/>
          </reference>
          <reference field="25" count="1">
            <x v="240"/>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B00-00000A000000}" name="Tabela dinâmica5" cacheId="0" applyNumberFormats="0" applyBorderFormats="0" applyFontFormats="0" applyPatternFormats="0" applyAlignmentFormats="0" applyWidthHeightFormats="1" dataCaption="Valores" updatedVersion="8" minRefreshableVersion="3" rowGrandTotals="0" colGrandTotals="0" itemPrintTitles="1" createdVersion="6" indent="0" compact="0" compactData="0" multipleFieldFilters="0">
  <location ref="B8:M13" firstHeaderRow="1" firstDataRow="1" firstDataCol="11" rowPageCount="1" colPageCount="1"/>
  <pivotFields count="36">
    <pivotField compact="0" outline="0" showAll="0" defaultSubtotal="0"/>
    <pivotField compact="0" outline="0" showAll="0" defaultSubtotal="0"/>
    <pivotField compact="0" outline="0" showAll="0" defaultSubtotal="0"/>
    <pivotField axis="axisRow" compact="0" outline="0" showAll="0" defaultSubtotal="0">
      <items count="141">
        <item x="51"/>
        <item x="52"/>
        <item x="56"/>
        <item x="55"/>
        <item x="54"/>
        <item x="57"/>
        <item x="53"/>
        <item x="36"/>
        <item x="124"/>
        <item x="38"/>
        <item x="44"/>
        <item x="39"/>
        <item x="30"/>
        <item x="108"/>
        <item x="43"/>
        <item x="41"/>
        <item x="50"/>
        <item x="35"/>
        <item x="47"/>
        <item x="31"/>
        <item x="61"/>
        <item x="42"/>
        <item x="8"/>
        <item x="40"/>
        <item x="27"/>
        <item x="96"/>
        <item x="32"/>
        <item x="15"/>
        <item x="49"/>
        <item x="2"/>
        <item x="33"/>
        <item x="34"/>
        <item x="9"/>
        <item x="0"/>
        <item x="4"/>
        <item x="1"/>
        <item x="28"/>
        <item x="29"/>
        <item x="14"/>
        <item x="46"/>
        <item x="37"/>
        <item x="5"/>
        <item x="3"/>
        <item x="45"/>
        <item x="48"/>
        <item x="6"/>
        <item x="11"/>
        <item x="7"/>
        <item x="10"/>
        <item x="100"/>
        <item x="83"/>
        <item x="13"/>
        <item x="12"/>
        <item x="88"/>
        <item x="20"/>
        <item x="98"/>
        <item x="85"/>
        <item x="84"/>
        <item x="19"/>
        <item x="18"/>
        <item x="16"/>
        <item x="59"/>
        <item x="86"/>
        <item x="62"/>
        <item x="17"/>
        <item x="64"/>
        <item x="21"/>
        <item x="58"/>
        <item x="22"/>
        <item x="67"/>
        <item x="63"/>
        <item x="25"/>
        <item x="89"/>
        <item x="23"/>
        <item x="104"/>
        <item x="111"/>
        <item x="24"/>
        <item x="92"/>
        <item x="60"/>
        <item x="26"/>
        <item x="68"/>
        <item x="90"/>
        <item x="115"/>
        <item x="65"/>
        <item x="69"/>
        <item x="94"/>
        <item x="70"/>
        <item x="72"/>
        <item x="73"/>
        <item x="71"/>
        <item x="74"/>
        <item x="75"/>
        <item x="76"/>
        <item x="82"/>
        <item x="78"/>
        <item x="79"/>
        <item x="81"/>
        <item x="77"/>
        <item x="80"/>
        <item x="93"/>
        <item x="66"/>
        <item x="102"/>
        <item x="114"/>
        <item x="105"/>
        <item x="125"/>
        <item x="97"/>
        <item x="126"/>
        <item x="87"/>
        <item x="110"/>
        <item x="122"/>
        <item x="116"/>
        <item x="91"/>
        <item x="109"/>
        <item x="106"/>
        <item x="95"/>
        <item x="117"/>
        <item x="99"/>
        <item x="103"/>
        <item x="101"/>
        <item x="112"/>
        <item x="113"/>
        <item x="127"/>
        <item x="107"/>
        <item x="121"/>
        <item x="118"/>
        <item x="119"/>
        <item x="120"/>
        <item x="123"/>
        <item x="140"/>
        <item x="128"/>
        <item x="129"/>
        <item x="130"/>
        <item x="131"/>
        <item x="132"/>
        <item x="133"/>
        <item x="134"/>
        <item x="135"/>
        <item x="136"/>
        <item x="137"/>
        <item x="138"/>
        <item x="139"/>
      </items>
    </pivotField>
    <pivotField axis="axisRow" compact="0" outline="0" showAll="0" defaultSubtotal="0">
      <items count="6">
        <item x="3"/>
        <item x="1"/>
        <item x="0"/>
        <item x="2"/>
        <item x="4"/>
        <item x="5"/>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5">
        <item x="2"/>
        <item x="0"/>
        <item x="1"/>
        <item x="3"/>
        <item x="4"/>
      </items>
    </pivotField>
    <pivotField compact="0" outline="0" showAll="0" defaultSubtotal="0"/>
    <pivotField axis="axisRow" compact="0" outline="0" showAll="0" defaultSubtotal="0">
      <items count="185">
        <item m="1" x="175"/>
        <item x="0"/>
        <item x="1"/>
        <item x="2"/>
        <item x="3"/>
        <item x="4"/>
        <item x="5"/>
        <item x="6"/>
        <item x="7"/>
        <item x="8"/>
        <item x="9"/>
        <item x="10"/>
        <item x="11"/>
        <item m="1" x="165"/>
        <item m="1" x="177"/>
        <item x="31"/>
        <item x="34"/>
        <item x="35"/>
        <item x="36"/>
        <item x="155"/>
        <item x="33"/>
        <item x="37"/>
        <item x="38"/>
        <item x="40"/>
        <item x="41"/>
        <item x="43"/>
        <item x="44"/>
        <item x="46"/>
        <item x="42"/>
        <item x="14"/>
        <item x="15"/>
        <item x="45"/>
        <item x="47"/>
        <item x="49"/>
        <item x="48"/>
        <item m="1" x="162"/>
        <item x="32"/>
        <item x="50"/>
        <item m="1" x="183"/>
        <item x="51"/>
        <item x="53"/>
        <item x="18"/>
        <item x="19"/>
        <item x="13"/>
        <item x="16"/>
        <item x="20"/>
        <item x="54"/>
        <item x="22"/>
        <item x="25"/>
        <item x="21"/>
        <item x="24"/>
        <item x="23"/>
        <item x="26"/>
        <item x="12"/>
        <item x="17"/>
        <item x="55"/>
        <item x="56"/>
        <item x="57"/>
        <item x="58"/>
        <item x="59"/>
        <item x="60"/>
        <item x="61"/>
        <item x="62"/>
        <item x="27"/>
        <item x="28"/>
        <item x="63"/>
        <item x="29"/>
        <item x="30"/>
        <item m="1" x="180"/>
        <item m="1" x="181"/>
        <item m="1" x="182"/>
        <item m="1" x="166"/>
        <item m="1" x="167"/>
        <item m="1" x="168"/>
        <item m="1" x="170"/>
        <item m="1" x="171"/>
        <item m="1" x="172"/>
        <item m="1" x="173"/>
        <item m="1" x="174"/>
        <item m="1" x="176"/>
        <item m="1" x="163"/>
        <item x="64"/>
        <item sd="0" x="39"/>
        <item x="52"/>
        <item x="65"/>
        <item x="66"/>
        <item x="67"/>
        <item x="68"/>
        <item x="69"/>
        <item x="70"/>
        <item x="71"/>
        <item x="72"/>
        <item x="73"/>
        <item m="1" x="164"/>
        <item m="1" x="178"/>
        <item x="90"/>
        <item m="1" x="179"/>
        <item x="74"/>
        <item x="75"/>
        <item x="76"/>
        <item x="77"/>
        <item x="78"/>
        <item x="79"/>
        <item x="80"/>
        <item x="81"/>
        <item x="82"/>
        <item x="83"/>
        <item x="84"/>
        <item x="85"/>
        <item x="86"/>
        <item x="87"/>
        <item x="88"/>
        <item x="89"/>
        <item x="91"/>
        <item x="92"/>
        <item m="1" x="184"/>
        <item m="1" x="169"/>
        <item x="93"/>
        <item x="94"/>
        <item x="95"/>
        <item x="96"/>
        <item x="97"/>
        <item x="98"/>
        <item x="127"/>
        <item x="99"/>
        <item x="100"/>
        <item x="101"/>
        <item x="102"/>
        <item x="103"/>
        <item x="104"/>
        <item x="105"/>
        <item x="106"/>
        <item x="110"/>
        <item x="111"/>
        <item x="120"/>
        <item x="121"/>
        <item m="1" x="160"/>
        <item m="1" x="161"/>
        <item x="107"/>
        <item x="108"/>
        <item x="109"/>
        <item x="112"/>
        <item x="113"/>
        <item x="114"/>
        <item x="115"/>
        <item x="116"/>
        <item x="117"/>
        <item x="118"/>
        <item x="119"/>
        <item x="123"/>
        <item x="128"/>
        <item x="122"/>
        <item m="1" x="159"/>
        <item x="125"/>
        <item x="124"/>
        <item x="126"/>
        <item x="129"/>
        <item x="130"/>
        <item x="131"/>
        <item x="132"/>
        <item x="133"/>
        <item x="134"/>
        <item x="135"/>
        <item x="136"/>
        <item x="137"/>
        <item x="138"/>
        <item x="139"/>
        <item x="140"/>
        <item x="141"/>
        <item x="142"/>
        <item x="143"/>
        <item x="144"/>
        <item x="145"/>
        <item x="146"/>
        <item x="147"/>
        <item x="148"/>
        <item x="149"/>
        <item x="150"/>
        <item x="151"/>
        <item x="152"/>
        <item x="153"/>
        <item x="154"/>
        <item x="156"/>
        <item x="157"/>
        <item x="158"/>
      </items>
      <extLst>
        <ext xmlns:x14="http://schemas.microsoft.com/office/spreadsheetml/2009/9/main" uri="{2946ED86-A175-432a-8AC1-64E0C546D7DE}">
          <x14:pivotField fillDownLabels="1"/>
        </ext>
      </extLst>
    </pivotField>
    <pivotField compact="0" outline="0" showAll="0" defaultSubtotal="0"/>
    <pivotField axis="axisRow" compact="0" outline="0" showAll="0" defaultSubtotal="0">
      <items count="146">
        <item x="46"/>
        <item x="104"/>
        <item x="0"/>
        <item x="27"/>
        <item x="30"/>
        <item x="32"/>
        <item x="1"/>
        <item x="2"/>
        <item x="31"/>
        <item x="3"/>
        <item x="35"/>
        <item x="4"/>
        <item x="36"/>
        <item x="37"/>
        <item x="33"/>
        <item x="34"/>
        <item x="5"/>
        <item x="6"/>
        <item x="29"/>
        <item x="28"/>
        <item x="7"/>
        <item x="39"/>
        <item x="9"/>
        <item x="40"/>
        <item x="8"/>
        <item x="12"/>
        <item x="11"/>
        <item x="10"/>
        <item x="42"/>
        <item x="13"/>
        <item x="38"/>
        <item x="14"/>
        <item x="45"/>
        <item x="41"/>
        <item x="15"/>
        <item x="16"/>
        <item x="48"/>
        <item x="47"/>
        <item x="51"/>
        <item x="49"/>
        <item x="17"/>
        <item x="50"/>
        <item x="52"/>
        <item x="18"/>
        <item x="20"/>
        <item x="53"/>
        <item x="19"/>
        <item x="21"/>
        <item x="22"/>
        <item x="89"/>
        <item x="54"/>
        <item x="69"/>
        <item x="56"/>
        <item x="55"/>
        <item x="57"/>
        <item x="24"/>
        <item x="23"/>
        <item x="25"/>
        <item x="58"/>
        <item x="26"/>
        <item x="70"/>
        <item x="59"/>
        <item x="71"/>
        <item x="72"/>
        <item x="60"/>
        <item x="73"/>
        <item x="74"/>
        <item x="75"/>
        <item x="76"/>
        <item x="78"/>
        <item x="79"/>
        <item x="80"/>
        <item x="81"/>
        <item x="82"/>
        <item x="77"/>
        <item x="61"/>
        <item x="83"/>
        <item x="84"/>
        <item x="62"/>
        <item x="63"/>
        <item x="66"/>
        <item x="64"/>
        <item x="65"/>
        <item x="68"/>
        <item x="67"/>
        <item x="85"/>
        <item x="86"/>
        <item x="87"/>
        <item x="88"/>
        <item x="91"/>
        <item x="96"/>
        <item x="90"/>
        <item x="119"/>
        <item x="93"/>
        <item x="92"/>
        <item x="94"/>
        <item x="95"/>
        <item x="97"/>
        <item x="98"/>
        <item x="101"/>
        <item x="99"/>
        <item x="100"/>
        <item x="102"/>
        <item x="103"/>
        <item m="1" x="145"/>
        <item x="108"/>
        <item x="105"/>
        <item x="106"/>
        <item x="112"/>
        <item x="110"/>
        <item x="111"/>
        <item x="109"/>
        <item x="114"/>
        <item x="113"/>
        <item x="116"/>
        <item x="115"/>
        <item x="120"/>
        <item x="117"/>
        <item x="121"/>
        <item x="122"/>
        <item x="124"/>
        <item x="123"/>
        <item x="118"/>
        <item x="125"/>
        <item x="126"/>
        <item x="128"/>
        <item x="127"/>
        <item x="129"/>
        <item x="130"/>
        <item x="131"/>
        <item x="43"/>
        <item x="44"/>
        <item x="132"/>
        <item x="133"/>
        <item x="144"/>
        <item x="134"/>
        <item x="135"/>
        <item x="136"/>
        <item x="137"/>
        <item x="107"/>
        <item x="138"/>
        <item x="139"/>
        <item x="140"/>
        <item x="141"/>
        <item x="142"/>
        <item x="143"/>
      </items>
    </pivotField>
    <pivotField axis="axisRow" compact="0" outline="0" showAll="0" defaultSubtotal="0">
      <items count="100">
        <item x="1"/>
        <item x="27"/>
        <item x="29"/>
        <item x="34"/>
        <item x="21"/>
        <item x="26"/>
        <item x="5"/>
        <item x="6"/>
        <item x="30"/>
        <item x="3"/>
        <item x="10"/>
        <item x="32"/>
        <item x="28"/>
        <item x="4"/>
        <item x="31"/>
        <item x="20"/>
        <item x="8"/>
        <item x="13"/>
        <item x="23"/>
        <item x="22"/>
        <item x="33"/>
        <item x="2"/>
        <item x="24"/>
        <item x="25"/>
        <item x="0"/>
        <item x="7"/>
        <item x="93"/>
        <item m="1" x="97"/>
        <item x="35"/>
        <item x="12"/>
        <item x="9"/>
        <item x="36"/>
        <item x="38"/>
        <item x="37"/>
        <item x="14"/>
        <item x="15"/>
        <item x="11"/>
        <item x="16"/>
        <item x="39"/>
        <item x="40"/>
        <item x="41"/>
        <item x="42"/>
        <item x="43"/>
        <item x="44"/>
        <item x="45"/>
        <item x="17"/>
        <item x="46"/>
        <item x="18"/>
        <item x="19"/>
        <item x="47"/>
        <item m="1" x="95"/>
        <item x="48"/>
        <item x="49"/>
        <item x="50"/>
        <item m="1" x="98"/>
        <item x="51"/>
        <item x="52"/>
        <item m="1" x="99"/>
        <item x="53"/>
        <item x="54"/>
        <item x="55"/>
        <item x="56"/>
        <item x="57"/>
        <item x="58"/>
        <item x="60"/>
        <item x="59"/>
        <item x="61"/>
        <item x="62"/>
        <item x="63"/>
        <item x="64"/>
        <item x="65"/>
        <item m="1" x="96"/>
        <item x="66"/>
        <item m="1" x="94"/>
        <item x="68"/>
        <item x="69"/>
        <item x="70"/>
        <item x="71"/>
        <item x="72"/>
        <item x="73"/>
        <item x="76"/>
        <item x="77"/>
        <item x="75"/>
        <item x="78"/>
        <item x="79"/>
        <item x="80"/>
        <item x="74"/>
        <item x="81"/>
        <item x="82"/>
        <item x="83"/>
        <item x="84"/>
        <item x="85"/>
        <item x="86"/>
        <item x="87"/>
        <item x="67"/>
        <item x="88"/>
        <item x="89"/>
        <item x="90"/>
        <item x="91"/>
        <item x="92"/>
      </items>
    </pivotField>
    <pivotField compact="0" outline="0" multipleItemSelectionAllowed="1" showAll="0" defaultSubtotal="0"/>
    <pivotField axis="axisPage" compact="0" outline="0" multipleItemSelectionAllowed="1" showAll="0" defaultSubtotal="0">
      <items count="102">
        <item h="1" x="2"/>
        <item h="1" x="15"/>
        <item h="1" x="7"/>
        <item h="1" x="19"/>
        <item h="1" x="11"/>
        <item h="1" x="23"/>
        <item h="1" x="1"/>
        <item h="1" x="13"/>
        <item h="1" x="25"/>
        <item h="1" x="0"/>
        <item h="1" x="12"/>
        <item h="1" x="24"/>
        <item h="1" x="6"/>
        <item h="1" x="18"/>
        <item h="1" x="5"/>
        <item h="1" x="17"/>
        <item h="1" x="4"/>
        <item h="1" x="16"/>
        <item h="1" x="3"/>
        <item h="1" x="14"/>
        <item h="1" x="26"/>
        <item h="1" x="10"/>
        <item h="1" x="22"/>
        <item h="1" x="8"/>
        <item h="1" x="21"/>
        <item h="1" x="9"/>
        <item h="1" x="20"/>
        <item m="1" x="100"/>
        <item m="1" x="101"/>
        <item m="1" x="43"/>
        <item m="1" x="44"/>
        <item m="1" x="45"/>
        <item m="1" x="46"/>
        <item m="1" x="47"/>
        <item m="1" x="48"/>
        <item m="1" x="52"/>
        <item m="1" x="53"/>
        <item m="1" x="49"/>
        <item m="1" x="72"/>
        <item m="1" x="50"/>
        <item m="1" x="61"/>
        <item m="1" x="54"/>
        <item m="1" x="51"/>
        <item m="1" x="55"/>
        <item m="1" x="62"/>
        <item m="1" x="63"/>
        <item m="1" x="64"/>
        <item m="1" x="65"/>
        <item m="1" x="66"/>
        <item m="1" x="67"/>
        <item m="1" x="56"/>
        <item m="1" x="57"/>
        <item m="1" x="58"/>
        <item m="1" x="59"/>
        <item m="1" x="60"/>
        <item m="1" x="68"/>
        <item m="1" x="70"/>
        <item m="1" x="69"/>
        <item m="1" x="71"/>
        <item m="1" x="73"/>
        <item m="1" x="74"/>
        <item m="1" x="90"/>
        <item m="1" x="75"/>
        <item m="1" x="76"/>
        <item m="1" x="77"/>
        <item m="1" x="78"/>
        <item m="1" x="79"/>
        <item m="1" x="81"/>
        <item m="1" x="80"/>
        <item m="1" x="82"/>
        <item m="1" x="84"/>
        <item m="1" x="85"/>
        <item m="1" x="83"/>
        <item m="1" x="88"/>
        <item m="1" x="87"/>
        <item m="1" x="86"/>
        <item m="1" x="89"/>
        <item m="1" x="91"/>
        <item m="1" x="92"/>
        <item m="1" x="99"/>
        <item m="1" x="98"/>
        <item m="1" x="93"/>
        <item m="1" x="94"/>
        <item m="1" x="95"/>
        <item m="1" x="96"/>
        <item m="1" x="97"/>
        <item m="1" x="40"/>
        <item m="1" x="41"/>
        <item m="1" x="42"/>
        <item h="1" x="39"/>
        <item h="1" x="27"/>
        <item h="1" x="28"/>
        <item h="1" x="29"/>
        <item h="1" x="30"/>
        <item h="1" x="31"/>
        <item x="32"/>
        <item h="1" x="33"/>
        <item h="1" x="34"/>
        <item x="35"/>
        <item x="36"/>
        <item x="37"/>
        <item x="38"/>
      </items>
    </pivotField>
    <pivotField axis="axisRow" compact="0" outline="0" showAll="0" sortType="ascending" defaultSubtotal="0">
      <items count="127">
        <item x="29"/>
        <item x="23"/>
        <item x="73"/>
        <item x="63"/>
        <item x="64"/>
        <item x="65"/>
        <item x="68"/>
        <item x="67"/>
        <item x="72"/>
        <item x="60"/>
        <item x="22"/>
        <item x="54"/>
        <item x="33"/>
        <item x="55"/>
        <item x="56"/>
        <item x="57"/>
        <item x="74"/>
        <item x="66"/>
        <item x="75"/>
        <item x="61"/>
        <item x="58"/>
        <item x="71"/>
        <item x="59"/>
        <item x="62"/>
        <item x="70"/>
        <item x="0"/>
        <item x="26"/>
        <item x="25"/>
        <item x="27"/>
        <item x="1"/>
        <item x="3"/>
        <item x="28"/>
        <item x="4"/>
        <item x="31"/>
        <item x="5"/>
        <item x="24"/>
        <item x="30"/>
        <item x="6"/>
        <item x="7"/>
        <item x="2"/>
        <item x="34"/>
        <item x="8"/>
        <item x="36"/>
        <item x="9"/>
        <item x="32"/>
        <item x="35"/>
        <item x="10"/>
        <item x="37"/>
        <item x="39"/>
        <item x="38"/>
        <item x="11"/>
        <item x="12"/>
        <item x="40"/>
        <item x="42"/>
        <item x="13"/>
        <item x="41"/>
        <item x="43"/>
        <item x="44"/>
        <item x="14"/>
        <item x="15"/>
        <item x="16"/>
        <item x="45"/>
        <item x="46"/>
        <item x="17"/>
        <item x="47"/>
        <item x="18"/>
        <item x="48"/>
        <item x="49"/>
        <item x="50"/>
        <item x="19"/>
        <item x="20"/>
        <item x="21"/>
        <item x="51"/>
        <item x="52"/>
        <item x="53"/>
        <item x="69"/>
        <item x="99"/>
        <item x="76"/>
        <item x="77"/>
        <item x="78"/>
        <item x="79"/>
        <item x="81"/>
        <item x="80"/>
        <item x="85"/>
        <item x="82"/>
        <item x="83"/>
        <item x="84"/>
        <item x="87"/>
        <item x="86"/>
        <item x="88"/>
        <item x="90"/>
        <item x="91"/>
        <item x="89"/>
        <item x="92"/>
        <item x="93"/>
        <item x="95"/>
        <item x="94"/>
        <item x="96"/>
        <item x="100"/>
        <item x="98"/>
        <item x="97"/>
        <item x="101"/>
        <item x="102"/>
        <item x="104"/>
        <item x="103"/>
        <item x="105"/>
        <item x="106"/>
        <item x="107"/>
        <item x="108"/>
        <item x="110"/>
        <item x="109"/>
        <item x="111"/>
        <item x="112"/>
        <item x="115"/>
        <item x="114"/>
        <item x="113"/>
        <item x="116"/>
        <item x="117"/>
        <item x="118"/>
        <item x="120"/>
        <item x="121"/>
        <item x="119"/>
        <item x="124"/>
        <item x="123"/>
        <item x="122"/>
        <item x="125"/>
        <item x="126"/>
      </items>
    </pivotField>
    <pivotField axis="axisRow" compact="0" outline="0" showAll="0" defaultSubtotal="0">
      <items count="113">
        <item x="10"/>
        <item x="12"/>
        <item x="57"/>
        <item x="46"/>
        <item x="47"/>
        <item x="48"/>
        <item x="7"/>
        <item x="52"/>
        <item x="51"/>
        <item x="56"/>
        <item x="43"/>
        <item x="5"/>
        <item x="9"/>
        <item x="37"/>
        <item x="15"/>
        <item x="0"/>
        <item x="59"/>
        <item x="49"/>
        <item x="38"/>
        <item x="39"/>
        <item x="53"/>
        <item x="40"/>
        <item x="58"/>
        <item x="50"/>
        <item x="44"/>
        <item x="41"/>
        <item x="55"/>
        <item x="8"/>
        <item x="42"/>
        <item x="45"/>
        <item x="54"/>
        <item x="1"/>
        <item x="23"/>
        <item x="3"/>
        <item x="30"/>
        <item x="2"/>
        <item x="13"/>
        <item x="16"/>
        <item x="17"/>
        <item x="22"/>
        <item x="26"/>
        <item x="27"/>
        <item x="29"/>
        <item x="32"/>
        <item x="60"/>
        <item x="4"/>
        <item x="66"/>
        <item x="64"/>
        <item x="35"/>
        <item x="68"/>
        <item x="91"/>
        <item x="94"/>
        <item x="20"/>
        <item x="84"/>
        <item x="61"/>
        <item x="88"/>
        <item x="19"/>
        <item x="69"/>
        <item x="71"/>
        <item x="73"/>
        <item x="76"/>
        <item x="74"/>
        <item x="80"/>
        <item x="79"/>
        <item x="34"/>
        <item x="78"/>
        <item x="92"/>
        <item x="96"/>
        <item x="97"/>
        <item x="98"/>
        <item x="95"/>
        <item x="31"/>
        <item x="85"/>
        <item x="89"/>
        <item x="11"/>
        <item x="65"/>
        <item x="86"/>
        <item x="83"/>
        <item x="87"/>
        <item x="70"/>
        <item x="18"/>
        <item x="14"/>
        <item x="21"/>
        <item x="24"/>
        <item x="25"/>
        <item x="28"/>
        <item x="33"/>
        <item x="36"/>
        <item x="62"/>
        <item x="63"/>
        <item x="67"/>
        <item x="72"/>
        <item x="77"/>
        <item x="81"/>
        <item x="82"/>
        <item x="75"/>
        <item x="93"/>
        <item x="90"/>
        <item x="99"/>
        <item x="6"/>
        <item x="112"/>
        <item x="100"/>
        <item x="101"/>
        <item x="102"/>
        <item x="103"/>
        <item x="104"/>
        <item x="105"/>
        <item x="106"/>
        <item x="107"/>
        <item x="108"/>
        <item x="109"/>
        <item x="110"/>
        <item x="111"/>
      </items>
    </pivotField>
    <pivotField compact="0" outline="0" showAll="0" defaultSubtotal="0"/>
    <pivotField axis="axisRow" compact="0" outline="0" showAll="0" defaultSubtotal="0">
      <items count="162">
        <item x="3"/>
        <item x="9"/>
        <item x="35"/>
        <item x="2"/>
        <item x="10"/>
        <item x="32"/>
        <item x="0"/>
        <item x="8"/>
        <item x="7"/>
        <item x="31"/>
        <item x="30"/>
        <item x="4"/>
        <item x="1"/>
        <item x="6"/>
        <item x="28"/>
        <item x="29"/>
        <item x="5"/>
        <item x="149"/>
        <item x="33"/>
        <item x="34"/>
        <item x="36"/>
        <item x="37"/>
        <item x="39"/>
        <item x="40"/>
        <item x="42"/>
        <item x="38"/>
        <item x="13"/>
        <item x="41"/>
        <item x="43"/>
        <item x="45"/>
        <item x="44"/>
        <item m="1" x="158"/>
        <item x="46"/>
        <item x="48"/>
        <item x="47"/>
        <item m="1" x="159"/>
        <item x="16"/>
        <item x="12"/>
        <item x="14"/>
        <item x="17"/>
        <item x="50"/>
        <item x="19"/>
        <item x="18"/>
        <item x="21"/>
        <item x="20"/>
        <item x="23"/>
        <item x="22"/>
        <item x="11"/>
        <item x="15"/>
        <item x="51"/>
        <item x="52"/>
        <item x="53"/>
        <item x="54"/>
        <item x="55"/>
        <item x="56"/>
        <item x="57"/>
        <item m="1" x="160"/>
        <item x="24"/>
        <item x="25"/>
        <item x="59"/>
        <item x="26"/>
        <item x="27"/>
        <item m="1" x="155"/>
        <item m="1" x="152"/>
        <item x="60"/>
        <item x="61"/>
        <item x="62"/>
        <item x="63"/>
        <item x="64"/>
        <item m="1" x="161"/>
        <item m="1" x="157"/>
        <item m="1" x="156"/>
        <item m="1" x="154"/>
        <item x="86"/>
        <item x="70"/>
        <item x="71"/>
        <item x="72"/>
        <item x="73"/>
        <item x="74"/>
        <item x="75"/>
        <item x="76"/>
        <item x="77"/>
        <item x="78"/>
        <item x="79"/>
        <item x="80"/>
        <item x="81"/>
        <item x="82"/>
        <item x="83"/>
        <item x="84"/>
        <item x="85"/>
        <item x="87"/>
        <item x="88"/>
        <item x="96"/>
        <item x="49"/>
        <item x="58"/>
        <item m="1" x="153"/>
        <item x="89"/>
        <item x="90"/>
        <item n="O presente contrato tem por objeto a contratação de  empresa  especializada  para  a  prestação  de serviços continuados de transporte, com fornecimento de veículos e mão de obra de motoristas habilitados, para o  transporte  de  pessoas  para  atender  " x="91"/>
        <item x="92"/>
        <item x="65"/>
        <item x="66"/>
        <item x="67"/>
        <item x="68"/>
        <item x="69"/>
        <item x="93"/>
        <item x="94"/>
        <item x="95"/>
        <item x="97"/>
        <item x="98"/>
        <item x="99"/>
        <item x="100"/>
        <item x="101"/>
        <item x="102"/>
        <item x="103"/>
        <item x="104"/>
        <item x="105"/>
        <item x="106"/>
        <item x="107"/>
        <item x="108"/>
        <item x="109"/>
        <item x="110"/>
        <item x="111"/>
        <item x="112"/>
        <item x="113"/>
        <item x="114"/>
        <item x="115"/>
        <item x="117"/>
        <item x="116"/>
        <item x="118"/>
        <item x="119"/>
        <item x="120"/>
        <item m="1" x="150"/>
        <item x="122"/>
        <item x="123"/>
        <item x="124"/>
        <item m="1" x="151"/>
        <item x="126"/>
        <item x="127"/>
        <item x="128"/>
        <item x="129"/>
        <item x="130"/>
        <item x="131"/>
        <item x="121"/>
        <item x="125"/>
        <item x="132"/>
        <item x="133"/>
        <item x="134"/>
        <item x="135"/>
        <item x="136"/>
        <item x="137"/>
        <item x="138"/>
        <item x="139"/>
        <item x="140"/>
        <item x="141"/>
        <item x="142"/>
        <item x="143"/>
        <item x="144"/>
        <item x="145"/>
        <item x="146"/>
        <item x="147"/>
        <item x="148"/>
      </items>
    </pivotField>
    <pivotField axis="axisRow" compact="0" outline="0" showAll="0" defaultSubtotal="0">
      <items count="7">
        <item x="0"/>
        <item x="2"/>
        <item x="3"/>
        <item m="1" x="6"/>
        <item x="1"/>
        <item x="5"/>
        <item x="4"/>
      </items>
    </pivotField>
    <pivotField axis="axisRow" compact="0" outline="0" showAll="0" defaultSubtotal="0">
      <items count="144">
        <item x="1"/>
        <item x="6"/>
        <item x="11"/>
        <item x="30"/>
        <item x="8"/>
        <item x="35"/>
        <item m="1" x="143"/>
        <item x="0"/>
        <item x="10"/>
        <item x="33"/>
        <item x="4"/>
        <item x="2"/>
        <item x="31"/>
        <item x="29"/>
        <item x="3"/>
        <item x="5"/>
        <item x="9"/>
        <item x="32"/>
        <item x="7"/>
        <item x="137"/>
        <item x="34"/>
        <item x="36"/>
        <item x="37"/>
        <item x="39"/>
        <item x="40"/>
        <item x="42"/>
        <item x="38"/>
        <item x="14"/>
        <item x="41"/>
        <item x="43"/>
        <item x="45"/>
        <item x="44"/>
        <item m="1" x="142"/>
        <item x="46"/>
        <item x="48"/>
        <item x="47"/>
        <item x="49"/>
        <item x="17"/>
        <item x="18"/>
        <item x="13"/>
        <item x="15"/>
        <item x="19"/>
        <item x="50"/>
        <item x="21"/>
        <item x="27"/>
        <item x="20"/>
        <item x="23"/>
        <item x="22"/>
        <item x="25"/>
        <item x="24"/>
        <item x="12"/>
        <item x="16"/>
        <item x="51"/>
        <item x="52"/>
        <item x="53"/>
        <item x="54"/>
        <item x="55"/>
        <item x="56"/>
        <item x="57"/>
        <item x="58"/>
        <item x="26"/>
        <item x="59"/>
        <item x="28"/>
        <item m="1" x="141"/>
        <item x="60"/>
        <item x="61"/>
        <item x="62"/>
        <item x="63"/>
        <item x="64"/>
        <item x="65"/>
        <item x="66"/>
        <item x="67"/>
        <item x="68"/>
        <item x="82"/>
        <item x="69"/>
        <item x="70"/>
        <item x="71"/>
        <item x="72"/>
        <item x="73"/>
        <item x="74"/>
        <item x="75"/>
        <item x="76"/>
        <item x="77"/>
        <item x="78"/>
        <item x="79"/>
        <item x="80"/>
        <item x="81"/>
        <item x="83"/>
        <item x="84"/>
        <item x="91"/>
        <item x="85"/>
        <item x="86"/>
        <item x="87"/>
        <item x="88"/>
        <item x="89"/>
        <item x="90"/>
        <item x="92"/>
        <item x="93"/>
        <item x="94"/>
        <item x="95"/>
        <item x="96"/>
        <item x="97"/>
        <item x="98"/>
        <item x="99"/>
        <item x="100"/>
        <item x="101"/>
        <item x="102"/>
        <item x="103"/>
        <item x="104"/>
        <item x="105"/>
        <item x="106"/>
        <item x="107"/>
        <item x="108"/>
        <item x="109"/>
        <item x="110"/>
        <item m="1" x="140"/>
        <item x="112"/>
        <item x="113"/>
        <item x="114"/>
        <item x="111"/>
        <item x="116"/>
        <item x="117"/>
        <item m="1" x="139"/>
        <item x="119"/>
        <item x="120"/>
        <item x="121"/>
        <item x="115"/>
        <item x="122"/>
        <item x="118"/>
        <item x="123"/>
        <item x="124"/>
        <item x="125"/>
        <item x="126"/>
        <item x="127"/>
        <item x="128"/>
        <item x="129"/>
        <item m="1" x="138"/>
        <item x="131"/>
        <item x="130"/>
        <item x="132"/>
        <item x="133"/>
        <item x="134"/>
        <item x="135"/>
        <item x="136"/>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multipleItemSelectionAllowed="1"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1">
    <field x="3"/>
    <field x="9"/>
    <field x="4"/>
    <field x="11"/>
    <field x="13"/>
    <field x="14"/>
    <field x="21"/>
    <field x="20"/>
    <field x="22"/>
    <field x="17"/>
    <field x="18"/>
  </rowFields>
  <rowItems count="5">
    <i>
      <x v="134"/>
      <x/>
      <x v="3"/>
      <x v="175"/>
      <x v="138"/>
      <x v="93"/>
      <x v="4"/>
      <x v="155"/>
      <x v="139"/>
      <x v="121"/>
      <x v="106"/>
    </i>
    <i>
      <x v="137"/>
      <x/>
      <x v="3"/>
      <x v="178"/>
      <x v="142"/>
      <x v="97"/>
      <x v="6"/>
      <x v="158"/>
      <x v="142"/>
      <x v="124"/>
      <x v="109"/>
    </i>
    <i>
      <x v="138"/>
      <x/>
      <x v="3"/>
      <x v="179"/>
      <x v="143"/>
      <x v="98"/>
      <x v="4"/>
      <x v="159"/>
      <x v="143"/>
      <x v="123"/>
      <x v="110"/>
    </i>
    <i>
      <x v="139"/>
      <x/>
      <x v="4"/>
      <x v="180"/>
      <x v="144"/>
      <x v="99"/>
      <x v="4"/>
      <x v="160"/>
      <x v="137"/>
      <x v="122"/>
      <x v="111"/>
    </i>
    <i>
      <x v="140"/>
      <x/>
      <x v="4"/>
      <x v="181"/>
      <x v="145"/>
      <x v="99"/>
      <x v="4"/>
      <x v="161"/>
      <x v="137"/>
      <x v="125"/>
      <x v="112"/>
    </i>
  </rowItems>
  <colItems count="1">
    <i/>
  </colItems>
  <pageFields count="1">
    <pageField fld="16" hier="-1"/>
  </pageFields>
  <dataFields count="1">
    <dataField name="Soma de VALOR CONTRATO" fld="26" baseField="0" baseItem="0" numFmtId="4"/>
  </dataFields>
  <formats count="133">
    <format dxfId="721">
      <pivotArea outline="0" collapsedLevelsAreSubtotals="1" fieldPosition="0"/>
    </format>
    <format dxfId="720">
      <pivotArea outline="0" collapsedLevelsAreSubtotals="1" fieldPosition="0"/>
    </format>
    <format dxfId="719">
      <pivotArea outline="0" collapsedLevelsAreSubtotals="1" fieldPosition="0"/>
    </format>
    <format dxfId="718">
      <pivotArea outline="0" collapsedLevelsAreSubtotals="1" fieldPosition="0"/>
    </format>
    <format dxfId="717">
      <pivotArea field="11" type="button" dataOnly="0" labelOnly="1" outline="0" axis="axisRow" fieldPosition="3"/>
    </format>
    <format dxfId="716">
      <pivotArea field="20" type="button" dataOnly="0" labelOnly="1" outline="0" axis="axisRow" fieldPosition="7"/>
    </format>
    <format dxfId="715">
      <pivotArea field="22" type="button" dataOnly="0" labelOnly="1" outline="0" axis="axisRow" fieldPosition="8"/>
    </format>
    <format dxfId="714">
      <pivotArea dataOnly="0" labelOnly="1" outline="0" axis="axisValues" fieldPosition="0"/>
    </format>
    <format dxfId="713">
      <pivotArea dataOnly="0" labelOnly="1" outline="0" axis="axisValues" fieldPosition="0"/>
    </format>
    <format dxfId="712">
      <pivotArea outline="0" collapsedLevelsAreSubtotals="1" fieldPosition="0"/>
    </format>
    <format dxfId="711">
      <pivotArea field="11" type="button" dataOnly="0" labelOnly="1" outline="0" axis="axisRow" fieldPosition="3"/>
    </format>
    <format dxfId="710">
      <pivotArea field="20" type="button" dataOnly="0" labelOnly="1" outline="0" axis="axisRow" fieldPosition="7"/>
    </format>
    <format dxfId="709">
      <pivotArea field="22" type="button" dataOnly="0" labelOnly="1" outline="0" axis="axisRow" fieldPosition="8"/>
    </format>
    <format dxfId="708">
      <pivotArea dataOnly="0" labelOnly="1" outline="0" axis="axisValues" fieldPosition="0"/>
    </format>
    <format dxfId="707">
      <pivotArea dataOnly="0" labelOnly="1" outline="0" axis="axisValues" fieldPosition="0"/>
    </format>
    <format dxfId="706">
      <pivotArea outline="0" collapsedLevelsAreSubtotals="1" fieldPosition="0"/>
    </format>
    <format dxfId="705">
      <pivotArea outline="0" fieldPosition="0">
        <references count="1">
          <reference field="4294967294" count="1">
            <x v="0"/>
          </reference>
        </references>
      </pivotArea>
    </format>
    <format dxfId="704">
      <pivotArea field="17" type="button" dataOnly="0" labelOnly="1" outline="0" axis="axisRow" fieldPosition="9"/>
    </format>
    <format dxfId="703">
      <pivotArea field="18" type="button" dataOnly="0" labelOnly="1" outline="0" axis="axisRow" fieldPosition="10"/>
    </format>
    <format dxfId="702">
      <pivotArea dataOnly="0" labelOnly="1" outline="0" fieldPosition="0">
        <references count="10">
          <reference field="3" count="1" selected="0">
            <x v="8"/>
          </reference>
          <reference field="4" count="1" selected="0">
            <x v="1"/>
          </reference>
          <reference field="9" count="1" selected="0">
            <x v="0"/>
          </reference>
          <reference field="11" count="1" selected="0">
            <x v="166"/>
          </reference>
          <reference field="13" count="1" selected="0">
            <x v="125"/>
          </reference>
          <reference field="14" count="1" selected="0">
            <x v="88"/>
          </reference>
          <reference field="17" count="1">
            <x v="109"/>
          </reference>
          <reference field="20" count="1" selected="0">
            <x v="146"/>
          </reference>
          <reference field="21" count="1" selected="0">
            <x v="4"/>
          </reference>
          <reference field="22" count="1" selected="0">
            <x v="130"/>
          </reference>
        </references>
      </pivotArea>
    </format>
    <format dxfId="701">
      <pivotArea dataOnly="0" labelOnly="1" outline="0" fieldPosition="0">
        <references count="10">
          <reference field="3" count="1" selected="0">
            <x v="13"/>
          </reference>
          <reference field="4" count="1" selected="0">
            <x v="0"/>
          </reference>
          <reference field="9" count="1" selected="0">
            <x v="0"/>
          </reference>
          <reference field="11" count="1" selected="0">
            <x v="146"/>
          </reference>
          <reference field="13" count="1" selected="0">
            <x v="110"/>
          </reference>
          <reference field="14" count="1" selected="0">
            <x v="75"/>
          </reference>
          <reference field="17" count="1">
            <x v="91"/>
          </reference>
          <reference field="20" count="1" selected="0">
            <x v="124"/>
          </reference>
          <reference field="21" count="1" selected="0">
            <x v="1"/>
          </reference>
          <reference field="22" count="1" selected="0">
            <x v="109"/>
          </reference>
        </references>
      </pivotArea>
    </format>
    <format dxfId="700">
      <pivotArea dataOnly="0" labelOnly="1" outline="0" fieldPosition="0">
        <references count="10">
          <reference field="3" count="1" selected="0">
            <x v="25"/>
          </reference>
          <reference field="4" count="1" selected="0">
            <x v="3"/>
          </reference>
          <reference field="9" count="1" selected="0">
            <x v="0"/>
          </reference>
          <reference field="11" count="1" selected="0">
            <x v="128"/>
          </reference>
          <reference field="13" count="1" selected="0">
            <x v="98"/>
          </reference>
          <reference field="14" count="1" selected="0">
            <x v="62"/>
          </reference>
          <reference field="17" count="1">
            <x v="80"/>
          </reference>
          <reference field="20" count="1" selected="0">
            <x v="110"/>
          </reference>
          <reference field="21" count="1" selected="0">
            <x v="4"/>
          </reference>
          <reference field="22" count="1" selected="0">
            <x v="98"/>
          </reference>
        </references>
      </pivotArea>
    </format>
    <format dxfId="699">
      <pivotArea dataOnly="0" labelOnly="1" outline="0" fieldPosition="0">
        <references count="10">
          <reference field="3" count="1" selected="0">
            <x v="49"/>
          </reference>
          <reference field="4" count="1" selected="0">
            <x v="1"/>
          </reference>
          <reference field="9" count="1" selected="0">
            <x v="0"/>
          </reference>
          <reference field="11" count="1" selected="0">
            <x v="138"/>
          </reference>
          <reference field="13" count="1" selected="0">
            <x v="102"/>
          </reference>
          <reference field="14" count="1" selected="0">
            <x v="70"/>
          </reference>
          <reference field="17" count="1">
            <x v="84"/>
          </reference>
          <reference field="20" count="1" selected="0">
            <x v="114"/>
          </reference>
          <reference field="21" count="1" selected="0">
            <x v="4"/>
          </reference>
          <reference field="22" count="1" selected="0">
            <x v="102"/>
          </reference>
        </references>
      </pivotArea>
    </format>
    <format dxfId="698">
      <pivotArea dataOnly="0" labelOnly="1" outline="0" fieldPosition="0">
        <references count="10">
          <reference field="3" count="1" selected="0">
            <x v="50"/>
          </reference>
          <reference field="4" count="1" selected="0">
            <x v="3"/>
          </reference>
          <reference field="9" count="1" selected="0">
            <x v="0"/>
          </reference>
          <reference field="11" count="1" selected="0">
            <x v="95"/>
          </reference>
          <reference field="13" count="1" selected="0">
            <x v="85"/>
          </reference>
          <reference field="14" count="1" selected="0">
            <x v="59"/>
          </reference>
          <reference field="17" count="1">
            <x v="17"/>
          </reference>
          <reference field="20" count="1" selected="0">
            <x v="73"/>
          </reference>
          <reference field="21" count="1" selected="0">
            <x v="4"/>
          </reference>
          <reference field="22" count="1" selected="0">
            <x v="73"/>
          </reference>
        </references>
      </pivotArea>
    </format>
    <format dxfId="697">
      <pivotArea dataOnly="0" labelOnly="1" outline="0" fieldPosition="0">
        <references count="10">
          <reference field="3" count="1" selected="0">
            <x v="53"/>
          </reference>
          <reference field="4" count="1" selected="0">
            <x v="3"/>
          </reference>
          <reference field="9" count="1" selected="0">
            <x v="0"/>
          </reference>
          <reference field="11" count="1" selected="0">
            <x v="119"/>
          </reference>
          <reference field="13" count="1" selected="0">
            <x v="91"/>
          </reference>
          <reference field="14" count="1" selected="0">
            <x v="53"/>
          </reference>
          <reference field="17" count="1">
            <x v="21"/>
          </reference>
          <reference field="20" count="1" selected="0">
            <x v="98"/>
          </reference>
          <reference field="21" count="1" selected="0">
            <x v="4"/>
          </reference>
          <reference field="22" count="1" selected="0">
            <x v="92"/>
          </reference>
        </references>
      </pivotArea>
    </format>
    <format dxfId="696">
      <pivotArea dataOnly="0" labelOnly="1" outline="0" fieldPosition="0">
        <references count="10">
          <reference field="3" count="1" selected="0">
            <x v="55"/>
          </reference>
          <reference field="4" count="1" selected="0">
            <x v="3"/>
          </reference>
          <reference field="9" count="1" selected="0">
            <x v="0"/>
          </reference>
          <reference field="11" count="1" selected="0">
            <x v="130"/>
          </reference>
          <reference field="13" count="1" selected="0">
            <x v="101"/>
          </reference>
          <reference field="14" count="1" selected="0">
            <x v="68"/>
          </reference>
          <reference field="17" count="1">
            <x v="81"/>
          </reference>
          <reference field="20" count="1" selected="0">
            <x v="112"/>
          </reference>
          <reference field="21" count="1" selected="0">
            <x v="4"/>
          </reference>
          <reference field="22" count="1" selected="0">
            <x v="100"/>
          </reference>
        </references>
      </pivotArea>
    </format>
    <format dxfId="695">
      <pivotArea dataOnly="0" labelOnly="1" outline="0" fieldPosition="0">
        <references count="10">
          <reference field="3" count="1" selected="0">
            <x v="56"/>
          </reference>
          <reference field="4" count="1" selected="0">
            <x v="0"/>
          </reference>
          <reference field="9" count="1" selected="0">
            <x v="0"/>
          </reference>
          <reference field="11" count="1" selected="0">
            <x v="114"/>
          </reference>
          <reference field="13" count="1" selected="0">
            <x v="87"/>
          </reference>
          <reference field="14" count="1" selected="0">
            <x v="60"/>
          </reference>
          <reference field="17" count="1">
            <x v="6"/>
          </reference>
          <reference field="20" count="1" selected="0">
            <x v="91"/>
          </reference>
          <reference field="21" count="1" selected="0">
            <x v="6"/>
          </reference>
          <reference field="22" count="1" selected="0">
            <x v="88"/>
          </reference>
        </references>
      </pivotArea>
    </format>
    <format dxfId="694">
      <pivotArea dataOnly="0" labelOnly="1" outline="0" fieldPosition="0">
        <references count="10">
          <reference field="3" count="1" selected="0">
            <x v="57"/>
          </reference>
          <reference field="4" count="1" selected="0">
            <x v="3"/>
          </reference>
          <reference field="9" count="1" selected="0">
            <x v="0"/>
          </reference>
          <reference field="11" count="1" selected="0">
            <x v="113"/>
          </reference>
          <reference field="13" count="1" selected="0">
            <x v="86"/>
          </reference>
          <reference field="14" count="1" selected="0">
            <x v="14"/>
          </reference>
          <reference field="17" count="1">
            <x v="7"/>
          </reference>
          <reference field="20" count="1" selected="0">
            <x v="90"/>
          </reference>
          <reference field="21" count="1" selected="0">
            <x v="4"/>
          </reference>
          <reference field="22" count="1" selected="0">
            <x v="87"/>
          </reference>
        </references>
      </pivotArea>
    </format>
    <format dxfId="693">
      <pivotArea dataOnly="0" labelOnly="1" outline="0" fieldPosition="0">
        <references count="10">
          <reference field="3" count="1" selected="0">
            <x v="57"/>
          </reference>
          <reference field="4" count="1" selected="0">
            <x v="3"/>
          </reference>
          <reference field="9" count="1" selected="0">
            <x v="0"/>
          </reference>
          <reference field="11" count="1" selected="0">
            <x v="164"/>
          </reference>
          <reference field="13" count="1" selected="0">
            <x v="86"/>
          </reference>
          <reference field="14" count="1" selected="0">
            <x v="14"/>
          </reference>
          <reference field="17" count="1">
            <x v="108"/>
          </reference>
          <reference field="20" count="1" selected="0">
            <x v="90"/>
          </reference>
          <reference field="21" count="1" selected="0">
            <x v="4"/>
          </reference>
          <reference field="22" count="1" selected="0">
            <x v="127"/>
          </reference>
        </references>
      </pivotArea>
    </format>
    <format dxfId="692">
      <pivotArea dataOnly="0" labelOnly="1" outline="0" fieldPosition="0">
        <references count="10">
          <reference field="3" count="1" selected="0">
            <x v="62"/>
          </reference>
          <reference field="4" count="1" selected="0">
            <x v="0"/>
          </reference>
          <reference field="9" count="1" selected="0">
            <x v="0"/>
          </reference>
          <reference field="11" count="1" selected="0">
            <x v="117"/>
          </reference>
          <reference field="13" count="1" selected="0">
            <x v="88"/>
          </reference>
          <reference field="14" count="1" selected="0">
            <x v="56"/>
          </reference>
          <reference field="17" count="1">
            <x v="75"/>
          </reference>
          <reference field="20" count="1" selected="0">
            <x v="96"/>
          </reference>
          <reference field="21" count="1" selected="0">
            <x v="6"/>
          </reference>
          <reference field="22" count="1" selected="0">
            <x v="90"/>
          </reference>
        </references>
      </pivotArea>
    </format>
    <format dxfId="691">
      <pivotArea dataOnly="0" labelOnly="1" outline="0" fieldPosition="0">
        <references count="10">
          <reference field="3" count="1" selected="0">
            <x v="72"/>
          </reference>
          <reference field="4" count="1" selected="0">
            <x v="3"/>
          </reference>
          <reference field="9" count="1" selected="0">
            <x v="0"/>
          </reference>
          <reference field="11" count="1" selected="0">
            <x v="120"/>
          </reference>
          <reference field="13" count="1" selected="0">
            <x v="89"/>
          </reference>
          <reference field="14" count="1" selected="0">
            <x v="62"/>
          </reference>
          <reference field="17" count="1">
            <x v="8"/>
          </reference>
          <reference field="20" count="1" selected="0">
            <x v="99"/>
          </reference>
          <reference field="21" count="1" selected="0">
            <x v="4"/>
          </reference>
          <reference field="22" count="1" selected="0">
            <x v="93"/>
          </reference>
        </references>
      </pivotArea>
    </format>
    <format dxfId="690">
      <pivotArea dataOnly="0" labelOnly="1" outline="0" fieldPosition="0">
        <references count="10">
          <reference field="3" count="1" selected="0">
            <x v="74"/>
          </reference>
          <reference field="4" count="1" selected="0">
            <x v="2"/>
          </reference>
          <reference field="9" count="1" selected="0">
            <x v="0"/>
          </reference>
          <reference field="11" count="1" selected="0">
            <x v="142"/>
          </reference>
          <reference field="13" count="1" selected="0">
            <x v="104"/>
          </reference>
          <reference field="14" count="1" selected="0">
            <x v="73"/>
          </reference>
          <reference field="17" count="1">
            <x v="87"/>
          </reference>
          <reference field="20" count="1" selected="0">
            <x v="120"/>
          </reference>
          <reference field="21" count="1" selected="0">
            <x v="4"/>
          </reference>
          <reference field="22" count="1" selected="0">
            <x v="106"/>
          </reference>
        </references>
      </pivotArea>
    </format>
    <format dxfId="689">
      <pivotArea dataOnly="0" labelOnly="1" outline="0" fieldPosition="0">
        <references count="10">
          <reference field="3" count="1" selected="0">
            <x v="75"/>
          </reference>
          <reference field="4" count="1" selected="0">
            <x v="0"/>
          </reference>
          <reference field="9" count="1" selected="0">
            <x v="0"/>
          </reference>
          <reference field="11" count="1" selected="0">
            <x v="151"/>
          </reference>
          <reference field="13" count="1" selected="0">
            <x v="115"/>
          </reference>
          <reference field="14" count="1" selected="0">
            <x v="2"/>
          </reference>
          <reference field="17" count="1">
            <x v="96"/>
          </reference>
          <reference field="20" count="1" selected="0">
            <x v="129"/>
          </reference>
          <reference field="21" count="1" selected="0">
            <x v="6"/>
          </reference>
          <reference field="22" count="1" selected="0">
            <x v="24"/>
          </reference>
        </references>
      </pivotArea>
    </format>
    <format dxfId="688">
      <pivotArea dataOnly="0" labelOnly="1" outline="0" fieldPosition="0">
        <references count="10">
          <reference field="3" count="1" selected="0">
            <x v="75"/>
          </reference>
          <reference field="4" count="1" selected="0">
            <x v="1"/>
          </reference>
          <reference field="9" count="1" selected="0">
            <x v="0"/>
          </reference>
          <reference field="11" count="1" selected="0">
            <x v="149"/>
          </reference>
          <reference field="13" count="1" selected="0">
            <x v="115"/>
          </reference>
          <reference field="14" count="1" selected="0">
            <x v="2"/>
          </reference>
          <reference field="17" count="1">
            <x v="95"/>
          </reference>
          <reference field="20" count="1" selected="0">
            <x v="129"/>
          </reference>
          <reference field="21" count="1" selected="0">
            <x v="6"/>
          </reference>
          <reference field="22" count="1" selected="0">
            <x v="109"/>
          </reference>
        </references>
      </pivotArea>
    </format>
    <format dxfId="687">
      <pivotArea dataOnly="0" labelOnly="1" outline="0" fieldPosition="0">
        <references count="10">
          <reference field="3" count="1" selected="0">
            <x v="77"/>
          </reference>
          <reference field="4" count="1" selected="0">
            <x v="2"/>
          </reference>
          <reference field="9" count="1" selected="0">
            <x v="0"/>
          </reference>
          <reference field="11" count="1" selected="0">
            <x v="124"/>
          </reference>
          <reference field="13" count="1" selected="0">
            <x v="95"/>
          </reference>
          <reference field="14" count="1" selected="0">
            <x v="65"/>
          </reference>
          <reference field="17" count="1">
            <x v="18"/>
          </reference>
          <reference field="20" count="1" selected="0">
            <x v="107"/>
          </reference>
          <reference field="21" count="1" selected="0">
            <x v="4"/>
          </reference>
          <reference field="22" count="1" selected="0">
            <x v="89"/>
          </reference>
        </references>
      </pivotArea>
    </format>
    <format dxfId="686">
      <pivotArea dataOnly="0" labelOnly="1" outline="0" fieldPosition="0">
        <references count="10">
          <reference field="3" count="1" selected="0">
            <x v="81"/>
          </reference>
          <reference field="4" count="1" selected="0">
            <x v="1"/>
          </reference>
          <reference field="9" count="1" selected="0">
            <x v="0"/>
          </reference>
          <reference field="11" count="1" selected="0">
            <x v="121"/>
          </reference>
          <reference field="13" count="1" selected="0">
            <x v="94"/>
          </reference>
          <reference field="14" count="1" selected="0">
            <x v="63"/>
          </reference>
          <reference field="17" count="1">
            <x v="2"/>
          </reference>
          <reference field="20" count="1" selected="0">
            <x v="105"/>
          </reference>
          <reference field="21" count="1" selected="0">
            <x v="4"/>
          </reference>
          <reference field="22" count="1" selected="0">
            <x v="94"/>
          </reference>
        </references>
      </pivotArea>
    </format>
    <format dxfId="685">
      <pivotArea dataOnly="0" labelOnly="1" outline="0" fieldPosition="0">
        <references count="10">
          <reference field="3" count="1" selected="0">
            <x v="82"/>
          </reference>
          <reference field="4" count="1" selected="0">
            <x v="2"/>
          </reference>
          <reference field="9" count="1" selected="0">
            <x v="0"/>
          </reference>
          <reference field="11" count="1" selected="0">
            <x v="123"/>
          </reference>
          <reference field="13" count="1" selected="0">
            <x v="92"/>
          </reference>
          <reference field="14" count="1" selected="0">
            <x v="33"/>
          </reference>
          <reference field="17" count="1">
            <x v="76"/>
          </reference>
          <reference field="20" count="1" selected="0">
            <x v="133"/>
          </reference>
          <reference field="21" count="1" selected="0">
            <x v="4"/>
          </reference>
          <reference field="22" count="1" selected="0">
            <x v="116"/>
          </reference>
        </references>
      </pivotArea>
    </format>
    <format dxfId="684">
      <pivotArea dataOnly="0" labelOnly="1" outline="0" fieldPosition="0">
        <references count="10">
          <reference field="3" count="1" selected="0">
            <x v="83"/>
          </reference>
          <reference field="4" count="1" selected="0">
            <x v="0"/>
          </reference>
          <reference field="9" count="1" selected="0">
            <x v="0"/>
          </reference>
          <reference field="11" count="1" selected="0">
            <x v="132"/>
          </reference>
          <reference field="13" count="1" selected="0">
            <x v="106"/>
          </reference>
          <reference field="14" count="1" selected="0">
            <x v="72"/>
          </reference>
          <reference field="17" count="1">
            <x v="83"/>
          </reference>
          <reference field="20" count="1" selected="0">
            <x v="117"/>
          </reference>
          <reference field="21" count="1" selected="0">
            <x v="6"/>
          </reference>
          <reference field="22" count="1" selected="0">
            <x v="72"/>
          </reference>
        </references>
      </pivotArea>
    </format>
    <format dxfId="683">
      <pivotArea dataOnly="0" labelOnly="1" outline="0" fieldPosition="0">
        <references count="10">
          <reference field="3" count="1" selected="0">
            <x v="83"/>
          </reference>
          <reference field="4" count="1" selected="0">
            <x v="0"/>
          </reference>
          <reference field="9" count="1" selected="0">
            <x v="0"/>
          </reference>
          <reference field="11" count="1" selected="0">
            <x v="134"/>
          </reference>
          <reference field="13" count="1" selected="0">
            <x v="106"/>
          </reference>
          <reference field="14" count="1" selected="0">
            <x v="60"/>
          </reference>
          <reference field="17" count="1">
            <x v="93"/>
          </reference>
          <reference field="20" count="1" selected="0">
            <x v="128"/>
          </reference>
          <reference field="21" count="1" selected="0">
            <x v="6"/>
          </reference>
          <reference field="22" count="1" selected="0">
            <x v="112"/>
          </reference>
        </references>
      </pivotArea>
    </format>
    <format dxfId="682">
      <pivotArea dataOnly="0" labelOnly="1" outline="0" fieldPosition="0">
        <references count="10">
          <reference field="3" count="1" selected="0">
            <x v="85"/>
          </reference>
          <reference field="4" count="1" selected="0">
            <x v="1"/>
          </reference>
          <reference field="9" count="1" selected="0">
            <x v="0"/>
          </reference>
          <reference field="11" count="1" selected="0">
            <x v="126"/>
          </reference>
          <reference field="13" count="1" selected="0">
            <x v="90"/>
          </reference>
          <reference field="14" count="1" selected="0">
            <x v="64"/>
          </reference>
          <reference field="17" count="1">
            <x v="78"/>
          </reference>
          <reference field="20" count="1" selected="0">
            <x v="108"/>
          </reference>
          <reference field="21" count="1" selected="0">
            <x v="4"/>
          </reference>
          <reference field="22" count="1" selected="0">
            <x v="96"/>
          </reference>
        </references>
      </pivotArea>
    </format>
    <format dxfId="681">
      <pivotArea dataOnly="0" labelOnly="1" outline="0" fieldPosition="0">
        <references count="10">
          <reference field="3" count="1" selected="0">
            <x v="99"/>
          </reference>
          <reference field="4" count="1" selected="0">
            <x v="2"/>
          </reference>
          <reference field="9" count="1" selected="0">
            <x v="0"/>
          </reference>
          <reference field="11" count="1" selected="0">
            <x v="125"/>
          </reference>
          <reference field="13" count="1" selected="0">
            <x v="96"/>
          </reference>
          <reference field="14" count="1" selected="0">
            <x v="65"/>
          </reference>
          <reference field="17" count="1">
            <x v="77"/>
          </reference>
          <reference field="20" count="1" selected="0">
            <x v="92"/>
          </reference>
          <reference field="21" count="1" selected="0">
            <x v="4"/>
          </reference>
          <reference field="22" count="1" selected="0">
            <x v="89"/>
          </reference>
        </references>
      </pivotArea>
    </format>
    <format dxfId="680">
      <pivotArea dataOnly="0" labelOnly="1" outline="0" fieldPosition="0">
        <references count="10">
          <reference field="3" count="1" selected="0">
            <x v="100"/>
          </reference>
          <reference field="4" count="1" selected="0">
            <x v="0"/>
          </reference>
          <reference field="9" count="1" selected="0">
            <x v="0"/>
          </reference>
          <reference field="11" count="1" selected="0">
            <x v="133"/>
          </reference>
          <reference field="13" count="1" selected="0">
            <x v="84"/>
          </reference>
          <reference field="14" count="1" selected="0">
            <x v="56"/>
          </reference>
          <reference field="17" count="1">
            <x v="83"/>
          </reference>
          <reference field="20" count="1" selected="0">
            <x v="118"/>
          </reference>
          <reference field="21" count="1" selected="0">
            <x v="6"/>
          </reference>
          <reference field="22" count="1" selected="0">
            <x v="72"/>
          </reference>
        </references>
      </pivotArea>
    </format>
    <format dxfId="679">
      <pivotArea dataOnly="0" labelOnly="1" outline="0" fieldPosition="0">
        <references count="10">
          <reference field="3" count="1" selected="0">
            <x v="100"/>
          </reference>
          <reference field="4" count="1" selected="0">
            <x v="0"/>
          </reference>
          <reference field="9" count="1" selected="0">
            <x v="0"/>
          </reference>
          <reference field="11" count="1" selected="0">
            <x v="135"/>
          </reference>
          <reference field="13" count="1" selected="0">
            <x v="112"/>
          </reference>
          <reference field="14" count="1" selected="0">
            <x v="78"/>
          </reference>
          <reference field="17" count="1">
            <x v="93"/>
          </reference>
          <reference field="20" count="1" selected="0">
            <x v="127"/>
          </reference>
          <reference field="21" count="1" selected="0">
            <x v="6"/>
          </reference>
          <reference field="22" count="1" selected="0">
            <x v="112"/>
          </reference>
        </references>
      </pivotArea>
    </format>
    <format dxfId="678">
      <pivotArea dataOnly="0" labelOnly="1" outline="0" fieldPosition="0">
        <references count="10">
          <reference field="3" count="1" selected="0">
            <x v="101"/>
          </reference>
          <reference field="4" count="1" selected="0">
            <x v="3"/>
          </reference>
          <reference field="9" count="1" selected="0">
            <x v="0"/>
          </reference>
          <reference field="11" count="1" selected="0">
            <x v="140"/>
          </reference>
          <reference field="13" count="1" selected="0">
            <x v="1"/>
          </reference>
          <reference field="14" count="1" selected="0">
            <x v="69"/>
          </reference>
          <reference field="17" count="1">
            <x v="86"/>
          </reference>
          <reference field="20" count="1" selected="0">
            <x v="116"/>
          </reference>
          <reference field="21" count="1" selected="0">
            <x v="4"/>
          </reference>
          <reference field="22" count="1" selected="0">
            <x v="104"/>
          </reference>
        </references>
      </pivotArea>
    </format>
    <format dxfId="677">
      <pivotArea dataOnly="0" labelOnly="1" outline="0" fieldPosition="0">
        <references count="10">
          <reference field="3" count="1" selected="0">
            <x v="102"/>
          </reference>
          <reference field="4" count="1" selected="0">
            <x v="3"/>
          </reference>
          <reference field="9" count="1" selected="0">
            <x v="0"/>
          </reference>
          <reference field="11" count="1" selected="0">
            <x v="155"/>
          </reference>
          <reference field="13" count="1" selected="0">
            <x v="122"/>
          </reference>
          <reference field="14" count="1" selected="0">
            <x v="82"/>
          </reference>
          <reference field="17" count="1">
            <x v="99"/>
          </reference>
          <reference field="20" count="1" selected="0">
            <x v="143"/>
          </reference>
          <reference field="21" count="1" selected="0">
            <x v="2"/>
          </reference>
          <reference field="22" count="1" selected="0">
            <x v="119"/>
          </reference>
        </references>
      </pivotArea>
    </format>
    <format dxfId="676">
      <pivotArea dataOnly="0" labelOnly="1" outline="0" fieldPosition="0">
        <references count="10">
          <reference field="3" count="1" selected="0">
            <x v="102"/>
          </reference>
          <reference field="4" count="1" selected="0">
            <x v="3"/>
          </reference>
          <reference field="9" count="1" selected="0">
            <x v="0"/>
          </reference>
          <reference field="11" count="1" selected="0">
            <x v="157"/>
          </reference>
          <reference field="13" count="1" selected="0">
            <x v="122"/>
          </reference>
          <reference field="14" count="1" selected="0">
            <x v="82"/>
          </reference>
          <reference field="17" count="1">
            <x v="102"/>
          </reference>
          <reference field="20" count="1" selected="0">
            <x v="144"/>
          </reference>
          <reference field="21" count="1" selected="0">
            <x v="2"/>
          </reference>
          <reference field="22" count="1" selected="0">
            <x v="126"/>
          </reference>
        </references>
      </pivotArea>
    </format>
    <format dxfId="675">
      <pivotArea dataOnly="0" labelOnly="1" outline="0" fieldPosition="0">
        <references count="10">
          <reference field="3" count="1" selected="0">
            <x v="103"/>
          </reference>
          <reference field="4" count="1" selected="0">
            <x v="3"/>
          </reference>
          <reference field="9" count="1" selected="0">
            <x v="0"/>
          </reference>
          <reference field="11" count="1" selected="0">
            <x v="143"/>
          </reference>
          <reference field="13" count="1" selected="0">
            <x v="105"/>
          </reference>
          <reference field="14" count="1" selected="0">
            <x v="74"/>
          </reference>
          <reference field="17" count="1">
            <x v="89"/>
          </reference>
          <reference field="20" count="1" selected="0">
            <x v="121"/>
          </reference>
          <reference field="21" count="1" selected="0">
            <x v="4"/>
          </reference>
          <reference field="22" count="1" selected="0">
            <x v="53"/>
          </reference>
        </references>
      </pivotArea>
    </format>
    <format dxfId="674">
      <pivotArea dataOnly="0" labelOnly="1" outline="0" fieldPosition="0">
        <references count="10">
          <reference field="3" count="1" selected="0">
            <x v="104"/>
          </reference>
          <reference field="4" count="1" selected="0">
            <x v="2"/>
          </reference>
          <reference field="9" count="1" selected="0">
            <x v="0"/>
          </reference>
          <reference field="11" count="1" selected="0">
            <x v="167"/>
          </reference>
          <reference field="13" count="1" selected="0">
            <x v="127"/>
          </reference>
          <reference field="14" count="1" selected="0">
            <x v="76"/>
          </reference>
          <reference field="17" count="1">
            <x v="111"/>
          </reference>
          <reference field="20" count="1" selected="0">
            <x v="147"/>
          </reference>
          <reference field="21" count="1" selected="0">
            <x v="4"/>
          </reference>
          <reference field="22" count="1" selected="0">
            <x v="131"/>
          </reference>
        </references>
      </pivotArea>
    </format>
    <format dxfId="673">
      <pivotArea dataOnly="0" labelOnly="1" outline="0" fieldPosition="0">
        <references count="10">
          <reference field="3" count="1" selected="0">
            <x v="105"/>
          </reference>
          <reference field="4" count="1" selected="0">
            <x v="1"/>
          </reference>
          <reference field="9" count="1" selected="0">
            <x v="0"/>
          </reference>
          <reference field="11" count="1" selected="0">
            <x v="129"/>
          </reference>
          <reference field="13" count="1" selected="0">
            <x v="100"/>
          </reference>
          <reference field="14" count="1" selected="0">
            <x v="67"/>
          </reference>
          <reference field="17" count="1">
            <x v="82"/>
          </reference>
          <reference field="20" count="1" selected="0">
            <x v="111"/>
          </reference>
          <reference field="21" count="1" selected="0">
            <x v="4"/>
          </reference>
          <reference field="22" count="1" selected="0">
            <x v="99"/>
          </reference>
        </references>
      </pivotArea>
    </format>
    <format dxfId="672">
      <pivotArea dataOnly="0" labelOnly="1" outline="0" fieldPosition="0">
        <references count="10">
          <reference field="3" count="1" selected="0">
            <x v="106"/>
          </reference>
          <reference field="4" count="1" selected="0">
            <x v="0"/>
          </reference>
          <reference field="9" count="1" selected="0">
            <x v="0"/>
          </reference>
          <reference field="11" count="1" selected="0">
            <x v="168"/>
          </reference>
          <reference field="13" count="1" selected="0">
            <x v="128"/>
          </reference>
          <reference field="14" count="1" selected="0">
            <x v="89"/>
          </reference>
          <reference field="17" count="1">
            <x v="112"/>
          </reference>
          <reference field="20" count="1" selected="0">
            <x v="148"/>
          </reference>
          <reference field="21" count="1" selected="0">
            <x v="6"/>
          </reference>
          <reference field="22" count="1" selected="0">
            <x v="21"/>
          </reference>
        </references>
      </pivotArea>
    </format>
    <format dxfId="671">
      <pivotArea dataOnly="0" labelOnly="1" outline="0" fieldPosition="0">
        <references count="10">
          <reference field="3" count="1" selected="0">
            <x v="108"/>
          </reference>
          <reference field="4" count="1" selected="0">
            <x v="2"/>
          </reference>
          <reference field="9" count="1" selected="0">
            <x v="0"/>
          </reference>
          <reference field="11" count="1" selected="0">
            <x v="148"/>
          </reference>
          <reference field="13" count="1" selected="0">
            <x v="113"/>
          </reference>
          <reference field="14" count="1" selected="0">
            <x v="77"/>
          </reference>
          <reference field="17" count="1">
            <x v="94"/>
          </reference>
          <reference field="20" count="1" selected="0">
            <x v="126"/>
          </reference>
          <reference field="21" count="1" selected="0">
            <x v="4"/>
          </reference>
          <reference field="22" count="1" selected="0">
            <x v="111"/>
          </reference>
        </references>
      </pivotArea>
    </format>
    <format dxfId="670">
      <pivotArea dataOnly="0" labelOnly="1" outline="0" fieldPosition="0">
        <references count="10">
          <reference field="3" count="1" selected="0">
            <x v="109"/>
          </reference>
          <reference field="4" count="1" selected="0">
            <x v="2"/>
          </reference>
          <reference field="9" count="1" selected="0">
            <x v="0"/>
          </reference>
          <reference field="11" count="1" selected="0">
            <x v="162"/>
          </reference>
          <reference field="13" count="1" selected="0">
            <x v="124"/>
          </reference>
          <reference field="14" count="1" selected="0">
            <x v="85"/>
          </reference>
          <reference field="17" count="1">
            <x v="106"/>
          </reference>
          <reference field="20" count="1" selected="0">
            <x v="141"/>
          </reference>
          <reference field="21" count="1" selected="0">
            <x v="1"/>
          </reference>
          <reference field="22" count="1" selected="0">
            <x v="124"/>
          </reference>
        </references>
      </pivotArea>
    </format>
    <format dxfId="669">
      <pivotArea dataOnly="0" labelOnly="1" outline="0" fieldPosition="0">
        <references count="10">
          <reference field="3" count="1" selected="0">
            <x v="110"/>
          </reference>
          <reference field="4" count="1" selected="0">
            <x v="2"/>
          </reference>
          <reference field="9" count="1" selected="0">
            <x v="0"/>
          </reference>
          <reference field="11" count="1" selected="0">
            <x v="150"/>
          </reference>
          <reference field="13" count="1" selected="0">
            <x v="116"/>
          </reference>
          <reference field="14" count="1" selected="0">
            <x v="80"/>
          </reference>
          <reference field="17" count="1">
            <x v="98"/>
          </reference>
          <reference field="20" count="1" selected="0">
            <x v="134"/>
          </reference>
          <reference field="21" count="1" selected="0">
            <x v="1"/>
          </reference>
          <reference field="22" count="1" selected="0">
            <x v="117"/>
          </reference>
        </references>
      </pivotArea>
    </format>
    <format dxfId="668">
      <pivotArea dataOnly="0" labelOnly="1" outline="0" fieldPosition="0">
        <references count="10">
          <reference field="3" count="1" selected="0">
            <x v="111"/>
          </reference>
          <reference field="4" count="1" selected="0">
            <x v="4"/>
          </reference>
          <reference field="9" count="1" selected="0">
            <x v="0"/>
          </reference>
          <reference field="11" count="1" selected="0">
            <x v="122"/>
          </reference>
          <reference field="13" count="1" selected="0">
            <x v="93"/>
          </reference>
          <reference field="14" count="1" selected="0">
            <x v="59"/>
          </reference>
          <reference field="17" count="1">
            <x v="16"/>
          </reference>
          <reference field="20" count="1" selected="0">
            <x v="106"/>
          </reference>
          <reference field="21" count="1" selected="0">
            <x v="4"/>
          </reference>
          <reference field="22" count="1" selected="0">
            <x v="95"/>
          </reference>
        </references>
      </pivotArea>
    </format>
    <format dxfId="667">
      <pivotArea dataOnly="0" labelOnly="1" outline="0" fieldPosition="0">
        <references count="10">
          <reference field="3" count="1" selected="0">
            <x v="112"/>
          </reference>
          <reference field="4" count="1" selected="0">
            <x v="3"/>
          </reference>
          <reference field="9" count="1" selected="0">
            <x v="0"/>
          </reference>
          <reference field="11" count="1" selected="0">
            <x v="147"/>
          </reference>
          <reference field="13" count="1" selected="0">
            <x v="108"/>
          </reference>
          <reference field="14" count="1" selected="0">
            <x v="76"/>
          </reference>
          <reference field="17" count="1">
            <x v="93"/>
          </reference>
          <reference field="20" count="1" selected="0">
            <x v="125"/>
          </reference>
          <reference field="21" count="1" selected="0">
            <x v="2"/>
          </reference>
          <reference field="22" count="1" selected="0">
            <x v="110"/>
          </reference>
        </references>
      </pivotArea>
    </format>
    <format dxfId="666">
      <pivotArea dataOnly="0" labelOnly="1" outline="0" fieldPosition="0">
        <references count="10">
          <reference field="3" count="1" selected="0">
            <x v="113"/>
          </reference>
          <reference field="4" count="1" selected="0">
            <x v="1"/>
          </reference>
          <reference field="9" count="1" selected="0">
            <x v="0"/>
          </reference>
          <reference field="11" count="1" selected="0">
            <x v="144"/>
          </reference>
          <reference field="13" count="1" selected="0">
            <x v="111"/>
          </reference>
          <reference field="14" count="1" selected="0">
            <x v="60"/>
          </reference>
          <reference field="17" count="1">
            <x v="92"/>
          </reference>
          <reference field="20" count="1" selected="0">
            <x v="122"/>
          </reference>
          <reference field="21" count="1" selected="0">
            <x v="1"/>
          </reference>
          <reference field="22" count="1" selected="0">
            <x v="107"/>
          </reference>
        </references>
      </pivotArea>
    </format>
    <format dxfId="665">
      <pivotArea dataOnly="0" labelOnly="1" outline="0" fieldPosition="0">
        <references count="10">
          <reference field="3" count="1" selected="0">
            <x v="114"/>
          </reference>
          <reference field="4" count="1" selected="0">
            <x v="2"/>
          </reference>
          <reference field="9" count="1" selected="0">
            <x v="0"/>
          </reference>
          <reference field="11" count="1" selected="0">
            <x v="127"/>
          </reference>
          <reference field="13" count="1" selected="0">
            <x v="97"/>
          </reference>
          <reference field="14" count="1" selected="0">
            <x v="66"/>
          </reference>
          <reference field="17" count="1">
            <x v="79"/>
          </reference>
          <reference field="20" count="1" selected="0">
            <x v="109"/>
          </reference>
          <reference field="21" count="1" selected="0">
            <x v="4"/>
          </reference>
          <reference field="22" count="1" selected="0">
            <x v="97"/>
          </reference>
        </references>
      </pivotArea>
    </format>
    <format dxfId="664">
      <pivotArea dataOnly="0" labelOnly="1" outline="0" fieldPosition="0">
        <references count="10">
          <reference field="3" count="1" selected="0">
            <x v="115"/>
          </reference>
          <reference field="4" count="1" selected="0">
            <x v="3"/>
          </reference>
          <reference field="9" count="1" selected="0">
            <x v="0"/>
          </reference>
          <reference field="11" count="1" selected="0">
            <x v="156"/>
          </reference>
          <reference field="13" count="1" selected="0">
            <x v="118"/>
          </reference>
          <reference field="14" count="1" selected="0">
            <x v="81"/>
          </reference>
          <reference field="17" count="1">
            <x v="101"/>
          </reference>
          <reference field="20" count="1" selected="0">
            <x v="135"/>
          </reference>
          <reference field="21" count="1" selected="0">
            <x v="4"/>
          </reference>
          <reference field="22" count="1" selected="0">
            <x v="118"/>
          </reference>
        </references>
      </pivotArea>
    </format>
    <format dxfId="663">
      <pivotArea dataOnly="0" labelOnly="1" outline="0" fieldPosition="0">
        <references count="10">
          <reference field="3" count="1" selected="0">
            <x v="116"/>
          </reference>
          <reference field="4" count="1" selected="0">
            <x v="1"/>
          </reference>
          <reference field="9" count="1" selected="0">
            <x v="0"/>
          </reference>
          <reference field="11" count="1" selected="0">
            <x v="131"/>
          </reference>
          <reference field="13" count="1" selected="0">
            <x v="99"/>
          </reference>
          <reference field="14" count="1" selected="0">
            <x v="69"/>
          </reference>
          <reference field="17" count="1">
            <x v="81"/>
          </reference>
          <reference field="20" count="1" selected="0">
            <x v="113"/>
          </reference>
          <reference field="21" count="1" selected="0">
            <x v="1"/>
          </reference>
          <reference field="22" count="1" selected="0">
            <x v="101"/>
          </reference>
        </references>
      </pivotArea>
    </format>
    <format dxfId="662">
      <pivotArea dataOnly="0" labelOnly="1" outline="0" fieldPosition="0">
        <references count="10">
          <reference field="3" count="1" selected="0">
            <x v="117"/>
          </reference>
          <reference field="4" count="1" selected="0">
            <x v="1"/>
          </reference>
          <reference field="9" count="1" selected="0">
            <x v="0"/>
          </reference>
          <reference field="11" count="1" selected="0">
            <x v="141"/>
          </reference>
          <reference field="13" count="1" selected="0">
            <x v="107"/>
          </reference>
          <reference field="14" count="1" selected="0">
            <x v="16"/>
          </reference>
          <reference field="17" count="1">
            <x v="88"/>
          </reference>
          <reference field="20" count="1" selected="0">
            <x v="119"/>
          </reference>
          <reference field="21" count="1" selected="0">
            <x v="4"/>
          </reference>
          <reference field="22" count="1" selected="0">
            <x v="105"/>
          </reference>
        </references>
      </pivotArea>
    </format>
    <format dxfId="661">
      <pivotArea dataOnly="0" labelOnly="1" outline="0" fieldPosition="0">
        <references count="10">
          <reference field="3" count="1" selected="0">
            <x v="118"/>
          </reference>
          <reference field="4" count="1" selected="0">
            <x v="2"/>
          </reference>
          <reference field="9" count="1" selected="0">
            <x v="0"/>
          </reference>
          <reference field="11" count="1" selected="0">
            <x v="139"/>
          </reference>
          <reference field="13" count="1" selected="0">
            <x v="103"/>
          </reference>
          <reference field="14" count="1" selected="0">
            <x v="36"/>
          </reference>
          <reference field="17" count="1">
            <x v="85"/>
          </reference>
          <reference field="20" count="1" selected="0">
            <x v="115"/>
          </reference>
          <reference field="21" count="1" selected="0">
            <x v="4"/>
          </reference>
          <reference field="22" count="1" selected="0">
            <x v="103"/>
          </reference>
        </references>
      </pivotArea>
    </format>
    <format dxfId="660">
      <pivotArea dataOnly="0" labelOnly="1" outline="0" fieldPosition="0">
        <references count="10">
          <reference field="3" count="1" selected="0">
            <x v="119"/>
          </reference>
          <reference field="4" count="1" selected="0">
            <x v="1"/>
          </reference>
          <reference field="9" count="1" selected="0">
            <x v="0"/>
          </reference>
          <reference field="11" count="1" selected="0">
            <x v="154"/>
          </reference>
          <reference field="13" count="1" selected="0">
            <x v="114"/>
          </reference>
          <reference field="14" count="1" selected="0">
            <x v="79"/>
          </reference>
          <reference field="17" count="1">
            <x v="97"/>
          </reference>
          <reference field="20" count="1" selected="0">
            <x v="130"/>
          </reference>
          <reference field="21" count="1" selected="0">
            <x v="4"/>
          </reference>
          <reference field="22" count="1" selected="0">
            <x v="113"/>
          </reference>
        </references>
      </pivotArea>
    </format>
    <format dxfId="659">
      <pivotArea dataOnly="0" labelOnly="1" outline="0" fieldPosition="0">
        <references count="10">
          <reference field="3" count="1" selected="0">
            <x v="120"/>
          </reference>
          <reference field="4" count="1" selected="0">
            <x v="3"/>
          </reference>
          <reference field="9" count="1" selected="0">
            <x v="0"/>
          </reference>
          <reference field="11" count="1" selected="0">
            <x v="153"/>
          </reference>
          <reference field="13" count="1" selected="0">
            <x v="117"/>
          </reference>
          <reference field="14" count="1" selected="0">
            <x v="86"/>
          </reference>
          <reference field="17" count="1">
            <x v="100"/>
          </reference>
          <reference field="20" count="1" selected="0">
            <x v="131"/>
          </reference>
          <reference field="21" count="1" selected="0">
            <x v="4"/>
          </reference>
          <reference field="22" count="1" selected="0">
            <x v="114"/>
          </reference>
        </references>
      </pivotArea>
    </format>
    <format dxfId="658">
      <pivotArea dataOnly="0" labelOnly="1" outline="0" fieldPosition="0">
        <references count="10">
          <reference field="3" count="1" selected="0">
            <x v="120"/>
          </reference>
          <reference field="4" count="1" selected="0">
            <x v="3"/>
          </reference>
          <reference field="9" count="1" selected="0">
            <x v="0"/>
          </reference>
          <reference field="11" count="1" selected="0">
            <x v="163"/>
          </reference>
          <reference field="13" count="1" selected="0">
            <x v="117"/>
          </reference>
          <reference field="14" count="1" selected="0">
            <x v="86"/>
          </reference>
          <reference field="17" count="1">
            <x v="107"/>
          </reference>
          <reference field="20" count="1" selected="0">
            <x v="142"/>
          </reference>
          <reference field="21" count="1" selected="0">
            <x v="4"/>
          </reference>
          <reference field="22" count="1" selected="0">
            <x v="125"/>
          </reference>
        </references>
      </pivotArea>
    </format>
    <format dxfId="657">
      <pivotArea dataOnly="0" labelOnly="1" outline="0" fieldPosition="0">
        <references count="10">
          <reference field="3" count="1" selected="0">
            <x v="121"/>
          </reference>
          <reference field="4" count="1" selected="0">
            <x v="3"/>
          </reference>
          <reference field="9" count="1" selected="0">
            <x v="0"/>
          </reference>
          <reference field="11" count="1" selected="0">
            <x v="169"/>
          </reference>
          <reference field="13" count="1" selected="0">
            <x v="129"/>
          </reference>
          <reference field="14" count="1" selected="0">
            <x v="88"/>
          </reference>
          <reference field="17" count="1">
            <x v="115"/>
          </reference>
          <reference field="20" count="1" selected="0">
            <x v="149"/>
          </reference>
          <reference field="21" count="1" selected="0">
            <x v="4"/>
          </reference>
          <reference field="22" count="1" selected="0">
            <x v="132"/>
          </reference>
        </references>
      </pivotArea>
    </format>
    <format dxfId="656">
      <pivotArea dataOnly="0" labelOnly="1" outline="0" fieldPosition="0">
        <references count="10">
          <reference field="3" count="1" selected="0">
            <x v="122"/>
          </reference>
          <reference field="4" count="1" selected="0">
            <x v="4"/>
          </reference>
          <reference field="9" count="1" selected="0">
            <x v="0"/>
          </reference>
          <reference field="11" count="1" selected="0">
            <x v="145"/>
          </reference>
          <reference field="13" count="1" selected="0">
            <x v="109"/>
          </reference>
          <reference field="14" count="1" selected="0">
            <x v="65"/>
          </reference>
          <reference field="17" count="1">
            <x v="90"/>
          </reference>
          <reference field="20" count="1" selected="0">
            <x v="123"/>
          </reference>
          <reference field="21" count="1" selected="0">
            <x v="2"/>
          </reference>
          <reference field="22" count="1" selected="0">
            <x v="108"/>
          </reference>
        </references>
      </pivotArea>
    </format>
    <format dxfId="655">
      <pivotArea dataOnly="0" labelOnly="1" outline="0" fieldPosition="0">
        <references count="10">
          <reference field="3" count="1" selected="0">
            <x v="123"/>
          </reference>
          <reference field="4" count="1" selected="0">
            <x v="1"/>
          </reference>
          <reference field="9" count="1" selected="0">
            <x v="0"/>
          </reference>
          <reference field="11" count="1" selected="0">
            <x v="161"/>
          </reference>
          <reference field="13" count="1" selected="0">
            <x v="123"/>
          </reference>
          <reference field="14" count="1" selected="0">
            <x v="84"/>
          </reference>
          <reference field="17" count="1">
            <x v="105"/>
          </reference>
          <reference field="20" count="1" selected="0">
            <x v="140"/>
          </reference>
          <reference field="21" count="1" selected="0">
            <x v="4"/>
          </reference>
          <reference field="22" count="1" selected="0">
            <x v="123"/>
          </reference>
        </references>
      </pivotArea>
    </format>
    <format dxfId="654">
      <pivotArea dataOnly="0" labelOnly="1" outline="0" fieldPosition="0">
        <references count="10">
          <reference field="3" count="1" selected="0">
            <x v="124"/>
          </reference>
          <reference field="4" count="1" selected="0">
            <x v="1"/>
          </reference>
          <reference field="9" count="1" selected="0">
            <x v="0"/>
          </reference>
          <reference field="11" count="1" selected="0">
            <x v="158"/>
          </reference>
          <reference field="13" count="1" selected="0">
            <x v="119"/>
          </reference>
          <reference field="14" count="1" selected="0">
            <x v="83"/>
          </reference>
          <reference field="17" count="1">
            <x v="100"/>
          </reference>
          <reference field="20" count="1" selected="0">
            <x v="137"/>
          </reference>
          <reference field="21" count="1" selected="0">
            <x v="4"/>
          </reference>
          <reference field="22" count="1" selected="0">
            <x v="120"/>
          </reference>
        </references>
      </pivotArea>
    </format>
    <format dxfId="653">
      <pivotArea dataOnly="0" labelOnly="1" outline="0" fieldPosition="0">
        <references count="10">
          <reference field="3" count="1" selected="0">
            <x v="125"/>
          </reference>
          <reference field="4" count="1" selected="0">
            <x v="4"/>
          </reference>
          <reference field="9" count="1" selected="0">
            <x v="0"/>
          </reference>
          <reference field="11" count="1" selected="0">
            <x v="159"/>
          </reference>
          <reference field="13" count="1" selected="0">
            <x v="121"/>
          </reference>
          <reference field="14" count="1" selected="0">
            <x v="10"/>
          </reference>
          <reference field="17" count="1">
            <x v="104"/>
          </reference>
          <reference field="20" count="1" selected="0">
            <x v="138"/>
          </reference>
          <reference field="21" count="1" selected="0">
            <x v="6"/>
          </reference>
          <reference field="22" count="1" selected="0">
            <x v="121"/>
          </reference>
        </references>
      </pivotArea>
    </format>
    <format dxfId="652">
      <pivotArea dataOnly="0" labelOnly="1" outline="0" fieldPosition="0">
        <references count="10">
          <reference field="3" count="1" selected="0">
            <x v="126"/>
          </reference>
          <reference field="4" count="1" selected="0">
            <x v="4"/>
          </reference>
          <reference field="9" count="1" selected="0">
            <x v="0"/>
          </reference>
          <reference field="11" count="1" selected="0">
            <x v="160"/>
          </reference>
          <reference field="13" count="1" selected="0">
            <x v="120"/>
          </reference>
          <reference field="14" count="1" selected="0">
            <x v="65"/>
          </reference>
          <reference field="17" count="1">
            <x v="103"/>
          </reference>
          <reference field="20" count="1" selected="0">
            <x v="139"/>
          </reference>
          <reference field="21" count="1" selected="0">
            <x v="4"/>
          </reference>
          <reference field="22" count="1" selected="0">
            <x v="128"/>
          </reference>
        </references>
      </pivotArea>
    </format>
    <format dxfId="651">
      <pivotArea dataOnly="0" labelOnly="1" outline="0" fieldPosition="0">
        <references count="10">
          <reference field="3" count="1" selected="0">
            <x v="127"/>
          </reference>
          <reference field="4" count="1" selected="0">
            <x v="4"/>
          </reference>
          <reference field="9" count="1" selected="0">
            <x v="0"/>
          </reference>
          <reference field="11" count="1" selected="0">
            <x v="165"/>
          </reference>
          <reference field="13" count="1" selected="0">
            <x v="126"/>
          </reference>
          <reference field="14" count="1" selected="0">
            <x v="87"/>
          </reference>
          <reference field="17" count="1">
            <x v="110"/>
          </reference>
          <reference field="20" count="1" selected="0">
            <x v="145"/>
          </reference>
          <reference field="21" count="1" selected="0">
            <x v="1"/>
          </reference>
          <reference field="22" count="1" selected="0">
            <x v="129"/>
          </reference>
        </references>
      </pivotArea>
    </format>
    <format dxfId="650">
      <pivotArea dataOnly="0" labelOnly="1" outline="0" fieldPosition="0">
        <references count="10">
          <reference field="3" count="1" selected="0">
            <x v="129"/>
          </reference>
          <reference field="4" count="1" selected="0">
            <x v="3"/>
          </reference>
          <reference field="9" count="1" selected="0">
            <x v="0"/>
          </reference>
          <reference field="11" count="1" selected="0">
            <x v="170"/>
          </reference>
          <reference field="13" count="1" selected="0">
            <x v="132"/>
          </reference>
          <reference field="14" count="1" selected="0">
            <x v="86"/>
          </reference>
          <reference field="17" count="1">
            <x v="114"/>
          </reference>
          <reference field="20" count="1" selected="0">
            <x v="150"/>
          </reference>
          <reference field="21" count="1" selected="0">
            <x v="4"/>
          </reference>
          <reference field="22" count="1" selected="0">
            <x v="133"/>
          </reference>
        </references>
      </pivotArea>
    </format>
    <format dxfId="649">
      <pivotArea dataOnly="0" labelOnly="1" outline="0" fieldPosition="0">
        <references count="10">
          <reference field="3" count="1" selected="0">
            <x v="130"/>
          </reference>
          <reference field="4" count="1" selected="0">
            <x v="0"/>
          </reference>
          <reference field="9" count="1" selected="0">
            <x v="0"/>
          </reference>
          <reference field="11" count="1" selected="0">
            <x v="171"/>
          </reference>
          <reference field="13" count="1" selected="0">
            <x v="133"/>
          </reference>
          <reference field="14" count="1" selected="0">
            <x v="90"/>
          </reference>
          <reference field="17" count="1">
            <x v="113"/>
          </reference>
          <reference field="20" count="1" selected="0">
            <x v="151"/>
          </reference>
          <reference field="21" count="1" selected="0">
            <x v="6"/>
          </reference>
          <reference field="22" count="1" selected="0">
            <x v="134"/>
          </reference>
        </references>
      </pivotArea>
    </format>
    <format dxfId="648">
      <pivotArea dataOnly="0" labelOnly="1" outline="0" fieldPosition="0">
        <references count="10">
          <reference field="3" count="1" selected="0">
            <x v="131"/>
          </reference>
          <reference field="4" count="1" selected="0">
            <x v="2"/>
          </reference>
          <reference field="9" count="1" selected="0">
            <x v="0"/>
          </reference>
          <reference field="11" count="1" selected="0">
            <x v="172"/>
          </reference>
          <reference field="13" count="1" selected="0">
            <x v="135"/>
          </reference>
          <reference field="14" count="1" selected="0">
            <x v="91"/>
          </reference>
          <reference field="17" count="1">
            <x v="116"/>
          </reference>
          <reference field="20" count="1" selected="0">
            <x v="152"/>
          </reference>
          <reference field="21" count="1" selected="0">
            <x v="6"/>
          </reference>
          <reference field="22" count="1" selected="0">
            <x v="135"/>
          </reference>
        </references>
      </pivotArea>
    </format>
    <format dxfId="647">
      <pivotArea dataOnly="0" labelOnly="1" outline="0" fieldPosition="0">
        <references count="10">
          <reference field="3" count="1" selected="0">
            <x v="132"/>
          </reference>
          <reference field="4" count="1" selected="0">
            <x v="2"/>
          </reference>
          <reference field="9" count="1" selected="0">
            <x v="0"/>
          </reference>
          <reference field="11" count="1" selected="0">
            <x v="173"/>
          </reference>
          <reference field="13" count="1" selected="0">
            <x v="136"/>
          </reference>
          <reference field="14" count="1" selected="0">
            <x v="43"/>
          </reference>
          <reference field="17" count="1">
            <x v="117"/>
          </reference>
          <reference field="20" count="1" selected="0">
            <x v="153"/>
          </reference>
          <reference field="21" count="1" selected="0">
            <x v="4"/>
          </reference>
          <reference field="22" count="1" selected="0">
            <x v="136"/>
          </reference>
        </references>
      </pivotArea>
    </format>
    <format dxfId="646">
      <pivotArea dataOnly="0" labelOnly="1" outline="0" fieldPosition="0">
        <references count="10">
          <reference field="3" count="1" selected="0">
            <x v="133"/>
          </reference>
          <reference field="4" count="1" selected="0">
            <x v="4"/>
          </reference>
          <reference field="9" count="1" selected="0">
            <x v="0"/>
          </reference>
          <reference field="11" count="1" selected="0">
            <x v="174"/>
          </reference>
          <reference field="13" count="1" selected="0">
            <x v="137"/>
          </reference>
          <reference field="14" count="1" selected="0">
            <x v="92"/>
          </reference>
          <reference field="17" count="1">
            <x v="118"/>
          </reference>
          <reference field="20" count="1" selected="0">
            <x v="154"/>
          </reference>
          <reference field="21" count="1" selected="0">
            <x v="4"/>
          </reference>
          <reference field="22" count="1" selected="0">
            <x v="137"/>
          </reference>
        </references>
      </pivotArea>
    </format>
    <format dxfId="645">
      <pivotArea dataOnly="0" labelOnly="1" outline="0" fieldPosition="0">
        <references count="11">
          <reference field="3" count="1" selected="0">
            <x v="8"/>
          </reference>
          <reference field="4" count="1" selected="0">
            <x v="1"/>
          </reference>
          <reference field="9" count="1" selected="0">
            <x v="0"/>
          </reference>
          <reference field="11" count="1" selected="0">
            <x v="166"/>
          </reference>
          <reference field="13" count="1" selected="0">
            <x v="125"/>
          </reference>
          <reference field="14" count="1" selected="0">
            <x v="88"/>
          </reference>
          <reference field="17" count="1" selected="0">
            <x v="109"/>
          </reference>
          <reference field="18" count="1">
            <x v="67"/>
          </reference>
          <reference field="20" count="1" selected="0">
            <x v="146"/>
          </reference>
          <reference field="21" count="1" selected="0">
            <x v="4"/>
          </reference>
          <reference field="22" count="1" selected="0">
            <x v="130"/>
          </reference>
        </references>
      </pivotArea>
    </format>
    <format dxfId="644">
      <pivotArea dataOnly="0" labelOnly="1" outline="0" fieldPosition="0">
        <references count="11">
          <reference field="3" count="1" selected="0">
            <x v="13"/>
          </reference>
          <reference field="4" count="1" selected="0">
            <x v="0"/>
          </reference>
          <reference field="9" count="1" selected="0">
            <x v="0"/>
          </reference>
          <reference field="11" count="1" selected="0">
            <x v="146"/>
          </reference>
          <reference field="13" count="1" selected="0">
            <x v="110"/>
          </reference>
          <reference field="14" count="1" selected="0">
            <x v="75"/>
          </reference>
          <reference field="17" count="1" selected="0">
            <x v="91"/>
          </reference>
          <reference field="18" count="1">
            <x v="60"/>
          </reference>
          <reference field="20" count="1" selected="0">
            <x v="124"/>
          </reference>
          <reference field="21" count="1" selected="0">
            <x v="1"/>
          </reference>
          <reference field="22" count="1" selected="0">
            <x v="109"/>
          </reference>
        </references>
      </pivotArea>
    </format>
    <format dxfId="643">
      <pivotArea dataOnly="0" labelOnly="1" outline="0" fieldPosition="0">
        <references count="11">
          <reference field="3" count="1" selected="0">
            <x v="25"/>
          </reference>
          <reference field="4" count="1" selected="0">
            <x v="3"/>
          </reference>
          <reference field="9" count="1" selected="0">
            <x v="0"/>
          </reference>
          <reference field="11" count="1" selected="0">
            <x v="128"/>
          </reference>
          <reference field="13" count="1" selected="0">
            <x v="98"/>
          </reference>
          <reference field="14" count="1" selected="0">
            <x v="62"/>
          </reference>
          <reference field="17" count="1" selected="0">
            <x v="80"/>
          </reference>
          <reference field="18" count="1">
            <x v="89"/>
          </reference>
          <reference field="20" count="1" selected="0">
            <x v="110"/>
          </reference>
          <reference field="21" count="1" selected="0">
            <x v="4"/>
          </reference>
          <reference field="22" count="1" selected="0">
            <x v="98"/>
          </reference>
        </references>
      </pivotArea>
    </format>
    <format dxfId="642">
      <pivotArea dataOnly="0" labelOnly="1" outline="0" fieldPosition="0">
        <references count="11">
          <reference field="3" count="1" selected="0">
            <x v="49"/>
          </reference>
          <reference field="4" count="1" selected="0">
            <x v="1"/>
          </reference>
          <reference field="9" count="1" selected="0">
            <x v="0"/>
          </reference>
          <reference field="11" count="1" selected="0">
            <x v="138"/>
          </reference>
          <reference field="13" count="1" selected="0">
            <x v="102"/>
          </reference>
          <reference field="14" count="1" selected="0">
            <x v="70"/>
          </reference>
          <reference field="17" count="1" selected="0">
            <x v="84"/>
          </reference>
          <reference field="18" count="1">
            <x v="90"/>
          </reference>
          <reference field="20" count="1" selected="0">
            <x v="114"/>
          </reference>
          <reference field="21" count="1" selected="0">
            <x v="4"/>
          </reference>
          <reference field="22" count="1" selected="0">
            <x v="102"/>
          </reference>
        </references>
      </pivotArea>
    </format>
    <format dxfId="641">
      <pivotArea dataOnly="0" labelOnly="1" outline="0" fieldPosition="0">
        <references count="11">
          <reference field="3" count="1" selected="0">
            <x v="50"/>
          </reference>
          <reference field="4" count="1" selected="0">
            <x v="3"/>
          </reference>
          <reference field="9" count="1" selected="0">
            <x v="0"/>
          </reference>
          <reference field="11" count="1" selected="0">
            <x v="95"/>
          </reference>
          <reference field="13" count="1" selected="0">
            <x v="85"/>
          </reference>
          <reference field="14" count="1" selected="0">
            <x v="59"/>
          </reference>
          <reference field="17" count="1" selected="0">
            <x v="17"/>
          </reference>
          <reference field="18" count="1">
            <x v="23"/>
          </reference>
          <reference field="20" count="1" selected="0">
            <x v="73"/>
          </reference>
          <reference field="21" count="1" selected="0">
            <x v="4"/>
          </reference>
          <reference field="22" count="1" selected="0">
            <x v="73"/>
          </reference>
        </references>
      </pivotArea>
    </format>
    <format dxfId="640">
      <pivotArea dataOnly="0" labelOnly="1" outline="0" fieldPosition="0">
        <references count="11">
          <reference field="3" count="1" selected="0">
            <x v="53"/>
          </reference>
          <reference field="4" count="1" selected="0">
            <x v="3"/>
          </reference>
          <reference field="9" count="1" selected="0">
            <x v="0"/>
          </reference>
          <reference field="11" count="1" selected="0">
            <x v="119"/>
          </reference>
          <reference field="13" count="1" selected="0">
            <x v="91"/>
          </reference>
          <reference field="14" count="1" selected="0">
            <x v="53"/>
          </reference>
          <reference field="17" count="1" selected="0">
            <x v="21"/>
          </reference>
          <reference field="18" count="1">
            <x v="26"/>
          </reference>
          <reference field="20" count="1" selected="0">
            <x v="98"/>
          </reference>
          <reference field="21" count="1" selected="0">
            <x v="4"/>
          </reference>
          <reference field="22" count="1" selected="0">
            <x v="92"/>
          </reference>
        </references>
      </pivotArea>
    </format>
    <format dxfId="639">
      <pivotArea dataOnly="0" labelOnly="1" outline="0" fieldPosition="0">
        <references count="11">
          <reference field="3" count="1" selected="0">
            <x v="55"/>
          </reference>
          <reference field="4" count="1" selected="0">
            <x v="3"/>
          </reference>
          <reference field="9" count="1" selected="0">
            <x v="0"/>
          </reference>
          <reference field="11" count="1" selected="0">
            <x v="130"/>
          </reference>
          <reference field="13" count="1" selected="0">
            <x v="101"/>
          </reference>
          <reference field="14" count="1" selected="0">
            <x v="68"/>
          </reference>
          <reference field="17" count="1" selected="0">
            <x v="81"/>
          </reference>
          <reference field="18" count="1">
            <x v="75"/>
          </reference>
          <reference field="20" count="1" selected="0">
            <x v="112"/>
          </reference>
          <reference field="21" count="1" selected="0">
            <x v="4"/>
          </reference>
          <reference field="22" count="1" selected="0">
            <x v="100"/>
          </reference>
        </references>
      </pivotArea>
    </format>
    <format dxfId="638">
      <pivotArea dataOnly="0" labelOnly="1" outline="0" fieldPosition="0">
        <references count="11">
          <reference field="3" count="1" selected="0">
            <x v="56"/>
          </reference>
          <reference field="4" count="1" selected="0">
            <x v="0"/>
          </reference>
          <reference field="9" count="1" selected="0">
            <x v="0"/>
          </reference>
          <reference field="11" count="1" selected="0">
            <x v="114"/>
          </reference>
          <reference field="13" count="1" selected="0">
            <x v="87"/>
          </reference>
          <reference field="14" count="1" selected="0">
            <x v="60"/>
          </reference>
          <reference field="17" count="1" selected="0">
            <x v="6"/>
          </reference>
          <reference field="18" count="1">
            <x v="7"/>
          </reference>
          <reference field="20" count="1" selected="0">
            <x v="91"/>
          </reference>
          <reference field="21" count="1" selected="0">
            <x v="6"/>
          </reference>
          <reference field="22" count="1" selected="0">
            <x v="88"/>
          </reference>
        </references>
      </pivotArea>
    </format>
    <format dxfId="637">
      <pivotArea dataOnly="0" labelOnly="1" outline="0" fieldPosition="0">
        <references count="11">
          <reference field="3" count="1" selected="0">
            <x v="57"/>
          </reference>
          <reference field="4" count="1" selected="0">
            <x v="3"/>
          </reference>
          <reference field="9" count="1" selected="0">
            <x v="0"/>
          </reference>
          <reference field="11" count="1" selected="0">
            <x v="113"/>
          </reference>
          <reference field="13" count="1" selected="0">
            <x v="86"/>
          </reference>
          <reference field="14" count="1" selected="0">
            <x v="14"/>
          </reference>
          <reference field="17" count="1" selected="0">
            <x v="7"/>
          </reference>
          <reference field="18" count="1">
            <x v="8"/>
          </reference>
          <reference field="20" count="1" selected="0">
            <x v="90"/>
          </reference>
          <reference field="21" count="1" selected="0">
            <x v="4"/>
          </reference>
          <reference field="22" count="1" selected="0">
            <x v="87"/>
          </reference>
        </references>
      </pivotArea>
    </format>
    <format dxfId="636">
      <pivotArea dataOnly="0" labelOnly="1" outline="0" fieldPosition="0">
        <references count="11">
          <reference field="3" count="1" selected="0">
            <x v="57"/>
          </reference>
          <reference field="4" count="1" selected="0">
            <x v="3"/>
          </reference>
          <reference field="9" count="1" selected="0">
            <x v="0"/>
          </reference>
          <reference field="11" count="1" selected="0">
            <x v="164"/>
          </reference>
          <reference field="13" count="1" selected="0">
            <x v="86"/>
          </reference>
          <reference field="14" count="1" selected="0">
            <x v="14"/>
          </reference>
          <reference field="17" count="1" selected="0">
            <x v="108"/>
          </reference>
          <reference field="18" count="1">
            <x v="51"/>
          </reference>
          <reference field="20" count="1" selected="0">
            <x v="90"/>
          </reference>
          <reference field="21" count="1" selected="0">
            <x v="4"/>
          </reference>
          <reference field="22" count="1" selected="0">
            <x v="127"/>
          </reference>
        </references>
      </pivotArea>
    </format>
    <format dxfId="635">
      <pivotArea dataOnly="0" labelOnly="1" outline="0" fieldPosition="0">
        <references count="11">
          <reference field="3" count="1" selected="0">
            <x v="62"/>
          </reference>
          <reference field="4" count="1" selected="0">
            <x v="0"/>
          </reference>
          <reference field="9" count="1" selected="0">
            <x v="0"/>
          </reference>
          <reference field="11" count="1" selected="0">
            <x v="117"/>
          </reference>
          <reference field="13" count="1" selected="0">
            <x v="88"/>
          </reference>
          <reference field="14" count="1" selected="0">
            <x v="56"/>
          </reference>
          <reference field="17" count="1" selected="0">
            <x v="75"/>
          </reference>
          <reference field="18" count="1">
            <x v="20"/>
          </reference>
          <reference field="20" count="1" selected="0">
            <x v="96"/>
          </reference>
          <reference field="21" count="1" selected="0">
            <x v="6"/>
          </reference>
          <reference field="22" count="1" selected="0">
            <x v="90"/>
          </reference>
        </references>
      </pivotArea>
    </format>
    <format dxfId="634">
      <pivotArea dataOnly="0" labelOnly="1" outline="0" fieldPosition="0">
        <references count="11">
          <reference field="3" count="1" selected="0">
            <x v="72"/>
          </reference>
          <reference field="4" count="1" selected="0">
            <x v="3"/>
          </reference>
          <reference field="9" count="1" selected="0">
            <x v="0"/>
          </reference>
          <reference field="11" count="1" selected="0">
            <x v="120"/>
          </reference>
          <reference field="13" count="1" selected="0">
            <x v="89"/>
          </reference>
          <reference field="14" count="1" selected="0">
            <x v="62"/>
          </reference>
          <reference field="17" count="1" selected="0">
            <x v="8"/>
          </reference>
          <reference field="18" count="1">
            <x v="9"/>
          </reference>
          <reference field="20" count="1" selected="0">
            <x v="99"/>
          </reference>
          <reference field="21" count="1" selected="0">
            <x v="4"/>
          </reference>
          <reference field="22" count="1" selected="0">
            <x v="93"/>
          </reference>
        </references>
      </pivotArea>
    </format>
    <format dxfId="633">
      <pivotArea dataOnly="0" labelOnly="1" outline="0" fieldPosition="0">
        <references count="11">
          <reference field="3" count="1" selected="0">
            <x v="74"/>
          </reference>
          <reference field="4" count="1" selected="0">
            <x v="2"/>
          </reference>
          <reference field="9" count="1" selected="0">
            <x v="0"/>
          </reference>
          <reference field="11" count="1" selected="0">
            <x v="142"/>
          </reference>
          <reference field="13" count="1" selected="0">
            <x v="104"/>
          </reference>
          <reference field="14" count="1" selected="0">
            <x v="73"/>
          </reference>
          <reference field="17" count="1" selected="0">
            <x v="87"/>
          </reference>
          <reference field="18" count="1">
            <x v="91"/>
          </reference>
          <reference field="20" count="1" selected="0">
            <x v="120"/>
          </reference>
          <reference field="21" count="1" selected="0">
            <x v="4"/>
          </reference>
          <reference field="22" count="1" selected="0">
            <x v="106"/>
          </reference>
        </references>
      </pivotArea>
    </format>
    <format dxfId="632">
      <pivotArea dataOnly="0" labelOnly="1" outline="0" fieldPosition="0">
        <references count="11">
          <reference field="3" count="1" selected="0">
            <x v="75"/>
          </reference>
          <reference field="4" count="1" selected="0">
            <x v="0"/>
          </reference>
          <reference field="9" count="1" selected="0">
            <x v="0"/>
          </reference>
          <reference field="11" count="1" selected="0">
            <x v="151"/>
          </reference>
          <reference field="13" count="1" selected="0">
            <x v="115"/>
          </reference>
          <reference field="14" count="1" selected="0">
            <x v="2"/>
          </reference>
          <reference field="17" count="1" selected="0">
            <x v="96"/>
          </reference>
          <reference field="18" count="1">
            <x v="63"/>
          </reference>
          <reference field="20" count="1" selected="0">
            <x v="129"/>
          </reference>
          <reference field="21" count="1" selected="0">
            <x v="6"/>
          </reference>
          <reference field="22" count="1" selected="0">
            <x v="24"/>
          </reference>
        </references>
      </pivotArea>
    </format>
    <format dxfId="631">
      <pivotArea dataOnly="0" labelOnly="1" outline="0" fieldPosition="0">
        <references count="11">
          <reference field="3" count="1" selected="0">
            <x v="75"/>
          </reference>
          <reference field="4" count="1" selected="0">
            <x v="1"/>
          </reference>
          <reference field="9" count="1" selected="0">
            <x v="0"/>
          </reference>
          <reference field="11" count="1" selected="0">
            <x v="149"/>
          </reference>
          <reference field="13" count="1" selected="0">
            <x v="115"/>
          </reference>
          <reference field="14" count="1" selected="0">
            <x v="2"/>
          </reference>
          <reference field="17" count="1" selected="0">
            <x v="95"/>
          </reference>
          <reference field="18" count="1">
            <x v="62"/>
          </reference>
          <reference field="20" count="1" selected="0">
            <x v="129"/>
          </reference>
          <reference field="21" count="1" selected="0">
            <x v="6"/>
          </reference>
          <reference field="22" count="1" selected="0">
            <x v="109"/>
          </reference>
        </references>
      </pivotArea>
    </format>
    <format dxfId="630">
      <pivotArea dataOnly="0" labelOnly="1" outline="0" fieldPosition="0">
        <references count="11">
          <reference field="3" count="1" selected="0">
            <x v="77"/>
          </reference>
          <reference field="4" count="1" selected="0">
            <x v="2"/>
          </reference>
          <reference field="9" count="1" selected="0">
            <x v="0"/>
          </reference>
          <reference field="11" count="1" selected="0">
            <x v="124"/>
          </reference>
          <reference field="13" count="1" selected="0">
            <x v="95"/>
          </reference>
          <reference field="14" count="1" selected="0">
            <x v="65"/>
          </reference>
          <reference field="17" count="1" selected="0">
            <x v="18"/>
          </reference>
          <reference field="18" count="1">
            <x v="16"/>
          </reference>
          <reference field="20" count="1" selected="0">
            <x v="107"/>
          </reference>
          <reference field="21" count="1" selected="0">
            <x v="4"/>
          </reference>
          <reference field="22" count="1" selected="0">
            <x v="89"/>
          </reference>
        </references>
      </pivotArea>
    </format>
    <format dxfId="629">
      <pivotArea dataOnly="0" labelOnly="1" outline="0" fieldPosition="0">
        <references count="11">
          <reference field="3" count="1" selected="0">
            <x v="81"/>
          </reference>
          <reference field="4" count="1" selected="0">
            <x v="1"/>
          </reference>
          <reference field="9" count="1" selected="0">
            <x v="0"/>
          </reference>
          <reference field="11" count="1" selected="0">
            <x v="121"/>
          </reference>
          <reference field="13" count="1" selected="0">
            <x v="94"/>
          </reference>
          <reference field="14" count="1" selected="0">
            <x v="63"/>
          </reference>
          <reference field="17" count="1" selected="0">
            <x v="2"/>
          </reference>
          <reference field="18" count="1">
            <x v="2"/>
          </reference>
          <reference field="20" count="1" selected="0">
            <x v="105"/>
          </reference>
          <reference field="21" count="1" selected="0">
            <x v="4"/>
          </reference>
          <reference field="22" count="1" selected="0">
            <x v="94"/>
          </reference>
        </references>
      </pivotArea>
    </format>
    <format dxfId="628">
      <pivotArea dataOnly="0" labelOnly="1" outline="0" fieldPosition="0">
        <references count="11">
          <reference field="3" count="1" selected="0">
            <x v="82"/>
          </reference>
          <reference field="4" count="1" selected="0">
            <x v="2"/>
          </reference>
          <reference field="9" count="1" selected="0">
            <x v="0"/>
          </reference>
          <reference field="11" count="1" selected="0">
            <x v="123"/>
          </reference>
          <reference field="13" count="1" selected="0">
            <x v="92"/>
          </reference>
          <reference field="14" count="1" selected="0">
            <x v="33"/>
          </reference>
          <reference field="17" count="1" selected="0">
            <x v="76"/>
          </reference>
          <reference field="18" count="1">
            <x v="53"/>
          </reference>
          <reference field="20" count="1" selected="0">
            <x v="133"/>
          </reference>
          <reference field="21" count="1" selected="0">
            <x v="4"/>
          </reference>
          <reference field="22" count="1" selected="0">
            <x v="116"/>
          </reference>
        </references>
      </pivotArea>
    </format>
    <format dxfId="627">
      <pivotArea dataOnly="0" labelOnly="1" outline="0" fieldPosition="0">
        <references count="11">
          <reference field="3" count="1" selected="0">
            <x v="83"/>
          </reference>
          <reference field="4" count="1" selected="0">
            <x v="0"/>
          </reference>
          <reference field="9" count="1" selected="0">
            <x v="0"/>
          </reference>
          <reference field="11" count="1" selected="0">
            <x v="132"/>
          </reference>
          <reference field="13" count="1" selected="0">
            <x v="106"/>
          </reference>
          <reference field="14" count="1" selected="0">
            <x v="72"/>
          </reference>
          <reference field="17" count="1" selected="0">
            <x v="83"/>
          </reference>
          <reference field="18" count="1">
            <x v="79"/>
          </reference>
          <reference field="20" count="1" selected="0">
            <x v="117"/>
          </reference>
          <reference field="21" count="1" selected="0">
            <x v="6"/>
          </reference>
          <reference field="22" count="1" selected="0">
            <x v="72"/>
          </reference>
        </references>
      </pivotArea>
    </format>
    <format dxfId="626">
      <pivotArea dataOnly="0" labelOnly="1" outline="0" fieldPosition="0">
        <references count="11">
          <reference field="3" count="1" selected="0">
            <x v="83"/>
          </reference>
          <reference field="4" count="1" selected="0">
            <x v="0"/>
          </reference>
          <reference field="9" count="1" selected="0">
            <x v="0"/>
          </reference>
          <reference field="11" count="1" selected="0">
            <x v="134"/>
          </reference>
          <reference field="13" count="1" selected="0">
            <x v="106"/>
          </reference>
          <reference field="14" count="1" selected="0">
            <x v="60"/>
          </reference>
          <reference field="17" count="1" selected="0">
            <x v="93"/>
          </reference>
          <reference field="18" count="1">
            <x v="92"/>
          </reference>
          <reference field="20" count="1" selected="0">
            <x v="128"/>
          </reference>
          <reference field="21" count="1" selected="0">
            <x v="6"/>
          </reference>
          <reference field="22" count="1" selected="0">
            <x v="112"/>
          </reference>
        </references>
      </pivotArea>
    </format>
    <format dxfId="625">
      <pivotArea dataOnly="0" labelOnly="1" outline="0" fieldPosition="0">
        <references count="11">
          <reference field="3" count="1" selected="0">
            <x v="85"/>
          </reference>
          <reference field="4" count="1" selected="0">
            <x v="1"/>
          </reference>
          <reference field="9" count="1" selected="0">
            <x v="0"/>
          </reference>
          <reference field="11" count="1" selected="0">
            <x v="126"/>
          </reference>
          <reference field="13" count="1" selected="0">
            <x v="90"/>
          </reference>
          <reference field="14" count="1" selected="0">
            <x v="64"/>
          </reference>
          <reference field="17" count="1" selected="0">
            <x v="78"/>
          </reference>
          <reference field="18" count="1">
            <x v="54"/>
          </reference>
          <reference field="20" count="1" selected="0">
            <x v="108"/>
          </reference>
          <reference field="21" count="1" selected="0">
            <x v="4"/>
          </reference>
          <reference field="22" count="1" selected="0">
            <x v="96"/>
          </reference>
        </references>
      </pivotArea>
    </format>
    <format dxfId="624">
      <pivotArea dataOnly="0" labelOnly="1" outline="0" fieldPosition="0">
        <references count="11">
          <reference field="3" count="1" selected="0">
            <x v="99"/>
          </reference>
          <reference field="4" count="1" selected="0">
            <x v="2"/>
          </reference>
          <reference field="9" count="1" selected="0">
            <x v="0"/>
          </reference>
          <reference field="11" count="1" selected="0">
            <x v="125"/>
          </reference>
          <reference field="13" count="1" selected="0">
            <x v="96"/>
          </reference>
          <reference field="14" count="1" selected="0">
            <x v="65"/>
          </reference>
          <reference field="17" count="1" selected="0">
            <x v="77"/>
          </reference>
          <reference field="18" count="1">
            <x v="44"/>
          </reference>
          <reference field="20" count="1" selected="0">
            <x v="92"/>
          </reference>
          <reference field="21" count="1" selected="0">
            <x v="4"/>
          </reference>
          <reference field="22" count="1" selected="0">
            <x v="89"/>
          </reference>
        </references>
      </pivotArea>
    </format>
    <format dxfId="623">
      <pivotArea dataOnly="0" labelOnly="1" outline="0" fieldPosition="0">
        <references count="11">
          <reference field="3" count="1" selected="0">
            <x v="100"/>
          </reference>
          <reference field="4" count="1" selected="0">
            <x v="0"/>
          </reference>
          <reference field="9" count="1" selected="0">
            <x v="0"/>
          </reference>
          <reference field="11" count="1" selected="0">
            <x v="133"/>
          </reference>
          <reference field="13" count="1" selected="0">
            <x v="84"/>
          </reference>
          <reference field="14" count="1" selected="0">
            <x v="56"/>
          </reference>
          <reference field="17" count="1" selected="0">
            <x v="83"/>
          </reference>
          <reference field="18" count="1">
            <x v="79"/>
          </reference>
          <reference field="20" count="1" selected="0">
            <x v="118"/>
          </reference>
          <reference field="21" count="1" selected="0">
            <x v="6"/>
          </reference>
          <reference field="22" count="1" selected="0">
            <x v="72"/>
          </reference>
        </references>
      </pivotArea>
    </format>
    <format dxfId="622">
      <pivotArea dataOnly="0" labelOnly="1" outline="0" fieldPosition="0">
        <references count="11">
          <reference field="3" count="1" selected="0">
            <x v="100"/>
          </reference>
          <reference field="4" count="1" selected="0">
            <x v="0"/>
          </reference>
          <reference field="9" count="1" selected="0">
            <x v="0"/>
          </reference>
          <reference field="11" count="1" selected="0">
            <x v="135"/>
          </reference>
          <reference field="13" count="1" selected="0">
            <x v="112"/>
          </reference>
          <reference field="14" count="1" selected="0">
            <x v="78"/>
          </reference>
          <reference field="17" count="1" selected="0">
            <x v="93"/>
          </reference>
          <reference field="18" count="1">
            <x v="92"/>
          </reference>
          <reference field="20" count="1" selected="0">
            <x v="127"/>
          </reference>
          <reference field="21" count="1" selected="0">
            <x v="6"/>
          </reference>
          <reference field="22" count="1" selected="0">
            <x v="112"/>
          </reference>
        </references>
      </pivotArea>
    </format>
    <format dxfId="621">
      <pivotArea dataOnly="0" labelOnly="1" outline="0" fieldPosition="0">
        <references count="11">
          <reference field="3" count="1" selected="0">
            <x v="101"/>
          </reference>
          <reference field="4" count="1" selected="0">
            <x v="3"/>
          </reference>
          <reference field="9" count="1" selected="0">
            <x v="0"/>
          </reference>
          <reference field="11" count="1" selected="0">
            <x v="140"/>
          </reference>
          <reference field="13" count="1" selected="0">
            <x v="1"/>
          </reference>
          <reference field="14" count="1" selected="0">
            <x v="69"/>
          </reference>
          <reference field="17" count="1" selected="0">
            <x v="86"/>
          </reference>
          <reference field="18" count="1">
            <x v="57"/>
          </reference>
          <reference field="20" count="1" selected="0">
            <x v="116"/>
          </reference>
          <reference field="21" count="1" selected="0">
            <x v="4"/>
          </reference>
          <reference field="22" count="1" selected="0">
            <x v="104"/>
          </reference>
        </references>
      </pivotArea>
    </format>
    <format dxfId="620">
      <pivotArea dataOnly="0" labelOnly="1" outline="0" fieldPosition="0">
        <references count="11">
          <reference field="3" count="1" selected="0">
            <x v="102"/>
          </reference>
          <reference field="4" count="1" selected="0">
            <x v="3"/>
          </reference>
          <reference field="9" count="1" selected="0">
            <x v="0"/>
          </reference>
          <reference field="11" count="1" selected="0">
            <x v="155"/>
          </reference>
          <reference field="13" count="1" selected="0">
            <x v="122"/>
          </reference>
          <reference field="14" count="1" selected="0">
            <x v="82"/>
          </reference>
          <reference field="17" count="1" selected="0">
            <x v="99"/>
          </reference>
          <reference field="18" count="1">
            <x v="77"/>
          </reference>
          <reference field="20" count="1" selected="0">
            <x v="143"/>
          </reference>
          <reference field="21" count="1" selected="0">
            <x v="2"/>
          </reference>
          <reference field="22" count="1" selected="0">
            <x v="119"/>
          </reference>
        </references>
      </pivotArea>
    </format>
    <format dxfId="619">
      <pivotArea dataOnly="0" labelOnly="1" outline="0" fieldPosition="0">
        <references count="11">
          <reference field="3" count="1" selected="0">
            <x v="102"/>
          </reference>
          <reference field="4" count="1" selected="0">
            <x v="3"/>
          </reference>
          <reference field="9" count="1" selected="0">
            <x v="0"/>
          </reference>
          <reference field="11" count="1" selected="0">
            <x v="157"/>
          </reference>
          <reference field="13" count="1" selected="0">
            <x v="122"/>
          </reference>
          <reference field="14" count="1" selected="0">
            <x v="82"/>
          </reference>
          <reference field="17" count="1" selected="0">
            <x v="102"/>
          </reference>
          <reference field="18" count="1">
            <x v="78"/>
          </reference>
          <reference field="20" count="1" selected="0">
            <x v="144"/>
          </reference>
          <reference field="21" count="1" selected="0">
            <x v="2"/>
          </reference>
          <reference field="22" count="1" selected="0">
            <x v="126"/>
          </reference>
        </references>
      </pivotArea>
    </format>
    <format dxfId="618">
      <pivotArea dataOnly="0" labelOnly="1" outline="0" fieldPosition="0">
        <references count="11">
          <reference field="3" count="1" selected="0">
            <x v="103"/>
          </reference>
          <reference field="4" count="1" selected="0">
            <x v="3"/>
          </reference>
          <reference field="9" count="1" selected="0">
            <x v="0"/>
          </reference>
          <reference field="11" count="1" selected="0">
            <x v="143"/>
          </reference>
          <reference field="13" count="1" selected="0">
            <x v="105"/>
          </reference>
          <reference field="14" count="1" selected="0">
            <x v="74"/>
          </reference>
          <reference field="17" count="1" selected="0">
            <x v="89"/>
          </reference>
          <reference field="18" count="1">
            <x v="59"/>
          </reference>
          <reference field="20" count="1" selected="0">
            <x v="121"/>
          </reference>
          <reference field="21" count="1" selected="0">
            <x v="4"/>
          </reference>
          <reference field="22" count="1" selected="0">
            <x v="53"/>
          </reference>
        </references>
      </pivotArea>
    </format>
    <format dxfId="617">
      <pivotArea dataOnly="0" labelOnly="1" outline="0" fieldPosition="0">
        <references count="11">
          <reference field="3" count="1" selected="0">
            <x v="104"/>
          </reference>
          <reference field="4" count="1" selected="0">
            <x v="2"/>
          </reference>
          <reference field="9" count="1" selected="0">
            <x v="0"/>
          </reference>
          <reference field="11" count="1" selected="0">
            <x v="167"/>
          </reference>
          <reference field="13" count="1" selected="0">
            <x v="127"/>
          </reference>
          <reference field="14" count="1" selected="0">
            <x v="76"/>
          </reference>
          <reference field="17" count="1" selected="0">
            <x v="111"/>
          </reference>
          <reference field="18" count="1">
            <x v="68"/>
          </reference>
          <reference field="20" count="1" selected="0">
            <x v="147"/>
          </reference>
          <reference field="21" count="1" selected="0">
            <x v="4"/>
          </reference>
          <reference field="22" count="1" selected="0">
            <x v="131"/>
          </reference>
        </references>
      </pivotArea>
    </format>
    <format dxfId="616">
      <pivotArea dataOnly="0" labelOnly="1" outline="0" fieldPosition="0">
        <references count="11">
          <reference field="3" count="1" selected="0">
            <x v="105"/>
          </reference>
          <reference field="4" count="1" selected="0">
            <x v="1"/>
          </reference>
          <reference field="9" count="1" selected="0">
            <x v="0"/>
          </reference>
          <reference field="11" count="1" selected="0">
            <x v="129"/>
          </reference>
          <reference field="13" count="1" selected="0">
            <x v="100"/>
          </reference>
          <reference field="14" count="1" selected="0">
            <x v="67"/>
          </reference>
          <reference field="17" count="1" selected="0">
            <x v="82"/>
          </reference>
          <reference field="18" count="1">
            <x v="47"/>
          </reference>
          <reference field="20" count="1" selected="0">
            <x v="111"/>
          </reference>
          <reference field="21" count="1" selected="0">
            <x v="4"/>
          </reference>
          <reference field="22" count="1" selected="0">
            <x v="99"/>
          </reference>
        </references>
      </pivotArea>
    </format>
    <format dxfId="615">
      <pivotArea dataOnly="0" labelOnly="1" outline="0" fieldPosition="0">
        <references count="11">
          <reference field="3" count="1" selected="0">
            <x v="106"/>
          </reference>
          <reference field="4" count="1" selected="0">
            <x v="0"/>
          </reference>
          <reference field="9" count="1" selected="0">
            <x v="0"/>
          </reference>
          <reference field="11" count="1" selected="0">
            <x v="168"/>
          </reference>
          <reference field="13" count="1" selected="0">
            <x v="128"/>
          </reference>
          <reference field="14" count="1" selected="0">
            <x v="89"/>
          </reference>
          <reference field="17" count="1" selected="0">
            <x v="112"/>
          </reference>
          <reference field="18" count="1">
            <x v="69"/>
          </reference>
          <reference field="20" count="1" selected="0">
            <x v="148"/>
          </reference>
          <reference field="21" count="1" selected="0">
            <x v="6"/>
          </reference>
          <reference field="22" count="1" selected="0">
            <x v="21"/>
          </reference>
        </references>
      </pivotArea>
    </format>
    <format dxfId="614">
      <pivotArea dataOnly="0" labelOnly="1" outline="0" fieldPosition="0">
        <references count="11">
          <reference field="3" count="1" selected="0">
            <x v="108"/>
          </reference>
          <reference field="4" count="1" selected="0">
            <x v="2"/>
          </reference>
          <reference field="9" count="1" selected="0">
            <x v="0"/>
          </reference>
          <reference field="11" count="1" selected="0">
            <x v="148"/>
          </reference>
          <reference field="13" count="1" selected="0">
            <x v="113"/>
          </reference>
          <reference field="14" count="1" selected="0">
            <x v="77"/>
          </reference>
          <reference field="17" count="1" selected="0">
            <x v="94"/>
          </reference>
          <reference field="18" count="1">
            <x v="65"/>
          </reference>
          <reference field="20" count="1" selected="0">
            <x v="126"/>
          </reference>
          <reference field="21" count="1" selected="0">
            <x v="4"/>
          </reference>
          <reference field="22" count="1" selected="0">
            <x v="111"/>
          </reference>
        </references>
      </pivotArea>
    </format>
    <format dxfId="613">
      <pivotArea dataOnly="0" labelOnly="1" outline="0" fieldPosition="0">
        <references count="11">
          <reference field="3" count="1" selected="0">
            <x v="109"/>
          </reference>
          <reference field="4" count="1" selected="0">
            <x v="2"/>
          </reference>
          <reference field="9" count="1" selected="0">
            <x v="0"/>
          </reference>
          <reference field="11" count="1" selected="0">
            <x v="162"/>
          </reference>
          <reference field="13" count="1" selected="0">
            <x v="124"/>
          </reference>
          <reference field="14" count="1" selected="0">
            <x v="85"/>
          </reference>
          <reference field="17" count="1" selected="0">
            <x v="106"/>
          </reference>
          <reference field="18" count="1">
            <x v="66"/>
          </reference>
          <reference field="20" count="1" selected="0">
            <x v="141"/>
          </reference>
          <reference field="21" count="1" selected="0">
            <x v="1"/>
          </reference>
          <reference field="22" count="1" selected="0">
            <x v="124"/>
          </reference>
        </references>
      </pivotArea>
    </format>
    <format dxfId="612">
      <pivotArea dataOnly="0" labelOnly="1" outline="0" fieldPosition="0">
        <references count="11">
          <reference field="3" count="1" selected="0">
            <x v="110"/>
          </reference>
          <reference field="4" count="1" selected="0">
            <x v="2"/>
          </reference>
          <reference field="9" count="1" selected="0">
            <x v="0"/>
          </reference>
          <reference field="11" count="1" selected="0">
            <x v="150"/>
          </reference>
          <reference field="13" count="1" selected="0">
            <x v="116"/>
          </reference>
          <reference field="14" count="1" selected="0">
            <x v="80"/>
          </reference>
          <reference field="17" count="1" selected="0">
            <x v="98"/>
          </reference>
          <reference field="18" count="1">
            <x v="72"/>
          </reference>
          <reference field="20" count="1" selected="0">
            <x v="134"/>
          </reference>
          <reference field="21" count="1" selected="0">
            <x v="1"/>
          </reference>
          <reference field="22" count="1" selected="0">
            <x v="117"/>
          </reference>
        </references>
      </pivotArea>
    </format>
    <format dxfId="611">
      <pivotArea dataOnly="0" labelOnly="1" outline="0" fieldPosition="0">
        <references count="11">
          <reference field="3" count="1" selected="0">
            <x v="111"/>
          </reference>
          <reference field="4" count="1" selected="0">
            <x v="4"/>
          </reference>
          <reference field="9" count="1" selected="0">
            <x v="0"/>
          </reference>
          <reference field="11" count="1" selected="0">
            <x v="122"/>
          </reference>
          <reference field="13" count="1" selected="0">
            <x v="93"/>
          </reference>
          <reference field="14" count="1" selected="0">
            <x v="59"/>
          </reference>
          <reference field="17" count="1" selected="0">
            <x v="16"/>
          </reference>
          <reference field="18" count="1">
            <x v="22"/>
          </reference>
          <reference field="20" count="1" selected="0">
            <x v="106"/>
          </reference>
          <reference field="21" count="1" selected="0">
            <x v="4"/>
          </reference>
          <reference field="22" count="1" selected="0">
            <x v="95"/>
          </reference>
        </references>
      </pivotArea>
    </format>
    <format dxfId="610">
      <pivotArea dataOnly="0" labelOnly="1" outline="0" fieldPosition="0">
        <references count="11">
          <reference field="3" count="1" selected="0">
            <x v="112"/>
          </reference>
          <reference field="4" count="1" selected="0">
            <x v="3"/>
          </reference>
          <reference field="9" count="1" selected="0">
            <x v="0"/>
          </reference>
          <reference field="11" count="1" selected="0">
            <x v="147"/>
          </reference>
          <reference field="13" count="1" selected="0">
            <x v="108"/>
          </reference>
          <reference field="14" count="1" selected="0">
            <x v="76"/>
          </reference>
          <reference field="17" count="1" selected="0">
            <x v="93"/>
          </reference>
          <reference field="18" count="1">
            <x v="92"/>
          </reference>
          <reference field="20" count="1" selected="0">
            <x v="125"/>
          </reference>
          <reference field="21" count="1" selected="0">
            <x v="2"/>
          </reference>
          <reference field="22" count="1" selected="0">
            <x v="110"/>
          </reference>
        </references>
      </pivotArea>
    </format>
    <format dxfId="609">
      <pivotArea dataOnly="0" labelOnly="1" outline="0" fieldPosition="0">
        <references count="11">
          <reference field="3" count="1" selected="0">
            <x v="113"/>
          </reference>
          <reference field="4" count="1" selected="0">
            <x v="1"/>
          </reference>
          <reference field="9" count="1" selected="0">
            <x v="0"/>
          </reference>
          <reference field="11" count="1" selected="0">
            <x v="144"/>
          </reference>
          <reference field="13" count="1" selected="0">
            <x v="111"/>
          </reference>
          <reference field="14" count="1" selected="0">
            <x v="60"/>
          </reference>
          <reference field="17" count="1" selected="0">
            <x v="92"/>
          </reference>
          <reference field="18" count="1">
            <x v="61"/>
          </reference>
          <reference field="20" count="1" selected="0">
            <x v="122"/>
          </reference>
          <reference field="21" count="1" selected="0">
            <x v="1"/>
          </reference>
          <reference field="22" count="1" selected="0">
            <x v="107"/>
          </reference>
        </references>
      </pivotArea>
    </format>
    <format dxfId="608">
      <pivotArea dataOnly="0" labelOnly="1" outline="0" fieldPosition="0">
        <references count="11">
          <reference field="3" count="1" selected="0">
            <x v="114"/>
          </reference>
          <reference field="4" count="1" selected="0">
            <x v="2"/>
          </reference>
          <reference field="9" count="1" selected="0">
            <x v="0"/>
          </reference>
          <reference field="11" count="1" selected="0">
            <x v="127"/>
          </reference>
          <reference field="13" count="1" selected="0">
            <x v="97"/>
          </reference>
          <reference field="14" count="1" selected="0">
            <x v="66"/>
          </reference>
          <reference field="17" count="1" selected="0">
            <x v="79"/>
          </reference>
          <reference field="18" count="1">
            <x v="88"/>
          </reference>
          <reference field="20" count="1" selected="0">
            <x v="109"/>
          </reference>
          <reference field="21" count="1" selected="0">
            <x v="4"/>
          </reference>
          <reference field="22" count="1" selected="0">
            <x v="97"/>
          </reference>
        </references>
      </pivotArea>
    </format>
    <format dxfId="607">
      <pivotArea dataOnly="0" labelOnly="1" outline="0" fieldPosition="0">
        <references count="11">
          <reference field="3" count="1" selected="0">
            <x v="115"/>
          </reference>
          <reference field="4" count="1" selected="0">
            <x v="3"/>
          </reference>
          <reference field="9" count="1" selected="0">
            <x v="0"/>
          </reference>
          <reference field="11" count="1" selected="0">
            <x v="156"/>
          </reference>
          <reference field="13" count="1" selected="0">
            <x v="118"/>
          </reference>
          <reference field="14" count="1" selected="0">
            <x v="81"/>
          </reference>
          <reference field="17" count="1" selected="0">
            <x v="101"/>
          </reference>
          <reference field="18" count="1">
            <x v="76"/>
          </reference>
          <reference field="20" count="1" selected="0">
            <x v="135"/>
          </reference>
          <reference field="21" count="1" selected="0">
            <x v="4"/>
          </reference>
          <reference field="22" count="1" selected="0">
            <x v="118"/>
          </reference>
        </references>
      </pivotArea>
    </format>
    <format dxfId="606">
      <pivotArea dataOnly="0" labelOnly="1" outline="0" fieldPosition="0">
        <references count="11">
          <reference field="3" count="1" selected="0">
            <x v="116"/>
          </reference>
          <reference field="4" count="1" selected="0">
            <x v="1"/>
          </reference>
          <reference field="9" count="1" selected="0">
            <x v="0"/>
          </reference>
          <reference field="11" count="1" selected="0">
            <x v="131"/>
          </reference>
          <reference field="13" count="1" selected="0">
            <x v="99"/>
          </reference>
          <reference field="14" count="1" selected="0">
            <x v="69"/>
          </reference>
          <reference field="17" count="1" selected="0">
            <x v="81"/>
          </reference>
          <reference field="18" count="1">
            <x v="46"/>
          </reference>
          <reference field="20" count="1" selected="0">
            <x v="113"/>
          </reference>
          <reference field="21" count="1" selected="0">
            <x v="1"/>
          </reference>
          <reference field="22" count="1" selected="0">
            <x v="101"/>
          </reference>
        </references>
      </pivotArea>
    </format>
    <format dxfId="605">
      <pivotArea dataOnly="0" labelOnly="1" outline="0" fieldPosition="0">
        <references count="11">
          <reference field="3" count="1" selected="0">
            <x v="117"/>
          </reference>
          <reference field="4" count="1" selected="0">
            <x v="1"/>
          </reference>
          <reference field="9" count="1" selected="0">
            <x v="0"/>
          </reference>
          <reference field="11" count="1" selected="0">
            <x v="141"/>
          </reference>
          <reference field="13" count="1" selected="0">
            <x v="107"/>
          </reference>
          <reference field="14" count="1" selected="0">
            <x v="16"/>
          </reference>
          <reference field="17" count="1" selected="0">
            <x v="88"/>
          </reference>
          <reference field="18" count="1">
            <x v="58"/>
          </reference>
          <reference field="20" count="1" selected="0">
            <x v="119"/>
          </reference>
          <reference field="21" count="1" selected="0">
            <x v="4"/>
          </reference>
          <reference field="22" count="1" selected="0">
            <x v="105"/>
          </reference>
        </references>
      </pivotArea>
    </format>
    <format dxfId="604">
      <pivotArea dataOnly="0" labelOnly="1" outline="0" fieldPosition="0">
        <references count="11">
          <reference field="3" count="1" selected="0">
            <x v="118"/>
          </reference>
          <reference field="4" count="1" selected="0">
            <x v="2"/>
          </reference>
          <reference field="9" count="1" selected="0">
            <x v="0"/>
          </reference>
          <reference field="11" count="1" selected="0">
            <x v="139"/>
          </reference>
          <reference field="13" count="1" selected="0">
            <x v="103"/>
          </reference>
          <reference field="14" count="1" selected="0">
            <x v="36"/>
          </reference>
          <reference field="17" count="1" selected="0">
            <x v="85"/>
          </reference>
          <reference field="18" count="1">
            <x v="49"/>
          </reference>
          <reference field="20" count="1" selected="0">
            <x v="115"/>
          </reference>
          <reference field="21" count="1" selected="0">
            <x v="4"/>
          </reference>
          <reference field="22" count="1" selected="0">
            <x v="103"/>
          </reference>
        </references>
      </pivotArea>
    </format>
    <format dxfId="603">
      <pivotArea dataOnly="0" labelOnly="1" outline="0" fieldPosition="0">
        <references count="11">
          <reference field="3" count="1" selected="0">
            <x v="119"/>
          </reference>
          <reference field="4" count="1" selected="0">
            <x v="1"/>
          </reference>
          <reference field="9" count="1" selected="0">
            <x v="0"/>
          </reference>
          <reference field="11" count="1" selected="0">
            <x v="154"/>
          </reference>
          <reference field="13" count="1" selected="0">
            <x v="114"/>
          </reference>
          <reference field="14" count="1" selected="0">
            <x v="79"/>
          </reference>
          <reference field="17" count="1" selected="0">
            <x v="97"/>
          </reference>
          <reference field="18" count="1">
            <x v="93"/>
          </reference>
          <reference field="20" count="1" selected="0">
            <x v="130"/>
          </reference>
          <reference field="21" count="1" selected="0">
            <x v="4"/>
          </reference>
          <reference field="22" count="1" selected="0">
            <x v="113"/>
          </reference>
        </references>
      </pivotArea>
    </format>
    <format dxfId="602">
      <pivotArea dataOnly="0" labelOnly="1" outline="0" fieldPosition="0">
        <references count="11">
          <reference field="3" count="1" selected="0">
            <x v="120"/>
          </reference>
          <reference field="4" count="1" selected="0">
            <x v="3"/>
          </reference>
          <reference field="9" count="1" selected="0">
            <x v="0"/>
          </reference>
          <reference field="11" count="1" selected="0">
            <x v="153"/>
          </reference>
          <reference field="13" count="1" selected="0">
            <x v="117"/>
          </reference>
          <reference field="14" count="1" selected="0">
            <x v="86"/>
          </reference>
          <reference field="17" count="1" selected="0">
            <x v="100"/>
          </reference>
          <reference field="18" count="1">
            <x v="94"/>
          </reference>
          <reference field="20" count="1" selected="0">
            <x v="131"/>
          </reference>
          <reference field="21" count="1" selected="0">
            <x v="4"/>
          </reference>
          <reference field="22" count="1" selected="0">
            <x v="114"/>
          </reference>
        </references>
      </pivotArea>
    </format>
    <format dxfId="601">
      <pivotArea dataOnly="0" labelOnly="1" outline="0" fieldPosition="0">
        <references count="11">
          <reference field="3" count="1" selected="0">
            <x v="120"/>
          </reference>
          <reference field="4" count="1" selected="0">
            <x v="3"/>
          </reference>
          <reference field="9" count="1" selected="0">
            <x v="0"/>
          </reference>
          <reference field="11" count="1" selected="0">
            <x v="163"/>
          </reference>
          <reference field="13" count="1" selected="0">
            <x v="117"/>
          </reference>
          <reference field="14" count="1" selected="0">
            <x v="86"/>
          </reference>
          <reference field="17" count="1" selected="0">
            <x v="107"/>
          </reference>
          <reference field="18" count="1">
            <x v="96"/>
          </reference>
          <reference field="20" count="1" selected="0">
            <x v="142"/>
          </reference>
          <reference field="21" count="1" selected="0">
            <x v="4"/>
          </reference>
          <reference field="22" count="1" selected="0">
            <x v="125"/>
          </reference>
        </references>
      </pivotArea>
    </format>
    <format dxfId="600">
      <pivotArea dataOnly="0" labelOnly="1" outline="0" fieldPosition="0">
        <references count="11">
          <reference field="3" count="1" selected="0">
            <x v="121"/>
          </reference>
          <reference field="4" count="1" selected="0">
            <x v="3"/>
          </reference>
          <reference field="9" count="1" selected="0">
            <x v="0"/>
          </reference>
          <reference field="11" count="1" selected="0">
            <x v="169"/>
          </reference>
          <reference field="13" count="1" selected="0">
            <x v="129"/>
          </reference>
          <reference field="14" count="1" selected="0">
            <x v="88"/>
          </reference>
          <reference field="17" count="1" selected="0">
            <x v="115"/>
          </reference>
          <reference field="18" count="1">
            <x v="98"/>
          </reference>
          <reference field="20" count="1" selected="0">
            <x v="149"/>
          </reference>
          <reference field="21" count="1" selected="0">
            <x v="4"/>
          </reference>
          <reference field="22" count="1" selected="0">
            <x v="132"/>
          </reference>
        </references>
      </pivotArea>
    </format>
    <format dxfId="599">
      <pivotArea dataOnly="0" labelOnly="1" outline="0" fieldPosition="0">
        <references count="11">
          <reference field="3" count="1" selected="0">
            <x v="122"/>
          </reference>
          <reference field="4" count="1" selected="0">
            <x v="4"/>
          </reference>
          <reference field="9" count="1" selected="0">
            <x v="0"/>
          </reference>
          <reference field="11" count="1" selected="0">
            <x v="145"/>
          </reference>
          <reference field="13" count="1" selected="0">
            <x v="109"/>
          </reference>
          <reference field="14" count="1" selected="0">
            <x v="65"/>
          </reference>
          <reference field="17" count="1" selected="0">
            <x v="90"/>
          </reference>
          <reference field="18" count="1">
            <x v="95"/>
          </reference>
          <reference field="20" count="1" selected="0">
            <x v="123"/>
          </reference>
          <reference field="21" count="1" selected="0">
            <x v="2"/>
          </reference>
          <reference field="22" count="1" selected="0">
            <x v="108"/>
          </reference>
        </references>
      </pivotArea>
    </format>
    <format dxfId="598">
      <pivotArea dataOnly="0" labelOnly="1" outline="0" fieldPosition="0">
        <references count="11">
          <reference field="3" count="1" selected="0">
            <x v="123"/>
          </reference>
          <reference field="4" count="1" selected="0">
            <x v="1"/>
          </reference>
          <reference field="9" count="1" selected="0">
            <x v="0"/>
          </reference>
          <reference field="11" count="1" selected="0">
            <x v="161"/>
          </reference>
          <reference field="13" count="1" selected="0">
            <x v="123"/>
          </reference>
          <reference field="14" count="1" selected="0">
            <x v="84"/>
          </reference>
          <reference field="17" count="1" selected="0">
            <x v="105"/>
          </reference>
          <reference field="18" count="1">
            <x v="50"/>
          </reference>
          <reference field="20" count="1" selected="0">
            <x v="140"/>
          </reference>
          <reference field="21" count="1" selected="0">
            <x v="4"/>
          </reference>
          <reference field="22" count="1" selected="0">
            <x v="123"/>
          </reference>
        </references>
      </pivotArea>
    </format>
    <format dxfId="597">
      <pivotArea dataOnly="0" labelOnly="1" outline="0" fieldPosition="0">
        <references count="11">
          <reference field="3" count="1" selected="0">
            <x v="124"/>
          </reference>
          <reference field="4" count="1" selected="0">
            <x v="1"/>
          </reference>
          <reference field="9" count="1" selected="0">
            <x v="0"/>
          </reference>
          <reference field="11" count="1" selected="0">
            <x v="158"/>
          </reference>
          <reference field="13" count="1" selected="0">
            <x v="119"/>
          </reference>
          <reference field="14" count="1" selected="0">
            <x v="83"/>
          </reference>
          <reference field="17" count="1" selected="0">
            <x v="100"/>
          </reference>
          <reference field="18" count="1">
            <x v="55"/>
          </reference>
          <reference field="20" count="1" selected="0">
            <x v="137"/>
          </reference>
          <reference field="21" count="1" selected="0">
            <x v="4"/>
          </reference>
          <reference field="22" count="1" selected="0">
            <x v="120"/>
          </reference>
        </references>
      </pivotArea>
    </format>
    <format dxfId="596">
      <pivotArea dataOnly="0" labelOnly="1" outline="0" fieldPosition="0">
        <references count="11">
          <reference field="3" count="1" selected="0">
            <x v="125"/>
          </reference>
          <reference field="4" count="1" selected="0">
            <x v="4"/>
          </reference>
          <reference field="9" count="1" selected="0">
            <x v="0"/>
          </reference>
          <reference field="11" count="1" selected="0">
            <x v="159"/>
          </reference>
          <reference field="13" count="1" selected="0">
            <x v="121"/>
          </reference>
          <reference field="14" count="1" selected="0">
            <x v="10"/>
          </reference>
          <reference field="17" count="1" selected="0">
            <x v="104"/>
          </reference>
          <reference field="18" count="1">
            <x v="73"/>
          </reference>
          <reference field="20" count="1" selected="0">
            <x v="138"/>
          </reference>
          <reference field="21" count="1" selected="0">
            <x v="6"/>
          </reference>
          <reference field="22" count="1" selected="0">
            <x v="121"/>
          </reference>
        </references>
      </pivotArea>
    </format>
    <format dxfId="595">
      <pivotArea dataOnly="0" labelOnly="1" outline="0" fieldPosition="0">
        <references count="11">
          <reference field="3" count="1" selected="0">
            <x v="126"/>
          </reference>
          <reference field="4" count="1" selected="0">
            <x v="4"/>
          </reference>
          <reference field="9" count="1" selected="0">
            <x v="0"/>
          </reference>
          <reference field="11" count="1" selected="0">
            <x v="160"/>
          </reference>
          <reference field="13" count="1" selected="0">
            <x v="120"/>
          </reference>
          <reference field="14" count="1" selected="0">
            <x v="65"/>
          </reference>
          <reference field="17" count="1" selected="0">
            <x v="103"/>
          </reference>
          <reference field="18" count="1">
            <x v="97"/>
          </reference>
          <reference field="20" count="1" selected="0">
            <x v="139"/>
          </reference>
          <reference field="21" count="1" selected="0">
            <x v="4"/>
          </reference>
          <reference field="22" count="1" selected="0">
            <x v="128"/>
          </reference>
        </references>
      </pivotArea>
    </format>
    <format dxfId="594">
      <pivotArea dataOnly="0" labelOnly="1" outline="0" fieldPosition="0">
        <references count="11">
          <reference field="3" count="1" selected="0">
            <x v="127"/>
          </reference>
          <reference field="4" count="1" selected="0">
            <x v="4"/>
          </reference>
          <reference field="9" count="1" selected="0">
            <x v="0"/>
          </reference>
          <reference field="11" count="1" selected="0">
            <x v="165"/>
          </reference>
          <reference field="13" count="1" selected="0">
            <x v="126"/>
          </reference>
          <reference field="14" count="1" selected="0">
            <x v="87"/>
          </reference>
          <reference field="17" count="1" selected="0">
            <x v="110"/>
          </reference>
          <reference field="18" count="1">
            <x v="70"/>
          </reference>
          <reference field="20" count="1" selected="0">
            <x v="145"/>
          </reference>
          <reference field="21" count="1" selected="0">
            <x v="1"/>
          </reference>
          <reference field="22" count="1" selected="0">
            <x v="129"/>
          </reference>
        </references>
      </pivotArea>
    </format>
    <format dxfId="593">
      <pivotArea dataOnly="0" labelOnly="1" outline="0" fieldPosition="0">
        <references count="11">
          <reference field="3" count="1" selected="0">
            <x v="129"/>
          </reference>
          <reference field="4" count="1" selected="0">
            <x v="3"/>
          </reference>
          <reference field="9" count="1" selected="0">
            <x v="0"/>
          </reference>
          <reference field="11" count="1" selected="0">
            <x v="170"/>
          </reference>
          <reference field="13" count="1" selected="0">
            <x v="132"/>
          </reference>
          <reference field="14" count="1" selected="0">
            <x v="86"/>
          </reference>
          <reference field="17" count="1" selected="0">
            <x v="114"/>
          </reference>
          <reference field="18" count="1">
            <x v="101"/>
          </reference>
          <reference field="20" count="1" selected="0">
            <x v="150"/>
          </reference>
          <reference field="21" count="1" selected="0">
            <x v="4"/>
          </reference>
          <reference field="22" count="1" selected="0">
            <x v="133"/>
          </reference>
        </references>
      </pivotArea>
    </format>
    <format dxfId="592">
      <pivotArea dataOnly="0" labelOnly="1" outline="0" fieldPosition="0">
        <references count="11">
          <reference field="3" count="1" selected="0">
            <x v="130"/>
          </reference>
          <reference field="4" count="1" selected="0">
            <x v="0"/>
          </reference>
          <reference field="9" count="1" selected="0">
            <x v="0"/>
          </reference>
          <reference field="11" count="1" selected="0">
            <x v="171"/>
          </reference>
          <reference field="13" count="1" selected="0">
            <x v="133"/>
          </reference>
          <reference field="14" count="1" selected="0">
            <x v="90"/>
          </reference>
          <reference field="17" count="1" selected="0">
            <x v="113"/>
          </reference>
          <reference field="18" count="1">
            <x v="102"/>
          </reference>
          <reference field="20" count="1" selected="0">
            <x v="151"/>
          </reference>
          <reference field="21" count="1" selected="0">
            <x v="6"/>
          </reference>
          <reference field="22" count="1" selected="0">
            <x v="134"/>
          </reference>
        </references>
      </pivotArea>
    </format>
    <format dxfId="591">
      <pivotArea dataOnly="0" labelOnly="1" outline="0" fieldPosition="0">
        <references count="11">
          <reference field="3" count="1" selected="0">
            <x v="131"/>
          </reference>
          <reference field="4" count="1" selected="0">
            <x v="2"/>
          </reference>
          <reference field="9" count="1" selected="0">
            <x v="0"/>
          </reference>
          <reference field="11" count="1" selected="0">
            <x v="172"/>
          </reference>
          <reference field="13" count="1" selected="0">
            <x v="135"/>
          </reference>
          <reference field="14" count="1" selected="0">
            <x v="91"/>
          </reference>
          <reference field="17" count="1" selected="0">
            <x v="116"/>
          </reference>
          <reference field="18" count="1">
            <x v="103"/>
          </reference>
          <reference field="20" count="1" selected="0">
            <x v="152"/>
          </reference>
          <reference field="21" count="1" selected="0">
            <x v="6"/>
          </reference>
          <reference field="22" count="1" selected="0">
            <x v="135"/>
          </reference>
        </references>
      </pivotArea>
    </format>
    <format dxfId="590">
      <pivotArea dataOnly="0" labelOnly="1" outline="0" fieldPosition="0">
        <references count="11">
          <reference field="3" count="1" selected="0">
            <x v="132"/>
          </reference>
          <reference field="4" count="1" selected="0">
            <x v="2"/>
          </reference>
          <reference field="9" count="1" selected="0">
            <x v="0"/>
          </reference>
          <reference field="11" count="1" selected="0">
            <x v="173"/>
          </reference>
          <reference field="13" count="1" selected="0">
            <x v="136"/>
          </reference>
          <reference field="14" count="1" selected="0">
            <x v="43"/>
          </reference>
          <reference field="17" count="1" selected="0">
            <x v="117"/>
          </reference>
          <reference field="18" count="1">
            <x v="104"/>
          </reference>
          <reference field="20" count="1" selected="0">
            <x v="153"/>
          </reference>
          <reference field="21" count="1" selected="0">
            <x v="4"/>
          </reference>
          <reference field="22" count="1" selected="0">
            <x v="136"/>
          </reference>
        </references>
      </pivotArea>
    </format>
    <format dxfId="589">
      <pivotArea dataOnly="0" labelOnly="1" outline="0" fieldPosition="0">
        <references count="11">
          <reference field="3" count="1" selected="0">
            <x v="133"/>
          </reference>
          <reference field="4" count="1" selected="0">
            <x v="4"/>
          </reference>
          <reference field="9" count="1" selected="0">
            <x v="0"/>
          </reference>
          <reference field="11" count="1" selected="0">
            <x v="174"/>
          </reference>
          <reference field="13" count="1" selected="0">
            <x v="137"/>
          </reference>
          <reference field="14" count="1" selected="0">
            <x v="92"/>
          </reference>
          <reference field="17" count="1" selected="0">
            <x v="118"/>
          </reference>
          <reference field="18" count="1">
            <x v="105"/>
          </reference>
          <reference field="20" count="1" selected="0">
            <x v="154"/>
          </reference>
          <reference field="21" count="1" selected="0">
            <x v="4"/>
          </reference>
          <reference field="22" count="1" selected="0">
            <x v="137"/>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D00-00000B000000}" name="Tabela dinâmica6" cacheId="2" applyNumberFormats="0" applyBorderFormats="0" applyFontFormats="0" applyPatternFormats="0" applyAlignmentFormats="0" applyWidthHeightFormats="1" dataCaption="Valores" updatedVersion="8" minRefreshableVersion="3" rowGrandTotals="0" colGrandTotals="0" itemPrintTitles="1" createdVersion="6" indent="0" compact="0" compactData="0" multipleFieldFilters="0">
  <location ref="B8:K16" firstHeaderRow="1" firstDataRow="1" firstDataCol="9" rowPageCount="3" colPageCount="1"/>
  <pivotFields count="25">
    <pivotField compact="0" outline="0" showAll="0" defaultSubtotal="0"/>
    <pivotField compact="0" outline="0" showAll="0" defaultSubtotal="0"/>
    <pivotField axis="axisRow" compact="0" outline="0" showAll="0" defaultSubtotal="0">
      <items count="16">
        <item x="4"/>
        <item x="9"/>
        <item x="10"/>
        <item x="11"/>
        <item x="12"/>
        <item x="0"/>
        <item x="1"/>
        <item x="2"/>
        <item x="3"/>
        <item x="5"/>
        <item x="6"/>
        <item x="7"/>
        <item x="8"/>
        <item x="13"/>
        <item x="14"/>
        <item x="15"/>
      </items>
      <extLst>
        <ext xmlns:x14="http://schemas.microsoft.com/office/spreadsheetml/2009/9/main" uri="{2946ED86-A175-432a-8AC1-64E0C546D7DE}">
          <x14:pivotField fillDownLabels="1"/>
        </ext>
      </extLst>
    </pivotField>
    <pivotField compact="0" outline="0" showAll="0" defaultSubtotal="0"/>
    <pivotField axis="axisRow" compact="0" outline="0" showAll="0" defaultSubtotal="0">
      <items count="3">
        <item m="1" x="2"/>
        <item x="1"/>
        <item x="0"/>
      </items>
    </pivotField>
    <pivotField compact="0" outline="0" showAll="0" defaultSubtotal="0"/>
    <pivotField compact="0" outline="0" showAll="0" defaultSubtotal="0"/>
    <pivotField compact="0" outline="0" showAll="0"/>
    <pivotField axis="axisRow" compact="0" outline="0" showAll="0" defaultSubtotal="0">
      <items count="27">
        <item x="14"/>
        <item x="6"/>
        <item x="15"/>
        <item x="16"/>
        <item x="17"/>
        <item x="18"/>
        <item x="19"/>
        <item x="20"/>
        <item x="21"/>
        <item x="22"/>
        <item x="0"/>
        <item x="1"/>
        <item x="2"/>
        <item x="3"/>
        <item x="4"/>
        <item x="5"/>
        <item x="7"/>
        <item x="8"/>
        <item x="9"/>
        <item x="10"/>
        <item x="11"/>
        <item x="12"/>
        <item x="13"/>
        <item x="23"/>
        <item x="24"/>
        <item x="25"/>
        <item x="26"/>
      </items>
    </pivotField>
    <pivotField compact="0" outline="0" showAll="0"/>
    <pivotField axis="axisRow" compact="0" outline="0" showAll="0" defaultSubtotal="0">
      <items count="22">
        <item x="5"/>
        <item x="11"/>
        <item x="12"/>
        <item x="13"/>
        <item x="14"/>
        <item x="15"/>
        <item x="16"/>
        <item m="1" x="21"/>
        <item x="1"/>
        <item x="17"/>
        <item x="0"/>
        <item x="2"/>
        <item x="3"/>
        <item x="4"/>
        <item x="6"/>
        <item x="7"/>
        <item x="8"/>
        <item x="9"/>
        <item x="10"/>
        <item n="Contratação, mediante registro de preços, de empresa especializada para atualização, aquisição e instalação de equipamentos Firewall compatível e serviços de suporte on-site e manutenção de hardware e software, de acordo com o Termo de Referência e seus " x="18"/>
        <item x="19"/>
        <item x="20"/>
      </items>
    </pivotField>
    <pivotField compact="0" outline="0" showAll="0" defaultSubtotal="0"/>
    <pivotField axis="axisRow" compact="0" outline="0" showAll="0" defaultSubtotal="0">
      <items count="9">
        <item x="0"/>
        <item x="3"/>
        <item m="1" x="8"/>
        <item x="4"/>
        <item x="1"/>
        <item x="5"/>
        <item x="2"/>
        <item x="6"/>
        <item x="7"/>
      </items>
    </pivotField>
    <pivotField axis="axisPage" compact="0" outline="0" multipleItemSelectionAllowed="1" showAll="0" defaultSubtotal="0">
      <items count="7">
        <item x="4"/>
        <item x="2"/>
        <item x="5"/>
        <item x="1"/>
        <item x="0"/>
        <item x="3"/>
        <item x="6"/>
      </items>
    </pivotField>
    <pivotField axis="axisPage" compact="0" outline="0" multipleItemSelectionAllowed="1" showAll="0" defaultSubtotal="0">
      <items count="18">
        <item h="1" x="10"/>
        <item h="1" x="1"/>
        <item x="11"/>
        <item x="12"/>
        <item x="13"/>
        <item x="14"/>
        <item h="1" x="0"/>
        <item h="1" x="2"/>
        <item h="1" x="3"/>
        <item h="1" x="4"/>
        <item h="1" x="5"/>
        <item h="1" x="6"/>
        <item h="1" x="7"/>
        <item h="1" x="8"/>
        <item h="1" x="9"/>
        <item x="15"/>
        <item x="16"/>
        <item h="1" x="17"/>
      </items>
    </pivotField>
    <pivotField axis="axisRow" compact="0" outline="0" showAll="0" defaultSubtotal="0">
      <items count="21">
        <item x="1"/>
        <item m="1" x="20"/>
        <item x="10"/>
        <item x="11"/>
        <item x="12"/>
        <item x="13"/>
        <item x="0"/>
        <item x="2"/>
        <item m="1" x="17"/>
        <item x="4"/>
        <item x="5"/>
        <item x="6"/>
        <item x="7"/>
        <item x="8"/>
        <item x="9"/>
        <item m="1" x="19"/>
        <item m="1" x="18"/>
        <item x="15"/>
        <item x="3"/>
        <item x="14"/>
        <item x="16"/>
      </items>
    </pivotField>
    <pivotField axis="axisRow" compact="0" outline="0" showAll="0" defaultSubtotal="0">
      <items count="20">
        <item x="1"/>
        <item m="1" x="18"/>
        <item x="10"/>
        <item x="11"/>
        <item m="1" x="19"/>
        <item x="12"/>
        <item x="13"/>
        <item x="0"/>
        <item x="2"/>
        <item x="3"/>
        <item x="4"/>
        <item x="5"/>
        <item x="6"/>
        <item x="7"/>
        <item x="8"/>
        <item x="9"/>
        <item m="1" x="17"/>
        <item x="15"/>
        <item x="16"/>
        <item x="14"/>
      </items>
    </pivotField>
    <pivotField compact="0" outline="0" showAll="0" defaultSubtotal="0"/>
    <pivotField axis="axisRow" compact="0" outline="0" showAll="0" defaultSubtotal="0">
      <items count="18">
        <item x="4"/>
        <item x="9"/>
        <item x="10"/>
        <item x="5"/>
        <item x="11"/>
        <item x="12"/>
        <item x="13"/>
        <item x="1"/>
        <item x="14"/>
        <item x="0"/>
        <item x="2"/>
        <item x="3"/>
        <item x="6"/>
        <item x="7"/>
        <item x="8"/>
        <item x="15"/>
        <item x="16"/>
        <item x="17"/>
      </items>
    </pivotField>
    <pivotField axis="axisRow" compact="0" outline="0" showAll="0" defaultSubtotal="0">
      <items count="18">
        <item x="6"/>
        <item x="2"/>
        <item x="8"/>
        <item x="0"/>
        <item x="11"/>
        <item x="9"/>
        <item x="7"/>
        <item x="13"/>
        <item x="14"/>
        <item x="12"/>
        <item x="3"/>
        <item x="10"/>
        <item x="5"/>
        <item x="1"/>
        <item x="4"/>
        <item x="15"/>
        <item x="16"/>
        <item x="17"/>
      </items>
    </pivotField>
    <pivotField dataField="1" compact="0" outline="0" showAll="0" defaultSubtotal="0"/>
    <pivotField compact="0" outline="0" showAll="0" defaultSubtotal="0"/>
    <pivotField axis="axisPage" compact="0" outline="0" multipleItemSelectionAllowed="1" showAll="0" defaultSubtotal="0">
      <items count="2">
        <item x="1"/>
        <item x="0"/>
      </items>
    </pivotField>
    <pivotField compact="0" outline="0" showAll="0" defaultSubtotal="0"/>
    <pivotField compact="0" outline="0" showAll="0"/>
  </pivotFields>
  <rowFields count="9">
    <field x="2"/>
    <field x="8"/>
    <field x="10"/>
    <field x="12"/>
    <field x="4"/>
    <field x="15"/>
    <field x="16"/>
    <field x="18"/>
    <field x="19"/>
  </rowFields>
  <rowItems count="8">
    <i>
      <x v="2"/>
      <x v="3"/>
      <x v="2"/>
      <x v="3"/>
      <x v="2"/>
      <x v="3"/>
      <x v="3"/>
      <x v="2"/>
      <x v="11"/>
    </i>
    <i>
      <x v="3"/>
      <x v="4"/>
      <x v="3"/>
      <x v="5"/>
      <x v="2"/>
      <x v="4"/>
      <x v="5"/>
      <x v="4"/>
      <x v="4"/>
    </i>
    <i r="1">
      <x v="5"/>
      <x v="4"/>
      <x v="5"/>
      <x v="2"/>
      <x v="4"/>
      <x v="5"/>
      <x v="5"/>
      <x v="9"/>
    </i>
    <i r="1">
      <x v="6"/>
      <x v="5"/>
      <x v="5"/>
      <x v="2"/>
      <x v="4"/>
      <x v="5"/>
      <x v="6"/>
      <x v="7"/>
    </i>
    <i>
      <x v="4"/>
      <x v="7"/>
      <x v="6"/>
      <x v="5"/>
      <x v="2"/>
      <x v="5"/>
      <x v="6"/>
      <x v="3"/>
      <x v="12"/>
    </i>
    <i r="1">
      <x v="9"/>
      <x v="9"/>
      <x v="5"/>
      <x v="2"/>
      <x v="5"/>
      <x v="6"/>
      <x v="8"/>
      <x v="8"/>
    </i>
    <i>
      <x v="13"/>
      <x v="23"/>
      <x v="19"/>
      <x v="5"/>
      <x v="2"/>
      <x v="19"/>
      <x v="19"/>
      <x v="15"/>
      <x v="15"/>
    </i>
    <i>
      <x v="14"/>
      <x v="24"/>
      <x v="20"/>
      <x v="7"/>
      <x v="2"/>
      <x v="17"/>
      <x v="17"/>
      <x v="16"/>
      <x v="16"/>
    </i>
  </rowItems>
  <colItems count="1">
    <i/>
  </colItems>
  <pageFields count="3">
    <pageField fld="13" hier="-1"/>
    <pageField fld="14" hier="-1"/>
    <pageField fld="22" hier="-1"/>
  </pageFields>
  <dataFields count="1">
    <dataField name="Soma de VALOR DA ARP" fld="20" baseField="20" baseItem="1" numFmtId="4"/>
  </dataFields>
  <formats count="43">
    <format dxfId="560">
      <pivotArea outline="0" collapsedLevelsAreSubtotals="1" fieldPosition="0"/>
    </format>
    <format dxfId="559">
      <pivotArea dataOnly="0" labelOnly="1" outline="0" fieldPosition="0">
        <references count="1">
          <reference field="2" count="0"/>
        </references>
      </pivotArea>
    </format>
    <format dxfId="558">
      <pivotArea outline="0" collapsedLevelsAreSubtotals="1" fieldPosition="0"/>
    </format>
    <format dxfId="557">
      <pivotArea dataOnly="0" labelOnly="1" outline="0" fieldPosition="0">
        <references count="1">
          <reference field="2" count="0"/>
        </references>
      </pivotArea>
    </format>
    <format dxfId="556">
      <pivotArea outline="0" collapsedLevelsAreSubtotals="1" fieldPosition="0"/>
    </format>
    <format dxfId="555">
      <pivotArea dataOnly="0" labelOnly="1" outline="0" fieldPosition="0">
        <references count="1">
          <reference field="2" count="0"/>
        </references>
      </pivotArea>
    </format>
    <format dxfId="554">
      <pivotArea outline="0" collapsedLevelsAreSubtotals="1" fieldPosition="0"/>
    </format>
    <format dxfId="553">
      <pivotArea field="4" type="button" dataOnly="0" labelOnly="1" outline="0" axis="axisRow" fieldPosition="4"/>
    </format>
    <format dxfId="552">
      <pivotArea field="15" type="button" dataOnly="0" labelOnly="1" outline="0" axis="axisRow" fieldPosition="5"/>
    </format>
    <format dxfId="551">
      <pivotArea field="16" type="button" dataOnly="0" labelOnly="1" outline="0" axis="axisRow" fieldPosition="6"/>
    </format>
    <format dxfId="550">
      <pivotArea field="10" type="button" dataOnly="0" labelOnly="1" outline="0" axis="axisRow" fieldPosition="2"/>
    </format>
    <format dxfId="549">
      <pivotArea field="18" type="button" dataOnly="0" labelOnly="1" outline="0" axis="axisRow" fieldPosition="7"/>
    </format>
    <format dxfId="548">
      <pivotArea dataOnly="0" labelOnly="1" outline="0" axis="axisValues" fieldPosition="0"/>
    </format>
    <format dxfId="547">
      <pivotArea dataOnly="0" labelOnly="1" outline="0" axis="axisValues" fieldPosition="0"/>
    </format>
    <format dxfId="546">
      <pivotArea outline="0" collapsedLevelsAreSubtotals="1" fieldPosition="0"/>
    </format>
    <format dxfId="545">
      <pivotArea field="4" type="button" dataOnly="0" labelOnly="1" outline="0" axis="axisRow" fieldPosition="4"/>
    </format>
    <format dxfId="544">
      <pivotArea field="15" type="button" dataOnly="0" labelOnly="1" outline="0" axis="axisRow" fieldPosition="5"/>
    </format>
    <format dxfId="543">
      <pivotArea field="16" type="button" dataOnly="0" labelOnly="1" outline="0" axis="axisRow" fieldPosition="6"/>
    </format>
    <format dxfId="542">
      <pivotArea field="10" type="button" dataOnly="0" labelOnly="1" outline="0" axis="axisRow" fieldPosition="2"/>
    </format>
    <format dxfId="541">
      <pivotArea field="18" type="button" dataOnly="0" labelOnly="1" outline="0" axis="axisRow" fieldPosition="7"/>
    </format>
    <format dxfId="540">
      <pivotArea dataOnly="0" labelOnly="1" outline="0" axis="axisValues" fieldPosition="0"/>
    </format>
    <format dxfId="539">
      <pivotArea dataOnly="0" labelOnly="1" outline="0" axis="axisValues" fieldPosition="0"/>
    </format>
    <format dxfId="538">
      <pivotArea field="15" type="button" dataOnly="0" labelOnly="1" outline="0" axis="axisRow" fieldPosition="5"/>
    </format>
    <format dxfId="537">
      <pivotArea field="16" type="button" dataOnly="0" labelOnly="1" outline="0" axis="axisRow" fieldPosition="6"/>
    </format>
    <format dxfId="536">
      <pivotArea field="15" type="button" dataOnly="0" labelOnly="1" outline="0" axis="axisRow" fieldPosition="5"/>
    </format>
    <format dxfId="535">
      <pivotArea field="16" type="button" dataOnly="0" labelOnly="1" outline="0" axis="axisRow" fieldPosition="6"/>
    </format>
    <format dxfId="534">
      <pivotArea field="15" type="button" dataOnly="0" labelOnly="1" outline="0" axis="axisRow" fieldPosition="5"/>
    </format>
    <format dxfId="533">
      <pivotArea field="16" type="button" dataOnly="0" labelOnly="1" outline="0" axis="axisRow" fieldPosition="6"/>
    </format>
    <format dxfId="532">
      <pivotArea outline="0" fieldPosition="0">
        <references count="1">
          <reference field="2" count="1" selected="0">
            <x v="1"/>
          </reference>
        </references>
      </pivotArea>
    </format>
    <format dxfId="531">
      <pivotArea dataOnly="0" labelOnly="1" outline="0" fieldPosition="0">
        <references count="1">
          <reference field="2" count="1">
            <x v="1"/>
          </reference>
        </references>
      </pivotArea>
    </format>
    <format dxfId="530">
      <pivotArea outline="0" fieldPosition="0">
        <references count="1">
          <reference field="4294967294" count="1">
            <x v="0"/>
          </reference>
        </references>
      </pivotArea>
    </format>
    <format dxfId="529">
      <pivotArea field="15" type="button" dataOnly="0" labelOnly="1" outline="0" axis="axisRow" fieldPosition="5"/>
    </format>
    <format dxfId="528">
      <pivotArea field="16" type="button" dataOnly="0" labelOnly="1" outline="0" axis="axisRow" fieldPosition="6"/>
    </format>
    <format dxfId="527">
      <pivotArea dataOnly="0" labelOnly="1" outline="0" fieldPosition="0">
        <references count="6">
          <reference field="2" count="1" selected="0">
            <x v="2"/>
          </reference>
          <reference field="4" count="1" selected="0">
            <x v="2"/>
          </reference>
          <reference field="8" count="1" selected="0">
            <x v="3"/>
          </reference>
          <reference field="10" count="1" selected="0">
            <x v="2"/>
          </reference>
          <reference field="12" count="1" selected="0">
            <x v="3"/>
          </reference>
          <reference field="15" count="1">
            <x v="3"/>
          </reference>
        </references>
      </pivotArea>
    </format>
    <format dxfId="526">
      <pivotArea dataOnly="0" labelOnly="1" outline="0" fieldPosition="0">
        <references count="6">
          <reference field="2" count="1" selected="0">
            <x v="3"/>
          </reference>
          <reference field="4" count="1" selected="0">
            <x v="2"/>
          </reference>
          <reference field="8" count="1" selected="0">
            <x v="4"/>
          </reference>
          <reference field="10" count="1" selected="0">
            <x v="3"/>
          </reference>
          <reference field="12" count="1" selected="0">
            <x v="5"/>
          </reference>
          <reference field="15" count="1">
            <x v="4"/>
          </reference>
        </references>
      </pivotArea>
    </format>
    <format dxfId="525">
      <pivotArea dataOnly="0" labelOnly="1" outline="0" fieldPosition="0">
        <references count="6">
          <reference field="2" count="1" selected="0">
            <x v="4"/>
          </reference>
          <reference field="4" count="1" selected="0">
            <x v="2"/>
          </reference>
          <reference field="8" count="1" selected="0">
            <x v="7"/>
          </reference>
          <reference field="10" count="1" selected="0">
            <x v="6"/>
          </reference>
          <reference field="12" count="1" selected="0">
            <x v="5"/>
          </reference>
          <reference field="15" count="1">
            <x v="5"/>
          </reference>
        </references>
      </pivotArea>
    </format>
    <format dxfId="524">
      <pivotArea dataOnly="0" labelOnly="1" outline="0" fieldPosition="0">
        <references count="6">
          <reference field="2" count="1" selected="0">
            <x v="13"/>
          </reference>
          <reference field="4" count="1" selected="0">
            <x v="2"/>
          </reference>
          <reference field="8" count="1" selected="0">
            <x v="23"/>
          </reference>
          <reference field="10" count="1" selected="0">
            <x v="19"/>
          </reference>
          <reference field="12" count="1" selected="0">
            <x v="5"/>
          </reference>
          <reference field="15" count="1">
            <x v="16"/>
          </reference>
        </references>
      </pivotArea>
    </format>
    <format dxfId="523">
      <pivotArea dataOnly="0" labelOnly="1" outline="0" fieldPosition="0">
        <references count="6">
          <reference field="2" count="1" selected="0">
            <x v="14"/>
          </reference>
          <reference field="4" count="1" selected="0">
            <x v="2"/>
          </reference>
          <reference field="8" count="1" selected="0">
            <x v="24"/>
          </reference>
          <reference field="10" count="1" selected="0">
            <x v="20"/>
          </reference>
          <reference field="12" count="1" selected="0">
            <x v="7"/>
          </reference>
          <reference field="15" count="1">
            <x v="17"/>
          </reference>
        </references>
      </pivotArea>
    </format>
    <format dxfId="522">
      <pivotArea dataOnly="0" labelOnly="1" outline="0" fieldPosition="0">
        <references count="7">
          <reference field="2" count="1" selected="0">
            <x v="2"/>
          </reference>
          <reference field="4" count="1" selected="0">
            <x v="2"/>
          </reference>
          <reference field="8" count="1" selected="0">
            <x v="3"/>
          </reference>
          <reference field="10" count="1" selected="0">
            <x v="2"/>
          </reference>
          <reference field="12" count="1" selected="0">
            <x v="3"/>
          </reference>
          <reference field="15" count="1" selected="0">
            <x v="3"/>
          </reference>
          <reference field="16" count="1">
            <x v="3"/>
          </reference>
        </references>
      </pivotArea>
    </format>
    <format dxfId="521">
      <pivotArea dataOnly="0" labelOnly="1" outline="0" fieldPosition="0">
        <references count="7">
          <reference field="2" count="1" selected="0">
            <x v="3"/>
          </reference>
          <reference field="4" count="1" selected="0">
            <x v="2"/>
          </reference>
          <reference field="8" count="1" selected="0">
            <x v="4"/>
          </reference>
          <reference field="10" count="1" selected="0">
            <x v="3"/>
          </reference>
          <reference field="12" count="1" selected="0">
            <x v="5"/>
          </reference>
          <reference field="15" count="1" selected="0">
            <x v="4"/>
          </reference>
          <reference field="16" count="1">
            <x v="5"/>
          </reference>
        </references>
      </pivotArea>
    </format>
    <format dxfId="520">
      <pivotArea dataOnly="0" labelOnly="1" outline="0" fieldPosition="0">
        <references count="7">
          <reference field="2" count="1" selected="0">
            <x v="4"/>
          </reference>
          <reference field="4" count="1" selected="0">
            <x v="2"/>
          </reference>
          <reference field="8" count="1" selected="0">
            <x v="7"/>
          </reference>
          <reference field="10" count="1" selected="0">
            <x v="6"/>
          </reference>
          <reference field="12" count="1" selected="0">
            <x v="5"/>
          </reference>
          <reference field="15" count="1" selected="0">
            <x v="5"/>
          </reference>
          <reference field="16" count="1">
            <x v="6"/>
          </reference>
        </references>
      </pivotArea>
    </format>
    <format dxfId="519">
      <pivotArea dataOnly="0" labelOnly="1" outline="0" fieldPosition="0">
        <references count="7">
          <reference field="2" count="1" selected="0">
            <x v="13"/>
          </reference>
          <reference field="4" count="1" selected="0">
            <x v="2"/>
          </reference>
          <reference field="8" count="1" selected="0">
            <x v="23"/>
          </reference>
          <reference field="10" count="1" selected="0">
            <x v="19"/>
          </reference>
          <reference field="12" count="1" selected="0">
            <x v="5"/>
          </reference>
          <reference field="15" count="1" selected="0">
            <x v="16"/>
          </reference>
          <reference field="16" count="1">
            <x v="16"/>
          </reference>
        </references>
      </pivotArea>
    </format>
    <format dxfId="518">
      <pivotArea dataOnly="0" labelOnly="1" outline="0" fieldPosition="0">
        <references count="7">
          <reference field="2" count="1" selected="0">
            <x v="14"/>
          </reference>
          <reference field="4" count="1" selected="0">
            <x v="2"/>
          </reference>
          <reference field="8" count="1" selected="0">
            <x v="24"/>
          </reference>
          <reference field="10" count="1" selected="0">
            <x v="20"/>
          </reference>
          <reference field="12" count="1" selected="0">
            <x v="7"/>
          </reference>
          <reference field="15" count="1" selected="0">
            <x v="17"/>
          </reference>
          <reference field="16" count="1">
            <x v="17"/>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F00-00000C000000}" name="Tabela dinâmica5" cacheId="0" applyNumberFormats="0" applyBorderFormats="0" applyFontFormats="0" applyPatternFormats="0" applyAlignmentFormats="0" applyWidthHeightFormats="1" dataCaption="Valores" updatedVersion="8" minRefreshableVersion="3" showDrill="0" rowGrandTotals="0" colGrandTotals="0" itemPrintTitles="1" createdVersion="6" indent="0" compact="0" compactData="0" multipleFieldFilters="0">
  <location ref="B8:G16" firstHeaderRow="1" firstDataRow="1" firstDataCol="6" rowPageCount="2" colPageCount="1"/>
  <pivotFields count="36">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 axis="axisRow" compact="0" outline="0" showAll="0" defaultSubtotal="0">
      <items count="185">
        <item m="1" x="175"/>
        <item x="0"/>
        <item x="1"/>
        <item x="2"/>
        <item x="3"/>
        <item x="4"/>
        <item x="5"/>
        <item x="6"/>
        <item x="7"/>
        <item x="8"/>
        <item x="9"/>
        <item x="10"/>
        <item x="11"/>
        <item m="1" x="165"/>
        <item m="1" x="177"/>
        <item x="31"/>
        <item x="34"/>
        <item x="35"/>
        <item x="36"/>
        <item x="155"/>
        <item x="33"/>
        <item x="37"/>
        <item x="38"/>
        <item x="40"/>
        <item x="41"/>
        <item x="43"/>
        <item x="44"/>
        <item x="46"/>
        <item x="42"/>
        <item x="14"/>
        <item x="15"/>
        <item x="45"/>
        <item x="47"/>
        <item x="49"/>
        <item x="48"/>
        <item m="1" x="162"/>
        <item x="32"/>
        <item x="50"/>
        <item m="1" x="183"/>
        <item x="51"/>
        <item x="53"/>
        <item x="18"/>
        <item x="19"/>
        <item x="13"/>
        <item x="16"/>
        <item x="20"/>
        <item x="54"/>
        <item x="22"/>
        <item x="25"/>
        <item x="21"/>
        <item x="24"/>
        <item x="23"/>
        <item x="26"/>
        <item x="12"/>
        <item x="17"/>
        <item x="55"/>
        <item x="56"/>
        <item x="57"/>
        <item x="58"/>
        <item x="59"/>
        <item x="60"/>
        <item x="61"/>
        <item x="62"/>
        <item x="27"/>
        <item x="28"/>
        <item x="63"/>
        <item x="29"/>
        <item x="30"/>
        <item m="1" x="180"/>
        <item m="1" x="181"/>
        <item m="1" x="182"/>
        <item m="1" x="166"/>
        <item m="1" x="167"/>
        <item m="1" x="168"/>
        <item m="1" x="170"/>
        <item m="1" x="171"/>
        <item m="1" x="172"/>
        <item m="1" x="173"/>
        <item m="1" x="174"/>
        <item m="1" x="176"/>
        <item m="1" x="163"/>
        <item x="64"/>
        <item x="39"/>
        <item x="52"/>
        <item x="65"/>
        <item x="66"/>
        <item x="67"/>
        <item x="68"/>
        <item x="69"/>
        <item x="70"/>
        <item x="71"/>
        <item x="72"/>
        <item x="73"/>
        <item m="1" x="164"/>
        <item m="1" x="178"/>
        <item x="90"/>
        <item m="1" x="179"/>
        <item x="74"/>
        <item x="75"/>
        <item x="76"/>
        <item x="77"/>
        <item x="78"/>
        <item x="79"/>
        <item x="80"/>
        <item x="81"/>
        <item x="82"/>
        <item x="83"/>
        <item x="84"/>
        <item x="85"/>
        <item x="86"/>
        <item x="87"/>
        <item x="88"/>
        <item x="89"/>
        <item x="91"/>
        <item x="92"/>
        <item m="1" x="184"/>
        <item m="1" x="169"/>
        <item x="93"/>
        <item x="94"/>
        <item x="95"/>
        <item x="96"/>
        <item x="97"/>
        <item x="98"/>
        <item x="127"/>
        <item x="99"/>
        <item x="100"/>
        <item x="101"/>
        <item x="102"/>
        <item x="103"/>
        <item x="104"/>
        <item x="105"/>
        <item x="106"/>
        <item x="110"/>
        <item x="111"/>
        <item x="120"/>
        <item x="121"/>
        <item m="1" x="160"/>
        <item m="1" x="161"/>
        <item x="107"/>
        <item x="108"/>
        <item x="109"/>
        <item x="112"/>
        <item x="113"/>
        <item x="114"/>
        <item x="115"/>
        <item x="116"/>
        <item x="117"/>
        <item x="118"/>
        <item x="119"/>
        <item x="123"/>
        <item x="128"/>
        <item x="122"/>
        <item m="1" x="159"/>
        <item x="124"/>
        <item x="125"/>
        <item x="126"/>
        <item x="129"/>
        <item x="130"/>
        <item x="131"/>
        <item x="132"/>
        <item x="133"/>
        <item x="134"/>
        <item x="135"/>
        <item x="136"/>
        <item x="137"/>
        <item x="138"/>
        <item x="139"/>
        <item x="140"/>
        <item x="141"/>
        <item x="142"/>
        <item x="143"/>
        <item x="144"/>
        <item x="145"/>
        <item x="146"/>
        <item x="147"/>
        <item x="148"/>
        <item x="149"/>
        <item x="150"/>
        <item x="151"/>
        <item x="152"/>
        <item x="153"/>
        <item x="154"/>
        <item x="156"/>
        <item x="157"/>
        <item x="158"/>
      </items>
      <extLst>
        <ext xmlns:x14="http://schemas.microsoft.com/office/spreadsheetml/2009/9/main" uri="{2946ED86-A175-432a-8AC1-64E0C546D7DE}">
          <x14:pivotField fillDownLabels="1"/>
        </ext>
      </extLst>
    </pivotField>
    <pivotField compact="0" outline="0" showAll="0"/>
    <pivotField compact="0" outline="0" showAll="0"/>
    <pivotField axis="axisRow" compact="0" outline="0" showAll="0" defaultSubtotal="0">
      <items count="100">
        <item x="1"/>
        <item x="27"/>
        <item x="29"/>
        <item x="34"/>
        <item x="21"/>
        <item x="26"/>
        <item x="5"/>
        <item x="6"/>
        <item x="30"/>
        <item x="3"/>
        <item x="10"/>
        <item x="32"/>
        <item x="28"/>
        <item x="4"/>
        <item x="31"/>
        <item x="20"/>
        <item x="8"/>
        <item x="13"/>
        <item x="23"/>
        <item x="22"/>
        <item x="33"/>
        <item x="2"/>
        <item x="24"/>
        <item x="25"/>
        <item x="0"/>
        <item x="7"/>
        <item x="93"/>
        <item m="1" x="97"/>
        <item x="35"/>
        <item x="12"/>
        <item x="9"/>
        <item x="36"/>
        <item x="38"/>
        <item x="37"/>
        <item x="14"/>
        <item x="15"/>
        <item x="11"/>
        <item x="16"/>
        <item x="39"/>
        <item x="40"/>
        <item x="41"/>
        <item x="42"/>
        <item x="43"/>
        <item x="44"/>
        <item x="45"/>
        <item x="17"/>
        <item x="46"/>
        <item x="18"/>
        <item x="19"/>
        <item x="47"/>
        <item m="1" x="95"/>
        <item x="48"/>
        <item x="49"/>
        <item x="50"/>
        <item m="1" x="98"/>
        <item x="51"/>
        <item x="52"/>
        <item m="1" x="99"/>
        <item x="53"/>
        <item x="54"/>
        <item x="55"/>
        <item x="56"/>
        <item x="57"/>
        <item x="58"/>
        <item x="60"/>
        <item x="59"/>
        <item x="61"/>
        <item x="62"/>
        <item x="63"/>
        <item x="64"/>
        <item x="65"/>
        <item m="1" x="96"/>
        <item x="66"/>
        <item m="1" x="94"/>
        <item x="68"/>
        <item x="69"/>
        <item x="70"/>
        <item x="71"/>
        <item x="72"/>
        <item x="73"/>
        <item x="76"/>
        <item x="77"/>
        <item x="75"/>
        <item x="78"/>
        <item x="79"/>
        <item x="80"/>
        <item x="74"/>
        <item x="81"/>
        <item x="82"/>
        <item x="83"/>
        <item x="84"/>
        <item x="85"/>
        <item x="86"/>
        <item x="87"/>
        <item x="67"/>
        <item x="88"/>
        <item x="89"/>
        <item x="90"/>
        <item x="91"/>
        <item x="92"/>
      </items>
    </pivotField>
    <pivotField axis="axisPage" compact="0" outline="0" multipleItemSelectionAllowed="1" showAll="0" defaultSubtotal="0">
      <items count="4">
        <item h="1" x="0"/>
        <item x="1"/>
        <item h="1" x="2"/>
        <item h="1" x="3"/>
      </items>
    </pivotField>
    <pivotField compact="0" outline="0" showAll="0" defaultSubtotal="0"/>
    <pivotField compact="0" outline="0" showAll="0"/>
    <pivotField compact="0" outline="0" showAll="0"/>
    <pivotField compact="0" outline="0" showAll="0" defaultSubtotal="0"/>
    <pivotField axis="axisRow" compact="0" outline="0" showAll="0" defaultSubtotal="0">
      <items count="162">
        <item x="3"/>
        <item x="9"/>
        <item x="35"/>
        <item x="2"/>
        <item x="10"/>
        <item x="32"/>
        <item x="0"/>
        <item x="8"/>
        <item x="7"/>
        <item x="31"/>
        <item x="30"/>
        <item x="4"/>
        <item x="1"/>
        <item x="6"/>
        <item x="28"/>
        <item x="29"/>
        <item x="5"/>
        <item x="149"/>
        <item x="33"/>
        <item x="34"/>
        <item x="36"/>
        <item x="37"/>
        <item x="39"/>
        <item x="40"/>
        <item x="42"/>
        <item x="38"/>
        <item x="13"/>
        <item x="41"/>
        <item x="43"/>
        <item x="45"/>
        <item x="44"/>
        <item m="1" x="158"/>
        <item x="46"/>
        <item x="48"/>
        <item x="47"/>
        <item m="1" x="159"/>
        <item x="16"/>
        <item x="12"/>
        <item x="14"/>
        <item x="17"/>
        <item x="50"/>
        <item x="19"/>
        <item x="18"/>
        <item x="21"/>
        <item x="20"/>
        <item x="23"/>
        <item x="22"/>
        <item x="11"/>
        <item x="15"/>
        <item x="51"/>
        <item x="52"/>
        <item x="53"/>
        <item x="54"/>
        <item x="55"/>
        <item x="56"/>
        <item x="57"/>
        <item m="1" x="160"/>
        <item x="24"/>
        <item x="25"/>
        <item x="59"/>
        <item x="26"/>
        <item x="27"/>
        <item m="1" x="155"/>
        <item m="1" x="152"/>
        <item x="60"/>
        <item x="61"/>
        <item x="62"/>
        <item x="63"/>
        <item x="64"/>
        <item m="1" x="161"/>
        <item m="1" x="157"/>
        <item m="1" x="156"/>
        <item m="1" x="154"/>
        <item x="86"/>
        <item x="70"/>
        <item x="71"/>
        <item x="72"/>
        <item x="73"/>
        <item x="74"/>
        <item x="75"/>
        <item x="76"/>
        <item x="77"/>
        <item x="78"/>
        <item x="79"/>
        <item x="80"/>
        <item x="81"/>
        <item x="82"/>
        <item x="83"/>
        <item x="84"/>
        <item x="85"/>
        <item x="87"/>
        <item x="88"/>
        <item x="96"/>
        <item x="49"/>
        <item x="58"/>
        <item m="1" x="153"/>
        <item x="89"/>
        <item x="90"/>
        <item n="O presente contrato tem por objeto a contratação de  empresa  especializada  para  a  prestação  de serviços continuados de transporte, com fornecimento de veículos e mão de obra de motoristas habilitados, para o  transporte  de  pessoas  para  atender  " x="91"/>
        <item x="92"/>
        <item x="65"/>
        <item x="66"/>
        <item x="67"/>
        <item x="68"/>
        <item x="69"/>
        <item x="93"/>
        <item x="94"/>
        <item x="95"/>
        <item x="97"/>
        <item x="98"/>
        <item x="99"/>
        <item x="100"/>
        <item x="101"/>
        <item x="102"/>
        <item x="103"/>
        <item x="104"/>
        <item x="105"/>
        <item x="106"/>
        <item x="107"/>
        <item x="108"/>
        <item x="109"/>
        <item x="110"/>
        <item x="111"/>
        <item x="112"/>
        <item x="113"/>
        <item x="114"/>
        <item x="115"/>
        <item x="117"/>
        <item x="116"/>
        <item x="118"/>
        <item x="119"/>
        <item x="120"/>
        <item m="1" x="150"/>
        <item x="122"/>
        <item x="123"/>
        <item x="124"/>
        <item m="1" x="151"/>
        <item x="126"/>
        <item x="127"/>
        <item x="128"/>
        <item x="129"/>
        <item x="130"/>
        <item x="131"/>
        <item x="121"/>
        <item x="125"/>
        <item x="132"/>
        <item x="133"/>
        <item x="134"/>
        <item x="135"/>
        <item x="136"/>
        <item x="137"/>
        <item x="138"/>
        <item x="139"/>
        <item x="140"/>
        <item x="141"/>
        <item x="142"/>
        <item x="143"/>
        <item x="144"/>
        <item x="145"/>
        <item x="146"/>
        <item x="147"/>
        <item x="148"/>
      </items>
    </pivotField>
    <pivotField axis="axisRow" compact="0" outline="0" showAll="0" defaultSubtotal="0">
      <items count="7">
        <item h="1" x="0"/>
        <item h="1" x="2"/>
        <item h="1" x="3"/>
        <item h="1" m="1" x="6"/>
        <item h="1" x="1"/>
        <item h="1" x="5"/>
        <item x="4"/>
      </items>
      <extLst>
        <ext xmlns:x14="http://schemas.microsoft.com/office/spreadsheetml/2009/9/main" uri="{2946ED86-A175-432a-8AC1-64E0C546D7DE}">
          <x14:pivotField fillDownLabels="1"/>
        </ext>
      </extLst>
    </pivotField>
    <pivotField axis="axisRow" compact="0" outline="0" showAll="0" defaultSubtotal="0">
      <items count="144">
        <item x="1"/>
        <item x="6"/>
        <item x="11"/>
        <item x="30"/>
        <item x="8"/>
        <item x="35"/>
        <item m="1" x="143"/>
        <item x="0"/>
        <item x="10"/>
        <item x="33"/>
        <item x="4"/>
        <item x="2"/>
        <item x="31"/>
        <item x="29"/>
        <item x="3"/>
        <item x="5"/>
        <item x="9"/>
        <item x="32"/>
        <item x="7"/>
        <item x="137"/>
        <item x="34"/>
        <item x="36"/>
        <item x="37"/>
        <item x="39"/>
        <item x="40"/>
        <item x="42"/>
        <item x="38"/>
        <item x="14"/>
        <item x="41"/>
        <item x="43"/>
        <item x="45"/>
        <item x="44"/>
        <item m="1" x="142"/>
        <item x="46"/>
        <item x="48"/>
        <item x="47"/>
        <item x="49"/>
        <item x="17"/>
        <item x="18"/>
        <item x="13"/>
        <item x="15"/>
        <item x="19"/>
        <item x="50"/>
        <item x="21"/>
        <item x="27"/>
        <item x="20"/>
        <item x="23"/>
        <item x="22"/>
        <item x="25"/>
        <item x="24"/>
        <item x="12"/>
        <item x="16"/>
        <item x="51"/>
        <item x="52"/>
        <item x="53"/>
        <item x="54"/>
        <item x="55"/>
        <item x="56"/>
        <item x="57"/>
        <item x="58"/>
        <item x="26"/>
        <item x="59"/>
        <item x="28"/>
        <item m="1" x="141"/>
        <item x="60"/>
        <item x="61"/>
        <item x="62"/>
        <item x="63"/>
        <item x="64"/>
        <item x="65"/>
        <item x="66"/>
        <item x="67"/>
        <item x="68"/>
        <item x="82"/>
        <item x="69"/>
        <item x="70"/>
        <item x="71"/>
        <item x="72"/>
        <item x="73"/>
        <item x="74"/>
        <item x="75"/>
        <item x="76"/>
        <item x="77"/>
        <item x="78"/>
        <item x="79"/>
        <item x="80"/>
        <item x="81"/>
        <item x="83"/>
        <item x="84"/>
        <item x="91"/>
        <item x="85"/>
        <item x="86"/>
        <item x="87"/>
        <item x="88"/>
        <item x="89"/>
        <item x="90"/>
        <item x="92"/>
        <item x="93"/>
        <item x="94"/>
        <item x="95"/>
        <item x="96"/>
        <item x="97"/>
        <item x="98"/>
        <item x="99"/>
        <item x="100"/>
        <item x="101"/>
        <item x="102"/>
        <item x="103"/>
        <item x="104"/>
        <item x="105"/>
        <item x="106"/>
        <item x="107"/>
        <item x="108"/>
        <item x="109"/>
        <item x="110"/>
        <item m="1" x="140"/>
        <item x="112"/>
        <item x="113"/>
        <item x="114"/>
        <item x="111"/>
        <item x="116"/>
        <item x="117"/>
        <item m="1" x="139"/>
        <item x="119"/>
        <item x="120"/>
        <item x="121"/>
        <item x="115"/>
        <item x="122"/>
        <item x="118"/>
        <item x="123"/>
        <item x="124"/>
        <item x="125"/>
        <item x="126"/>
        <item x="127"/>
        <item x="128"/>
        <item x="129"/>
        <item m="1" x="138"/>
        <item x="131"/>
        <item x="130"/>
        <item x="132"/>
        <item x="133"/>
        <item x="134"/>
        <item x="135"/>
        <item x="136"/>
      </items>
    </pivotField>
    <pivotField compact="0" outline="0" showAll="0"/>
    <pivotField compact="0" outline="0" showAll="0" defaultSubtotal="0"/>
    <pivotField compact="0" outline="0" showAll="0" defaultSubtotal="0"/>
    <pivotField compact="0" outline="0" showAll="0"/>
    <pivotField compact="0" outline="0" showAll="0" defaultSubtotal="0"/>
    <pivotField axis="axisPage" compact="0" outline="0" multipleItemSelectionAllowed="1" showAll="0" defaultSubtotal="0">
      <items count="4">
        <item x="0"/>
        <item m="1" x="3"/>
        <item x="1"/>
        <item h="1" m="1" x="2"/>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72">
        <item x="18"/>
        <item x="14"/>
        <item x="7"/>
        <item x="4"/>
        <item x="8"/>
        <item x="9"/>
        <item x="5"/>
        <item x="13"/>
        <item x="10"/>
        <item x="16"/>
        <item x="1"/>
        <item x="26"/>
        <item x="2"/>
        <item x="30"/>
        <item x="3"/>
        <item x="27"/>
        <item x="32"/>
        <item x="11"/>
        <item x="34"/>
        <item x="25"/>
        <item x="21"/>
        <item x="22"/>
        <item x="28"/>
        <item x="31"/>
        <item x="33"/>
        <item x="35"/>
        <item x="29"/>
        <item x="6"/>
        <item x="17"/>
        <item x="12"/>
        <item x="23"/>
        <item x="15"/>
        <item x="24"/>
        <item x="19"/>
        <item x="20"/>
        <item x="0"/>
        <item x="38"/>
        <item x="36"/>
        <item x="37"/>
        <item x="41"/>
        <item x="43"/>
        <item x="40"/>
        <item x="39"/>
        <item x="42"/>
        <item x="44"/>
        <item x="47"/>
        <item x="46"/>
        <item x="48"/>
        <item x="45"/>
        <item x="49"/>
        <item x="50"/>
        <item x="53"/>
        <item x="51"/>
        <item x="52"/>
        <item x="54"/>
        <item x="55"/>
        <item x="56"/>
        <item x="57"/>
        <item x="62"/>
        <item x="58"/>
        <item x="63"/>
        <item x="59"/>
        <item x="60"/>
        <item x="61"/>
        <item x="64"/>
        <item x="68"/>
        <item x="69"/>
        <item x="70"/>
        <item x="71"/>
        <item x="66"/>
        <item x="67"/>
        <item x="65"/>
      </items>
      <extLst>
        <ext xmlns:x14="http://schemas.microsoft.com/office/spreadsheetml/2009/9/main" uri="{2946ED86-A175-432a-8AC1-64E0C546D7DE}">
          <x14:pivotField fillDownLabels="1"/>
        </ext>
      </extLst>
    </pivotField>
    <pivotField compact="0" outline="0" showAll="0"/>
    <pivotField compact="0" outline="0" showAll="0"/>
  </pivotFields>
  <rowFields count="6">
    <field x="33"/>
    <field x="21"/>
    <field x="20"/>
    <field x="22"/>
    <field x="11"/>
    <field x="14"/>
  </rowFields>
  <rowItems count="8">
    <i>
      <x v="30"/>
      <x v="6"/>
      <x v="91"/>
      <x v="88"/>
      <x v="114"/>
      <x v="60"/>
    </i>
    <i>
      <x v="32"/>
      <x v="6"/>
      <x v="96"/>
      <x v="90"/>
      <x v="117"/>
      <x v="56"/>
    </i>
    <i>
      <x v="33"/>
      <x v="6"/>
      <x v="117"/>
      <x v="72"/>
      <x v="132"/>
      <x v="72"/>
    </i>
    <i r="2">
      <x v="128"/>
      <x v="112"/>
      <x v="134"/>
      <x v="60"/>
    </i>
    <i>
      <x v="34"/>
      <x v="6"/>
      <x v="118"/>
      <x v="72"/>
      <x v="133"/>
      <x v="56"/>
    </i>
    <i r="2">
      <x v="127"/>
      <x v="112"/>
      <x v="135"/>
      <x v="78"/>
    </i>
    <i>
      <x v="45"/>
      <x v="6"/>
      <x v="129"/>
      <x v="24"/>
      <x v="151"/>
      <x v="2"/>
    </i>
    <i r="3">
      <x v="109"/>
      <x v="149"/>
      <x v="2"/>
    </i>
  </rowItems>
  <colItems count="1">
    <i/>
  </colItems>
  <pageFields count="2">
    <pageField fld="15" hier="-1"/>
    <pageField fld="28" hier="-1"/>
  </pageFields>
  <formats count="46">
    <format dxfId="500">
      <pivotArea outline="0" collapsedLevelsAreSubtotals="1" fieldPosition="0"/>
    </format>
    <format dxfId="499">
      <pivotArea outline="0" collapsedLevelsAreSubtotals="1" fieldPosition="0"/>
    </format>
    <format dxfId="498">
      <pivotArea outline="0" collapsedLevelsAreSubtotals="1" fieldPosition="0"/>
    </format>
    <format dxfId="497">
      <pivotArea outline="0" collapsedLevelsAreSubtotals="1" fieldPosition="0"/>
    </format>
    <format dxfId="496">
      <pivotArea field="11" type="button" dataOnly="0" labelOnly="1" outline="0" axis="axisRow" fieldPosition="4"/>
    </format>
    <format dxfId="495">
      <pivotArea field="20" type="button" dataOnly="0" labelOnly="1" outline="0" axis="axisRow" fieldPosition="2"/>
    </format>
    <format dxfId="494">
      <pivotArea field="22" type="button" dataOnly="0" labelOnly="1" outline="0" axis="axisRow" fieldPosition="3"/>
    </format>
    <format dxfId="493">
      <pivotArea dataOnly="0" labelOnly="1" outline="0" axis="axisValues" fieldPosition="0"/>
    </format>
    <format dxfId="492">
      <pivotArea dataOnly="0" labelOnly="1" outline="0" axis="axisValues" fieldPosition="0"/>
    </format>
    <format dxfId="491">
      <pivotArea outline="0" collapsedLevelsAreSubtotals="1" fieldPosition="0"/>
    </format>
    <format dxfId="490">
      <pivotArea field="11" type="button" dataOnly="0" labelOnly="1" outline="0" axis="axisRow" fieldPosition="4"/>
    </format>
    <format dxfId="489">
      <pivotArea field="20" type="button" dataOnly="0" labelOnly="1" outline="0" axis="axisRow" fieldPosition="2"/>
    </format>
    <format dxfId="488">
      <pivotArea field="22" type="button" dataOnly="0" labelOnly="1" outline="0" axis="axisRow" fieldPosition="3"/>
    </format>
    <format dxfId="487">
      <pivotArea dataOnly="0" labelOnly="1" outline="0" axis="axisValues" fieldPosition="0"/>
    </format>
    <format dxfId="486">
      <pivotArea dataOnly="0" labelOnly="1" outline="0" axis="axisValues" fieldPosition="0"/>
    </format>
    <format dxfId="485">
      <pivotArea outline="0" collapsedLevelsAreSubtotals="1" fieldPosition="0"/>
    </format>
    <format dxfId="484">
      <pivotArea outline="0" collapsedLevelsAreSubtotals="1" fieldPosition="0"/>
    </format>
    <format dxfId="483">
      <pivotArea field="21" type="button" dataOnly="0" labelOnly="1" outline="0" axis="axisRow" fieldPosition="1"/>
    </format>
    <format dxfId="482">
      <pivotArea field="20" type="button" dataOnly="0" labelOnly="1" outline="0" axis="axisRow" fieldPosition="2"/>
    </format>
    <format dxfId="481">
      <pivotArea field="22" type="button" dataOnly="0" labelOnly="1" outline="0" axis="axisRow" fieldPosition="3"/>
    </format>
    <format dxfId="480">
      <pivotArea field="11" type="button" dataOnly="0" labelOnly="1" outline="0" axis="axisRow" fieldPosition="4"/>
    </format>
    <format dxfId="479">
      <pivotArea field="14" type="button" dataOnly="0" labelOnly="1" outline="0" axis="axisRow" fieldPosition="5"/>
    </format>
    <format dxfId="478">
      <pivotArea dataOnly="0" labelOnly="1" outline="0" axis="axisValues" fieldPosition="0"/>
    </format>
    <format dxfId="477">
      <pivotArea dataOnly="0" labelOnly="1" outline="0" axis="axisValues" fieldPosition="0"/>
    </format>
    <format dxfId="476">
      <pivotArea field="21" type="button" dataOnly="0" labelOnly="1" outline="0" axis="axisRow" fieldPosition="1"/>
    </format>
    <format dxfId="475">
      <pivotArea field="20" type="button" dataOnly="0" labelOnly="1" outline="0" axis="axisRow" fieldPosition="2"/>
    </format>
    <format dxfId="474">
      <pivotArea field="22" type="button" dataOnly="0" labelOnly="1" outline="0" axis="axisRow" fieldPosition="3"/>
    </format>
    <format dxfId="473">
      <pivotArea field="11" type="button" dataOnly="0" labelOnly="1" outline="0" axis="axisRow" fieldPosition="4"/>
    </format>
    <format dxfId="472">
      <pivotArea field="14" type="button" dataOnly="0" labelOnly="1" outline="0" axis="axisRow" fieldPosition="5"/>
    </format>
    <format dxfId="471">
      <pivotArea dataOnly="0" labelOnly="1" outline="0" axis="axisValues" fieldPosition="0"/>
    </format>
    <format dxfId="470">
      <pivotArea dataOnly="0" labelOnly="1" outline="0" axis="axisValues" fieldPosition="0"/>
    </format>
    <format dxfId="469">
      <pivotArea field="21" type="button" dataOnly="0" labelOnly="1" outline="0" axis="axisRow" fieldPosition="1"/>
    </format>
    <format dxfId="468">
      <pivotArea field="20" type="button" dataOnly="0" labelOnly="1" outline="0" axis="axisRow" fieldPosition="2"/>
    </format>
    <format dxfId="467">
      <pivotArea field="22" type="button" dataOnly="0" labelOnly="1" outline="0" axis="axisRow" fieldPosition="3"/>
    </format>
    <format dxfId="466">
      <pivotArea field="11" type="button" dataOnly="0" labelOnly="1" outline="0" axis="axisRow" fieldPosition="4"/>
    </format>
    <format dxfId="465">
      <pivotArea field="14" type="button" dataOnly="0" labelOnly="1" outline="0" axis="axisRow" fieldPosition="5"/>
    </format>
    <format dxfId="464">
      <pivotArea dataOnly="0" labelOnly="1" outline="0" axis="axisValues" fieldPosition="0"/>
    </format>
    <format dxfId="463">
      <pivotArea dataOnly="0" labelOnly="1" outline="0" axis="axisValues" fieldPosition="0"/>
    </format>
    <format dxfId="462">
      <pivotArea outline="0" collapsedLevelsAreSubtotals="1" fieldPosition="0"/>
    </format>
    <format dxfId="461">
      <pivotArea field="33" type="button" dataOnly="0" labelOnly="1" outline="0" axis="axisRow" fieldPosition="0"/>
    </format>
    <format dxfId="460">
      <pivotArea field="21" type="button" dataOnly="0" labelOnly="1" outline="0" axis="axisRow" fieldPosition="1"/>
    </format>
    <format dxfId="459">
      <pivotArea field="20" type="button" dataOnly="0" labelOnly="1" outline="0" axis="axisRow" fieldPosition="2"/>
    </format>
    <format dxfId="458">
      <pivotArea field="22" type="button" dataOnly="0" labelOnly="1" outline="0" axis="axisRow" fieldPosition="3"/>
    </format>
    <format dxfId="457">
      <pivotArea field="11" type="button" dataOnly="0" labelOnly="1" outline="0" axis="axisRow" fieldPosition="4"/>
    </format>
    <format dxfId="456">
      <pivotArea field="14" type="button" dataOnly="0" labelOnly="1" outline="0" axis="axisRow" fieldPosition="5"/>
    </format>
    <format dxfId="455">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52365A-5075-4DAF-8BFC-69BFE32CF480}" name="Tabela dinâmica5" cacheId="0" applyNumberFormats="0" applyBorderFormats="0" applyFontFormats="0" applyPatternFormats="0" applyAlignmentFormats="0" applyWidthHeightFormats="1" dataCaption="Valores" updatedVersion="8" minRefreshableVersion="3" colGrandTotals="0" itemPrintTitles="1" createdVersion="6" indent="0" compact="0" compactData="0" multipleFieldFilters="0">
  <location ref="B8:D73" firstHeaderRow="1" firstDataRow="1" firstDataCol="3" rowPageCount="2" colPageCount="1"/>
  <pivotFields count="36">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185">
        <item m="1" x="175"/>
        <item x="0"/>
        <item x="1"/>
        <item x="2"/>
        <item x="3"/>
        <item x="4"/>
        <item x="5"/>
        <item x="6"/>
        <item x="7"/>
        <item x="8"/>
        <item x="9"/>
        <item x="10"/>
        <item x="11"/>
        <item m="1" x="165"/>
        <item m="1" x="177"/>
        <item x="31"/>
        <item x="34"/>
        <item x="35"/>
        <item x="36"/>
        <item x="155"/>
        <item x="33"/>
        <item x="37"/>
        <item x="38"/>
        <item x="40"/>
        <item x="41"/>
        <item x="43"/>
        <item x="44"/>
        <item x="46"/>
        <item x="42"/>
        <item x="14"/>
        <item x="15"/>
        <item x="45"/>
        <item x="47"/>
        <item x="49"/>
        <item x="48"/>
        <item m="1" x="162"/>
        <item x="32"/>
        <item x="50"/>
        <item m="1" x="183"/>
        <item x="51"/>
        <item x="53"/>
        <item x="18"/>
        <item x="19"/>
        <item x="13"/>
        <item x="16"/>
        <item x="20"/>
        <item x="54"/>
        <item x="22"/>
        <item x="25"/>
        <item x="21"/>
        <item x="24"/>
        <item x="23"/>
        <item x="26"/>
        <item x="12"/>
        <item x="17"/>
        <item x="55"/>
        <item x="56"/>
        <item x="57"/>
        <item x="58"/>
        <item x="59"/>
        <item x="60"/>
        <item x="61"/>
        <item x="62"/>
        <item x="27"/>
        <item x="28"/>
        <item x="63"/>
        <item x="29"/>
        <item x="30"/>
        <item m="1" x="180"/>
        <item m="1" x="181"/>
        <item m="1" x="182"/>
        <item m="1" x="166"/>
        <item m="1" x="167"/>
        <item m="1" x="168"/>
        <item m="1" x="170"/>
        <item m="1" x="171"/>
        <item m="1" x="172"/>
        <item m="1" x="173"/>
        <item m="1" x="174"/>
        <item m="1" x="176"/>
        <item m="1" x="163"/>
        <item x="64"/>
        <item sd="0" x="39"/>
        <item x="52"/>
        <item x="65"/>
        <item x="66"/>
        <item x="67"/>
        <item x="68"/>
        <item x="69"/>
        <item x="70"/>
        <item x="71"/>
        <item x="72"/>
        <item x="73"/>
        <item m="1" x="164"/>
        <item m="1" x="178"/>
        <item x="90"/>
        <item m="1" x="179"/>
        <item x="74"/>
        <item x="75"/>
        <item x="76"/>
        <item x="77"/>
        <item x="78"/>
        <item x="79"/>
        <item x="80"/>
        <item x="81"/>
        <item x="82"/>
        <item x="83"/>
        <item x="84"/>
        <item x="85"/>
        <item x="86"/>
        <item x="87"/>
        <item x="88"/>
        <item x="89"/>
        <item x="91"/>
        <item x="92"/>
        <item m="1" x="184"/>
        <item m="1" x="169"/>
        <item x="93"/>
        <item x="94"/>
        <item x="95"/>
        <item x="96"/>
        <item x="97"/>
        <item x="98"/>
        <item x="127"/>
        <item x="99"/>
        <item x="100"/>
        <item x="101"/>
        <item x="102"/>
        <item x="103"/>
        <item x="104"/>
        <item x="105"/>
        <item x="106"/>
        <item x="110"/>
        <item x="111"/>
        <item x="120"/>
        <item x="121"/>
        <item m="1" x="160"/>
        <item m="1" x="161"/>
        <item x="107"/>
        <item x="108"/>
        <item x="109"/>
        <item x="112"/>
        <item x="113"/>
        <item x="114"/>
        <item x="115"/>
        <item x="116"/>
        <item x="117"/>
        <item x="118"/>
        <item x="119"/>
        <item x="123"/>
        <item x="128"/>
        <item x="122"/>
        <item m="1" x="159"/>
        <item x="124"/>
        <item x="125"/>
        <item x="126"/>
        <item x="129"/>
        <item x="130"/>
        <item x="131"/>
        <item x="132"/>
        <item x="133"/>
        <item x="134"/>
        <item x="135"/>
        <item x="136"/>
        <item x="137"/>
        <item x="138"/>
        <item x="139"/>
        <item x="140"/>
        <item x="141"/>
        <item x="142"/>
        <item x="143"/>
        <item x="144"/>
        <item x="145"/>
        <item x="146"/>
        <item x="147"/>
        <item x="148"/>
        <item x="149"/>
        <item x="150"/>
        <item x="151"/>
        <item x="152"/>
        <item x="153"/>
        <item x="154"/>
        <item x="156"/>
        <item x="157"/>
        <item x="158"/>
      </items>
      <extLst>
        <ext xmlns:x14="http://schemas.microsoft.com/office/spreadsheetml/2009/9/main" uri="{2946ED86-A175-432a-8AC1-64E0C546D7DE}">
          <x14:pivotField fillDownLabels="1"/>
        </ext>
      </extLst>
    </pivotField>
    <pivotField compact="0" outline="0" subtotalTop="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4">
        <item h="1" x="0"/>
        <item x="1"/>
        <item x="2"/>
        <item h="1" x="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162">
        <item x="3"/>
        <item x="9"/>
        <item x="35"/>
        <item x="2"/>
        <item x="10"/>
        <item x="32"/>
        <item x="0"/>
        <item x="8"/>
        <item x="7"/>
        <item x="31"/>
        <item x="30"/>
        <item x="4"/>
        <item x="1"/>
        <item x="6"/>
        <item x="28"/>
        <item x="29"/>
        <item x="5"/>
        <item x="149"/>
        <item x="33"/>
        <item x="34"/>
        <item x="36"/>
        <item x="37"/>
        <item x="39"/>
        <item x="40"/>
        <item x="42"/>
        <item x="38"/>
        <item x="13"/>
        <item x="41"/>
        <item x="43"/>
        <item x="45"/>
        <item x="44"/>
        <item m="1" x="158"/>
        <item x="46"/>
        <item x="48"/>
        <item x="47"/>
        <item m="1" x="159"/>
        <item x="16"/>
        <item x="12"/>
        <item x="14"/>
        <item x="17"/>
        <item x="50"/>
        <item x="19"/>
        <item x="18"/>
        <item x="21"/>
        <item x="20"/>
        <item x="23"/>
        <item x="22"/>
        <item x="11"/>
        <item x="15"/>
        <item x="51"/>
        <item x="52"/>
        <item x="53"/>
        <item x="54"/>
        <item x="55"/>
        <item x="56"/>
        <item x="57"/>
        <item m="1" x="160"/>
        <item x="24"/>
        <item x="25"/>
        <item x="59"/>
        <item x="26"/>
        <item x="27"/>
        <item m="1" x="155"/>
        <item m="1" x="152"/>
        <item x="60"/>
        <item x="61"/>
        <item x="62"/>
        <item x="63"/>
        <item x="64"/>
        <item m="1" x="161"/>
        <item m="1" x="157"/>
        <item m="1" x="156"/>
        <item m="1" x="154"/>
        <item x="86"/>
        <item x="70"/>
        <item x="71"/>
        <item x="72"/>
        <item x="73"/>
        <item x="74"/>
        <item x="75"/>
        <item x="76"/>
        <item x="77"/>
        <item x="78"/>
        <item x="79"/>
        <item x="80"/>
        <item x="81"/>
        <item x="82"/>
        <item x="83"/>
        <item x="84"/>
        <item x="85"/>
        <item x="87"/>
        <item x="88"/>
        <item x="96"/>
        <item x="49"/>
        <item x="58"/>
        <item m="1" x="153"/>
        <item x="89"/>
        <item x="90"/>
        <item n="O presente contrato tem por objeto a contratação de  empresa  especializada  para  a  prestação  de serviços continuados de transporte, com fornecimento de veículos e mão de obra de motoristas habilitados, para o  transporte  de  pessoas  para  atender  " x="91"/>
        <item x="92"/>
        <item x="65"/>
        <item x="66"/>
        <item x="67"/>
        <item x="68"/>
        <item x="69"/>
        <item x="93"/>
        <item x="94"/>
        <item x="95"/>
        <item x="97"/>
        <item x="98"/>
        <item x="99"/>
        <item x="100"/>
        <item x="101"/>
        <item x="102"/>
        <item x="103"/>
        <item x="104"/>
        <item x="105"/>
        <item x="106"/>
        <item x="107"/>
        <item x="108"/>
        <item x="109"/>
        <item x="110"/>
        <item x="111"/>
        <item x="112"/>
        <item x="113"/>
        <item x="114"/>
        <item x="115"/>
        <item x="117"/>
        <item x="116"/>
        <item x="118"/>
        <item x="119"/>
        <item x="120"/>
        <item m="1" x="150"/>
        <item x="122"/>
        <item x="123"/>
        <item x="124"/>
        <item m="1" x="151"/>
        <item x="126"/>
        <item x="127"/>
        <item x="128"/>
        <item x="129"/>
        <item x="130"/>
        <item x="131"/>
        <item x="121"/>
        <item x="125"/>
        <item x="132"/>
        <item x="133"/>
        <item x="134"/>
        <item x="135"/>
        <item x="136"/>
        <item x="137"/>
        <item x="138"/>
        <item x="139"/>
        <item x="140"/>
        <item x="141"/>
        <item x="142"/>
        <item x="143"/>
        <item x="144"/>
        <item x="145"/>
        <item x="146"/>
        <item x="147"/>
        <item x="148"/>
      </items>
    </pivotField>
    <pivotField compact="0" outline="0" subtotalTop="0" showAll="0" defaultSubtotal="0"/>
    <pivotField axis="axisRow" compact="0" outline="0" subtotalTop="0" showAll="0" defaultSubtotal="0">
      <items count="144">
        <item x="1"/>
        <item x="6"/>
        <item x="11"/>
        <item x="30"/>
        <item x="8"/>
        <item x="35"/>
        <item m="1" x="143"/>
        <item x="0"/>
        <item x="10"/>
        <item x="33"/>
        <item x="4"/>
        <item x="2"/>
        <item x="31"/>
        <item x="29"/>
        <item x="3"/>
        <item x="5"/>
        <item x="9"/>
        <item x="32"/>
        <item x="7"/>
        <item x="137"/>
        <item x="34"/>
        <item x="36"/>
        <item x="37"/>
        <item x="39"/>
        <item x="40"/>
        <item x="42"/>
        <item x="38"/>
        <item x="14"/>
        <item x="41"/>
        <item x="43"/>
        <item x="45"/>
        <item x="44"/>
        <item m="1" x="142"/>
        <item x="46"/>
        <item x="48"/>
        <item x="47"/>
        <item x="49"/>
        <item x="17"/>
        <item x="18"/>
        <item x="13"/>
        <item x="15"/>
        <item x="19"/>
        <item x="50"/>
        <item x="21"/>
        <item x="27"/>
        <item x="20"/>
        <item x="23"/>
        <item x="22"/>
        <item x="25"/>
        <item x="24"/>
        <item x="12"/>
        <item x="16"/>
        <item x="51"/>
        <item x="52"/>
        <item x="53"/>
        <item x="54"/>
        <item x="55"/>
        <item x="56"/>
        <item x="57"/>
        <item x="58"/>
        <item x="26"/>
        <item x="59"/>
        <item x="28"/>
        <item m="1" x="141"/>
        <item x="60"/>
        <item x="61"/>
        <item x="62"/>
        <item x="63"/>
        <item x="64"/>
        <item x="65"/>
        <item x="66"/>
        <item x="67"/>
        <item x="68"/>
        <item x="82"/>
        <item x="69"/>
        <item x="70"/>
        <item x="71"/>
        <item x="72"/>
        <item x="73"/>
        <item x="74"/>
        <item x="75"/>
        <item x="76"/>
        <item x="77"/>
        <item x="78"/>
        <item x="79"/>
        <item x="80"/>
        <item x="81"/>
        <item x="83"/>
        <item x="84"/>
        <item x="91"/>
        <item x="85"/>
        <item x="86"/>
        <item x="87"/>
        <item x="88"/>
        <item x="89"/>
        <item x="90"/>
        <item x="92"/>
        <item x="93"/>
        <item x="94"/>
        <item x="95"/>
        <item x="96"/>
        <item x="97"/>
        <item x="98"/>
        <item x="99"/>
        <item x="100"/>
        <item x="101"/>
        <item x="102"/>
        <item x="103"/>
        <item x="104"/>
        <item x="105"/>
        <item x="106"/>
        <item x="107"/>
        <item x="108"/>
        <item x="109"/>
        <item x="110"/>
        <item m="1" x="140"/>
        <item x="112"/>
        <item x="113"/>
        <item x="114"/>
        <item x="111"/>
        <item x="116"/>
        <item x="117"/>
        <item m="1" x="139"/>
        <item x="119"/>
        <item x="120"/>
        <item x="121"/>
        <item x="115"/>
        <item x="122"/>
        <item x="118"/>
        <item x="123"/>
        <item x="124"/>
        <item x="125"/>
        <item x="126"/>
        <item x="127"/>
        <item x="128"/>
        <item x="129"/>
        <item m="1" x="138"/>
        <item x="131"/>
        <item x="130"/>
        <item x="132"/>
        <item x="133"/>
        <item x="134"/>
        <item x="135"/>
        <item x="136"/>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4">
        <item x="0"/>
        <item m="1" x="3"/>
        <item x="1"/>
        <item h="1" m="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11"/>
    <field x="20"/>
    <field x="22"/>
  </rowFields>
  <rowItems count="65">
    <i>
      <x v="95"/>
      <x v="73"/>
      <x v="73"/>
    </i>
    <i>
      <x v="113"/>
      <x v="90"/>
      <x v="87"/>
    </i>
    <i>
      <x v="114"/>
      <x v="91"/>
      <x v="88"/>
    </i>
    <i>
      <x v="117"/>
      <x v="96"/>
      <x v="90"/>
    </i>
    <i>
      <x v="119"/>
      <x v="98"/>
      <x v="92"/>
    </i>
    <i>
      <x v="120"/>
      <x v="99"/>
      <x v="93"/>
    </i>
    <i>
      <x v="121"/>
      <x v="105"/>
      <x v="94"/>
    </i>
    <i>
      <x v="122"/>
      <x v="106"/>
      <x v="95"/>
    </i>
    <i>
      <x v="123"/>
      <x v="133"/>
      <x v="116"/>
    </i>
    <i>
      <x v="124"/>
      <x v="107"/>
      <x v="89"/>
    </i>
    <i>
      <x v="125"/>
      <x v="92"/>
      <x v="89"/>
    </i>
    <i>
      <x v="126"/>
      <x v="108"/>
      <x v="96"/>
    </i>
    <i>
      <x v="127"/>
      <x v="109"/>
      <x v="97"/>
    </i>
    <i>
      <x v="128"/>
      <x v="110"/>
      <x v="98"/>
    </i>
    <i>
      <x v="129"/>
      <x v="111"/>
      <x v="99"/>
    </i>
    <i>
      <x v="130"/>
      <x v="112"/>
      <x v="100"/>
    </i>
    <i>
      <x v="131"/>
      <x v="113"/>
      <x v="101"/>
    </i>
    <i>
      <x v="132"/>
      <x v="117"/>
      <x v="72"/>
    </i>
    <i>
      <x v="133"/>
      <x v="118"/>
      <x v="72"/>
    </i>
    <i>
      <x v="134"/>
      <x v="128"/>
      <x v="112"/>
    </i>
    <i>
      <x v="135"/>
      <x v="127"/>
      <x v="112"/>
    </i>
    <i>
      <x v="138"/>
      <x v="114"/>
      <x v="102"/>
    </i>
    <i>
      <x v="139"/>
      <x v="115"/>
      <x v="103"/>
    </i>
    <i>
      <x v="140"/>
      <x v="116"/>
      <x v="104"/>
    </i>
    <i>
      <x v="141"/>
      <x v="119"/>
      <x v="105"/>
    </i>
    <i>
      <x v="142"/>
      <x v="120"/>
      <x v="106"/>
    </i>
    <i>
      <x v="143"/>
      <x v="121"/>
      <x v="53"/>
    </i>
    <i>
      <x v="144"/>
      <x v="122"/>
      <x v="107"/>
    </i>
    <i>
      <x v="145"/>
      <x v="123"/>
      <x v="108"/>
    </i>
    <i>
      <x v="146"/>
      <x v="124"/>
      <x v="109"/>
    </i>
    <i>
      <x v="147"/>
      <x v="125"/>
      <x v="110"/>
    </i>
    <i>
      <x v="148"/>
      <x v="126"/>
      <x v="111"/>
    </i>
    <i>
      <x v="149"/>
      <x v="129"/>
      <x v="109"/>
    </i>
    <i>
      <x v="150"/>
      <x v="134"/>
      <x v="117"/>
    </i>
    <i>
      <x v="151"/>
      <x v="129"/>
      <x v="24"/>
    </i>
    <i>
      <x v="153"/>
      <x v="130"/>
      <x v="113"/>
    </i>
    <i>
      <x v="154"/>
      <x v="131"/>
      <x v="114"/>
    </i>
    <i>
      <x v="155"/>
      <x v="143"/>
      <x v="119"/>
    </i>
    <i>
      <x v="156"/>
      <x v="135"/>
      <x v="118"/>
    </i>
    <i>
      <x v="157"/>
      <x v="144"/>
      <x v="126"/>
    </i>
    <i>
      <x v="158"/>
      <x v="137"/>
      <x v="120"/>
    </i>
    <i>
      <x v="159"/>
      <x v="138"/>
      <x v="121"/>
    </i>
    <i>
      <x v="160"/>
      <x v="139"/>
      <x v="128"/>
    </i>
    <i>
      <x v="161"/>
      <x v="140"/>
      <x v="123"/>
    </i>
    <i>
      <x v="162"/>
      <x v="141"/>
      <x v="124"/>
    </i>
    <i>
      <x v="163"/>
      <x v="142"/>
      <x v="125"/>
    </i>
    <i>
      <x v="164"/>
      <x v="90"/>
      <x v="127"/>
    </i>
    <i>
      <x v="165"/>
      <x v="145"/>
      <x v="129"/>
    </i>
    <i>
      <x v="166"/>
      <x v="146"/>
      <x v="130"/>
    </i>
    <i>
      <x v="167"/>
      <x v="147"/>
      <x v="131"/>
    </i>
    <i>
      <x v="168"/>
      <x v="148"/>
      <x v="21"/>
    </i>
    <i>
      <x v="169"/>
      <x v="149"/>
      <x v="132"/>
    </i>
    <i>
      <x v="170"/>
      <x v="150"/>
      <x v="133"/>
    </i>
    <i>
      <x v="171"/>
      <x v="151"/>
      <x v="134"/>
    </i>
    <i>
      <x v="172"/>
      <x v="152"/>
      <x v="135"/>
    </i>
    <i>
      <x v="173"/>
      <x v="153"/>
      <x v="138"/>
    </i>
    <i>
      <x v="174"/>
      <x v="154"/>
      <x v="137"/>
    </i>
    <i>
      <x v="175"/>
      <x v="155"/>
      <x v="139"/>
    </i>
    <i>
      <x v="176"/>
      <x v="156"/>
      <x v="140"/>
    </i>
    <i>
      <x v="177"/>
      <x v="157"/>
      <x v="141"/>
    </i>
    <i>
      <x v="178"/>
      <x v="158"/>
      <x v="142"/>
    </i>
    <i>
      <x v="179"/>
      <x v="159"/>
      <x v="143"/>
    </i>
    <i>
      <x v="180"/>
      <x v="160"/>
      <x v="137"/>
    </i>
    <i>
      <x v="181"/>
      <x v="161"/>
      <x v="137"/>
    </i>
    <i t="grand">
      <x/>
    </i>
  </rowItems>
  <colItems count="1">
    <i/>
  </colItems>
  <pageFields count="2">
    <pageField fld="15" hier="-1"/>
    <pageField fld="28" hier="-1"/>
  </pageFields>
  <formats count="30">
    <format dxfId="454">
      <pivotArea outline="0" collapsedLevelsAreSubtotals="1" fieldPosition="0"/>
    </format>
    <format dxfId="453">
      <pivotArea outline="0" collapsedLevelsAreSubtotals="1" fieldPosition="0"/>
    </format>
    <format dxfId="452">
      <pivotArea outline="0" collapsedLevelsAreSubtotals="1" fieldPosition="0"/>
    </format>
    <format dxfId="451">
      <pivotArea outline="0" collapsedLevelsAreSubtotals="1" fieldPosition="0"/>
    </format>
    <format dxfId="450">
      <pivotArea field="11" type="button" dataOnly="0" labelOnly="1" outline="0" axis="axisRow" fieldPosition="0"/>
    </format>
    <format dxfId="449">
      <pivotArea field="20" type="button" dataOnly="0" labelOnly="1" outline="0" axis="axisRow" fieldPosition="1"/>
    </format>
    <format dxfId="448">
      <pivotArea field="22" type="button" dataOnly="0" labelOnly="1" outline="0" axis="axisRow" fieldPosition="2"/>
    </format>
    <format dxfId="447">
      <pivotArea dataOnly="0" labelOnly="1" outline="0" axis="axisValues" fieldPosition="0"/>
    </format>
    <format dxfId="446">
      <pivotArea dataOnly="0" labelOnly="1" outline="0" axis="axisValues" fieldPosition="0"/>
    </format>
    <format dxfId="445">
      <pivotArea outline="0" collapsedLevelsAreSubtotals="1" fieldPosition="0"/>
    </format>
    <format dxfId="444">
      <pivotArea field="11" type="button" dataOnly="0" labelOnly="1" outline="0" axis="axisRow" fieldPosition="0"/>
    </format>
    <format dxfId="443">
      <pivotArea field="20" type="button" dataOnly="0" labelOnly="1" outline="0" axis="axisRow" fieldPosition="1"/>
    </format>
    <format dxfId="442">
      <pivotArea field="22" type="button" dataOnly="0" labelOnly="1" outline="0" axis="axisRow" fieldPosition="2"/>
    </format>
    <format dxfId="441">
      <pivotArea dataOnly="0" labelOnly="1" outline="0" axis="axisValues" fieldPosition="0"/>
    </format>
    <format dxfId="440">
      <pivotArea dataOnly="0" labelOnly="1" outline="0" axis="axisValues" fieldPosition="0"/>
    </format>
    <format dxfId="439">
      <pivotArea outline="0" collapsedLevelsAreSubtotals="1" fieldPosition="0"/>
    </format>
    <format dxfId="438">
      <pivotArea field="11" type="button" dataOnly="0" labelOnly="1" outline="0" axis="axisRow" fieldPosition="0"/>
    </format>
    <format dxfId="437">
      <pivotArea field="20" type="button" dataOnly="0" labelOnly="1" outline="0" axis="axisRow" fieldPosition="1"/>
    </format>
    <format dxfId="436">
      <pivotArea field="22" type="button" dataOnly="0" labelOnly="1" outline="0" axis="axisRow" fieldPosition="2"/>
    </format>
    <format dxfId="435">
      <pivotArea dataOnly="0" labelOnly="1" outline="0" axis="axisValues" fieldPosition="0"/>
    </format>
    <format dxfId="434">
      <pivotArea field="11" type="button" dataOnly="0" labelOnly="1" outline="0" axis="axisRow" fieldPosition="0"/>
    </format>
    <format dxfId="433">
      <pivotArea field="20" type="button" dataOnly="0" labelOnly="1" outline="0" axis="axisRow" fieldPosition="1"/>
    </format>
    <format dxfId="432">
      <pivotArea field="22" type="button" dataOnly="0" labelOnly="1" outline="0" axis="axisRow" fieldPosition="2"/>
    </format>
    <format dxfId="431">
      <pivotArea dataOnly="0" labelOnly="1" outline="0" axis="axisValues" fieldPosition="0"/>
    </format>
    <format dxfId="430">
      <pivotArea field="11" type="button" dataOnly="0" labelOnly="1" outline="0" axis="axisRow" fieldPosition="0"/>
    </format>
    <format dxfId="429">
      <pivotArea field="20" type="button" dataOnly="0" labelOnly="1" outline="0" axis="axisRow" fieldPosition="1"/>
    </format>
    <format dxfId="428">
      <pivotArea field="22" type="button" dataOnly="0" labelOnly="1" outline="0" axis="axisRow" fieldPosition="2"/>
    </format>
    <format dxfId="427">
      <pivotArea dataOnly="0" labelOnly="1" outline="0" axis="axisValues" fieldPosition="0"/>
    </format>
    <format dxfId="426">
      <pivotArea outline="0" collapsedLevelsAreSubtotals="1" fieldPosition="0"/>
    </format>
    <format dxfId="425">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Tabela dinâmica3" cacheId="0" applyNumberFormats="0" applyBorderFormats="0" applyFontFormats="0" applyPatternFormats="0" applyAlignmentFormats="0" applyWidthHeightFormats="1" dataCaption="Valores" updatedVersion="8" minRefreshableVersion="3" useAutoFormatting="1" colGrandTotals="0" itemPrintTitles="1" createdVersion="6" indent="0" compact="0" compactData="0" multipleFieldFilters="0" chartFormat="2">
  <location ref="B5:D22" firstHeaderRow="1" firstDataRow="1" firstDataCol="0"/>
  <pivotFields count="36">
    <pivotField compact="0" outline="0" showAll="0" defaultSubtotal="0"/>
    <pivotField compact="0" outline="0" showAll="0" defaultSubtotal="0"/>
    <pivotField compact="0" outline="0" multipleItemSelectionAllowed="1" showAll="0" defaultSubtotal="0">
      <items count="31">
        <item x="5"/>
        <item x="12"/>
        <item x="17"/>
        <item x="7"/>
        <item x="16"/>
        <item x="2"/>
        <item x="14"/>
        <item x="28"/>
        <item x="8"/>
        <item x="0"/>
        <item x="4"/>
        <item x="1"/>
        <item x="6"/>
        <item x="9"/>
        <item x="10"/>
        <item x="3"/>
        <item x="13"/>
        <item x="15"/>
        <item x="18"/>
        <item x="11"/>
        <item x="19"/>
        <item x="20"/>
        <item x="21"/>
        <item x="22"/>
        <item m="1" x="30"/>
        <item x="23"/>
        <item x="24"/>
        <item x="25"/>
        <item x="26"/>
        <item m="1" x="29"/>
        <item x="27"/>
      </items>
    </pivotField>
    <pivotField compact="0" outline="0" showAll="0"/>
    <pivotField compact="0" outline="0" showAll="0"/>
    <pivotField compact="0" outline="0" showAll="0" defaultSubtotal="0"/>
    <pivotField compact="0" outline="0" showAll="0" defaultSubtotal="0">
      <items count="132">
        <item x="10"/>
        <item x="30"/>
        <item x="28"/>
        <item x="25"/>
        <item m="1" x="130"/>
        <item m="1" x="131"/>
        <item x="29"/>
        <item x="3"/>
        <item x="2"/>
        <item x="1"/>
        <item x="4"/>
        <item x="27"/>
        <item x="26"/>
        <item x="32"/>
        <item x="8"/>
        <item x="9"/>
        <item x="6"/>
        <item x="5"/>
        <item x="7"/>
        <item x="31"/>
        <item x="33"/>
        <item x="34"/>
        <item x="36"/>
        <item x="37"/>
        <item x="39"/>
        <item x="35"/>
        <item x="12"/>
        <item x="38"/>
        <item x="40"/>
        <item x="42"/>
        <item x="41"/>
        <item m="1" x="128"/>
        <item x="0"/>
        <item x="43"/>
        <item x="45"/>
        <item x="14"/>
        <item x="11"/>
        <item x="13"/>
        <item x="15"/>
        <item x="47"/>
        <item x="44"/>
        <item x="46"/>
        <item x="17"/>
        <item x="16"/>
        <item x="19"/>
        <item x="18"/>
        <item x="21"/>
        <item x="20"/>
        <item x="22"/>
        <item x="23"/>
        <item x="48"/>
        <item x="24"/>
        <item x="49"/>
        <item x="50"/>
        <item x="51"/>
        <item x="52"/>
        <item x="53"/>
        <item x="54"/>
        <item x="55"/>
        <item x="71"/>
        <item x="56"/>
        <item x="57"/>
        <item x="58"/>
        <item x="59"/>
        <item x="60"/>
        <item x="61"/>
        <item x="62"/>
        <item x="63"/>
        <item x="64"/>
        <item x="65"/>
        <item x="66"/>
        <item x="67"/>
        <item x="68"/>
        <item x="69"/>
        <item x="70"/>
        <item x="72"/>
        <item x="73"/>
        <item m="1" x="127"/>
        <item m="1" x="129"/>
        <item x="74"/>
        <item x="75"/>
        <item x="76"/>
        <item x="77"/>
        <item x="78"/>
        <item x="79"/>
        <item x="80"/>
        <item x="81"/>
        <item x="82"/>
        <item x="83"/>
        <item x="84"/>
        <item x="85"/>
        <item x="86"/>
        <item x="87"/>
        <item x="88"/>
        <item x="89"/>
        <item x="90"/>
        <item x="91"/>
        <item x="92"/>
        <item x="93"/>
        <item x="94"/>
        <item x="95"/>
        <item x="96"/>
        <item x="97"/>
        <item x="99"/>
        <item x="98"/>
        <item x="100"/>
        <item x="101"/>
        <item x="102"/>
        <item x="103"/>
        <item x="104"/>
        <item x="105"/>
        <item x="106"/>
        <item x="107"/>
        <item x="108"/>
        <item x="109"/>
        <item x="110"/>
        <item x="111"/>
        <item x="112"/>
        <item x="113"/>
        <item x="114"/>
        <item x="115"/>
        <item x="116"/>
        <item x="117"/>
        <item x="118"/>
        <item x="119"/>
        <item x="120"/>
        <item x="121"/>
        <item x="122"/>
        <item x="123"/>
        <item x="124"/>
        <item x="125"/>
        <item x="126"/>
      </items>
    </pivotField>
    <pivotField compact="0" outline="0" showAll="0" defaultSubtotal="0"/>
    <pivotField compact="0" outline="0" showAll="0" defaultSubtotal="0"/>
    <pivotField compact="0" outline="0" showAll="0"/>
    <pivotField compact="0" outline="0" showAll="0"/>
    <pivotField compact="0" outline="0" showAll="0" defaultSubtotal="0">
      <items count="185">
        <item x="155"/>
        <item x="36"/>
        <item x="34"/>
        <item x="31"/>
        <item m="1" x="165"/>
        <item m="1" x="177"/>
        <item x="0"/>
        <item x="35"/>
        <item x="4"/>
        <item x="3"/>
        <item x="2"/>
        <item x="1"/>
        <item x="5"/>
        <item x="33"/>
        <item m="1" x="175"/>
        <item x="9"/>
        <item x="11"/>
        <item x="10"/>
        <item x="7"/>
        <item x="6"/>
        <item x="8"/>
        <item x="37"/>
        <item x="38"/>
        <item x="40"/>
        <item x="41"/>
        <item x="43"/>
        <item x="44"/>
        <item x="46"/>
        <item x="42"/>
        <item x="14"/>
        <item x="15"/>
        <item x="45"/>
        <item x="47"/>
        <item x="49"/>
        <item x="48"/>
        <item m="1" x="162"/>
        <item x="32"/>
        <item x="50"/>
        <item m="1" x="183"/>
        <item x="51"/>
        <item x="53"/>
        <item x="18"/>
        <item x="19"/>
        <item x="13"/>
        <item x="16"/>
        <item x="20"/>
        <item x="54"/>
        <item x="22"/>
        <item x="25"/>
        <item x="21"/>
        <item x="24"/>
        <item x="23"/>
        <item x="26"/>
        <item x="12"/>
        <item x="17"/>
        <item x="55"/>
        <item x="56"/>
        <item x="57"/>
        <item x="58"/>
        <item x="59"/>
        <item x="60"/>
        <item x="61"/>
        <item x="62"/>
        <item x="27"/>
        <item x="28"/>
        <item x="63"/>
        <item x="29"/>
        <item x="30"/>
        <item m="1" x="180"/>
        <item m="1" x="181"/>
        <item m="1" x="182"/>
        <item m="1" x="166"/>
        <item m="1" x="167"/>
        <item m="1" x="168"/>
        <item m="1" x="170"/>
        <item m="1" x="171"/>
        <item m="1" x="172"/>
        <item m="1" x="173"/>
        <item m="1" x="174"/>
        <item m="1" x="176"/>
        <item m="1" x="163"/>
        <item x="64"/>
        <item x="39"/>
        <item x="52"/>
        <item x="65"/>
        <item x="66"/>
        <item x="67"/>
        <item x="68"/>
        <item x="69"/>
        <item x="70"/>
        <item x="71"/>
        <item x="72"/>
        <item x="73"/>
        <item m="1" x="164"/>
        <item m="1" x="178"/>
        <item x="90"/>
        <item m="1" x="179"/>
        <item x="74"/>
        <item x="75"/>
        <item x="76"/>
        <item x="77"/>
        <item x="78"/>
        <item x="79"/>
        <item x="80"/>
        <item x="81"/>
        <item x="82"/>
        <item x="83"/>
        <item x="84"/>
        <item x="85"/>
        <item x="86"/>
        <item x="87"/>
        <item x="88"/>
        <item x="89"/>
        <item x="91"/>
        <item x="92"/>
        <item m="1" x="184"/>
        <item m="1" x="169"/>
        <item x="93"/>
        <item x="94"/>
        <item x="95"/>
        <item x="96"/>
        <item x="97"/>
        <item x="98"/>
        <item x="127"/>
        <item x="99"/>
        <item x="100"/>
        <item x="101"/>
        <item x="102"/>
        <item x="103"/>
        <item x="104"/>
        <item x="105"/>
        <item x="106"/>
        <item x="110"/>
        <item x="111"/>
        <item x="120"/>
        <item x="121"/>
        <item m="1" x="160"/>
        <item m="1" x="161"/>
        <item x="107"/>
        <item x="108"/>
        <item x="109"/>
        <item x="112"/>
        <item x="113"/>
        <item x="114"/>
        <item x="115"/>
        <item x="116"/>
        <item x="117"/>
        <item x="118"/>
        <item x="119"/>
        <item x="123"/>
        <item x="128"/>
        <item x="122"/>
        <item m="1" x="159"/>
        <item x="124"/>
        <item x="125"/>
        <item x="126"/>
        <item x="129"/>
        <item x="130"/>
        <item x="131"/>
        <item x="132"/>
        <item x="133"/>
        <item x="134"/>
        <item x="135"/>
        <item x="136"/>
        <item x="137"/>
        <item x="138"/>
        <item x="139"/>
        <item x="140"/>
        <item x="141"/>
        <item x="142"/>
        <item x="143"/>
        <item x="144"/>
        <item x="145"/>
        <item x="146"/>
        <item x="147"/>
        <item x="148"/>
        <item x="149"/>
        <item x="150"/>
        <item x="151"/>
        <item x="152"/>
        <item x="153"/>
        <item x="154"/>
        <item x="156"/>
        <item x="157"/>
        <item x="158"/>
      </items>
    </pivotField>
    <pivotField compact="0" outline="0" showAll="0"/>
    <pivotField compact="0" outline="0" showAll="0"/>
    <pivotField compact="0" outline="0" showAll="0" defaultSubtotal="0"/>
    <pivotField compact="0" outline="0" showAll="0" defaultSubtotal="0"/>
    <pivotField compact="0" outline="0" multipleItemSelectionAllowed="1" showAll="0" defaultSubtotal="0"/>
    <pivotField compact="0" outline="0" showAll="0"/>
    <pivotField compact="0" outline="0" showAll="0"/>
    <pivotField compact="0" outline="0" showAll="0" defaultSubtotal="0"/>
    <pivotField compact="0" outline="0" showAll="0" defaultSubtotal="0">
      <items count="162">
        <item x="149"/>
        <item x="32"/>
        <item x="30"/>
        <item x="28"/>
        <item x="0"/>
        <item x="31"/>
        <item x="4"/>
        <item x="3"/>
        <item x="2"/>
        <item x="1"/>
        <item x="5"/>
        <item x="29"/>
        <item x="35"/>
        <item x="9"/>
        <item x="10"/>
        <item x="7"/>
        <item x="6"/>
        <item x="8"/>
        <item x="33"/>
        <item x="34"/>
        <item x="36"/>
        <item x="37"/>
        <item x="39"/>
        <item x="40"/>
        <item x="42"/>
        <item x="38"/>
        <item x="13"/>
        <item x="41"/>
        <item x="43"/>
        <item x="45"/>
        <item x="44"/>
        <item m="1" x="158"/>
        <item x="46"/>
        <item x="48"/>
        <item x="47"/>
        <item m="1" x="159"/>
        <item x="16"/>
        <item x="12"/>
        <item x="14"/>
        <item x="17"/>
        <item x="50"/>
        <item x="19"/>
        <item x="18"/>
        <item x="21"/>
        <item x="20"/>
        <item x="23"/>
        <item x="22"/>
        <item x="11"/>
        <item x="15"/>
        <item x="51"/>
        <item x="52"/>
        <item x="53"/>
        <item x="54"/>
        <item x="55"/>
        <item x="56"/>
        <item x="57"/>
        <item m="1" x="160"/>
        <item x="24"/>
        <item x="25"/>
        <item x="59"/>
        <item x="26"/>
        <item x="27"/>
        <item m="1" x="155"/>
        <item m="1" x="152"/>
        <item x="60"/>
        <item x="61"/>
        <item x="62"/>
        <item x="63"/>
        <item x="64"/>
        <item m="1" x="161"/>
        <item m="1" x="157"/>
        <item m="1" x="156"/>
        <item m="1" x="154"/>
        <item x="86"/>
        <item x="70"/>
        <item x="71"/>
        <item x="72"/>
        <item x="73"/>
        <item x="74"/>
        <item x="75"/>
        <item x="76"/>
        <item x="77"/>
        <item x="78"/>
        <item x="79"/>
        <item x="80"/>
        <item x="81"/>
        <item x="82"/>
        <item x="83"/>
        <item x="84"/>
        <item x="85"/>
        <item x="87"/>
        <item x="88"/>
        <item x="96"/>
        <item x="49"/>
        <item x="58"/>
        <item m="1" x="153"/>
        <item x="89"/>
        <item x="90"/>
        <item x="91"/>
        <item x="92"/>
        <item x="65"/>
        <item x="66"/>
        <item x="67"/>
        <item x="68"/>
        <item x="69"/>
        <item x="93"/>
        <item x="94"/>
        <item x="95"/>
        <item x="97"/>
        <item x="98"/>
        <item x="99"/>
        <item x="100"/>
        <item x="101"/>
        <item x="102"/>
        <item x="103"/>
        <item x="104"/>
        <item x="105"/>
        <item x="106"/>
        <item x="107"/>
        <item x="108"/>
        <item x="109"/>
        <item x="110"/>
        <item x="111"/>
        <item x="112"/>
        <item x="113"/>
        <item x="114"/>
        <item x="115"/>
        <item x="117"/>
        <item x="116"/>
        <item x="118"/>
        <item x="119"/>
        <item x="120"/>
        <item m="1" x="150"/>
        <item x="122"/>
        <item x="123"/>
        <item x="124"/>
        <item m="1" x="151"/>
        <item x="126"/>
        <item x="127"/>
        <item x="128"/>
        <item x="129"/>
        <item x="130"/>
        <item x="131"/>
        <item x="121"/>
        <item x="125"/>
        <item x="132"/>
        <item x="133"/>
        <item x="134"/>
        <item x="135"/>
        <item x="136"/>
        <item x="137"/>
        <item x="138"/>
        <item x="139"/>
        <item x="140"/>
        <item x="141"/>
        <item x="142"/>
        <item x="143"/>
        <item x="144"/>
        <item x="145"/>
        <item x="146"/>
        <item x="147"/>
        <item x="148"/>
      </items>
    </pivotField>
    <pivotField compact="0" outline="0" showAll="0" defaultSubtotal="0"/>
    <pivotField compact="0" outline="0" showAll="0" defaultSubtotal="0">
      <items count="144">
        <item x="29"/>
        <item x="7"/>
        <item x="137"/>
        <item x="30"/>
        <item x="22"/>
        <item x="33"/>
        <item x="31"/>
        <item m="1" x="143"/>
        <item x="0"/>
        <item x="32"/>
        <item x="4"/>
        <item x="3"/>
        <item x="2"/>
        <item x="1"/>
        <item x="5"/>
        <item x="35"/>
        <item x="9"/>
        <item x="11"/>
        <item x="10"/>
        <item x="6"/>
        <item x="8"/>
        <item x="34"/>
        <item x="36"/>
        <item x="37"/>
        <item x="39"/>
        <item x="40"/>
        <item x="42"/>
        <item x="38"/>
        <item x="14"/>
        <item x="41"/>
        <item x="43"/>
        <item x="45"/>
        <item x="44"/>
        <item m="1" x="142"/>
        <item x="46"/>
        <item x="48"/>
        <item x="47"/>
        <item x="49"/>
        <item x="17"/>
        <item x="18"/>
        <item x="13"/>
        <item x="15"/>
        <item x="19"/>
        <item x="50"/>
        <item x="21"/>
        <item x="27"/>
        <item x="20"/>
        <item x="23"/>
        <item x="25"/>
        <item x="24"/>
        <item x="12"/>
        <item x="16"/>
        <item x="51"/>
        <item x="52"/>
        <item x="53"/>
        <item x="54"/>
        <item x="55"/>
        <item x="56"/>
        <item x="57"/>
        <item x="58"/>
        <item x="26"/>
        <item x="59"/>
        <item x="28"/>
        <item m="1" x="141"/>
        <item x="60"/>
        <item x="61"/>
        <item x="62"/>
        <item x="63"/>
        <item x="64"/>
        <item x="65"/>
        <item x="66"/>
        <item x="67"/>
        <item x="68"/>
        <item x="82"/>
        <item x="69"/>
        <item x="70"/>
        <item x="71"/>
        <item x="72"/>
        <item x="73"/>
        <item x="74"/>
        <item x="75"/>
        <item x="76"/>
        <item x="77"/>
        <item x="78"/>
        <item x="79"/>
        <item x="80"/>
        <item x="81"/>
        <item x="83"/>
        <item x="84"/>
        <item x="91"/>
        <item x="85"/>
        <item x="86"/>
        <item x="87"/>
        <item x="88"/>
        <item x="89"/>
        <item x="90"/>
        <item x="92"/>
        <item x="93"/>
        <item x="94"/>
        <item x="95"/>
        <item x="96"/>
        <item x="97"/>
        <item x="98"/>
        <item x="99"/>
        <item x="100"/>
        <item x="101"/>
        <item x="102"/>
        <item x="103"/>
        <item x="104"/>
        <item x="105"/>
        <item x="106"/>
        <item x="107"/>
        <item x="108"/>
        <item x="109"/>
        <item x="110"/>
        <item m="1" x="140"/>
        <item x="112"/>
        <item x="113"/>
        <item x="114"/>
        <item x="111"/>
        <item x="116"/>
        <item x="117"/>
        <item m="1" x="139"/>
        <item x="119"/>
        <item x="120"/>
        <item x="121"/>
        <item x="115"/>
        <item x="122"/>
        <item x="118"/>
        <item x="123"/>
        <item x="124"/>
        <item x="125"/>
        <item x="126"/>
        <item x="127"/>
        <item x="128"/>
        <item x="129"/>
        <item m="1" x="138"/>
        <item x="131"/>
        <item x="130"/>
        <item x="132"/>
        <item x="133"/>
        <item x="134"/>
        <item x="135"/>
        <item x="136"/>
      </items>
    </pivotField>
    <pivotField compact="0" outline="0" showAll="0"/>
    <pivotField compact="0" outline="0" showAll="0" defaultSubtotal="0"/>
    <pivotField compact="0" outline="0" showAll="0" defaultSubtota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s>
  <formats count="22">
    <format dxfId="349">
      <pivotArea dataOnly="0" labelOnly="1" outline="0" axis="axisValues" fieldPosition="0"/>
    </format>
    <format dxfId="348">
      <pivotArea dataOnly="0" labelOnly="1" outline="0" axis="axisValues" fieldPosition="0"/>
    </format>
    <format dxfId="347">
      <pivotArea field="2" type="button" dataOnly="0" labelOnly="1" outline="0"/>
    </format>
    <format dxfId="346">
      <pivotArea field="11" type="button" dataOnly="0" labelOnly="1" outline="0"/>
    </format>
    <format dxfId="345">
      <pivotArea field="20" type="button" dataOnly="0" labelOnly="1" outline="0"/>
    </format>
    <format dxfId="344">
      <pivotArea field="6" type="button" dataOnly="0" labelOnly="1" outline="0"/>
    </format>
    <format dxfId="343">
      <pivotArea field="22" type="button" dataOnly="0" labelOnly="1" outline="0"/>
    </format>
    <format dxfId="342">
      <pivotArea dataOnly="0" labelOnly="1" outline="0" axis="axisValues" fieldPosition="0"/>
    </format>
    <format dxfId="341">
      <pivotArea dataOnly="0" labelOnly="1" outline="0" axis="axisValues" fieldPosition="0"/>
    </format>
    <format dxfId="340">
      <pivotArea field="2" type="button" dataOnly="0" labelOnly="1" outline="0"/>
    </format>
    <format dxfId="339">
      <pivotArea field="2" type="button" dataOnly="0" labelOnly="1" outline="0"/>
    </format>
    <format dxfId="338">
      <pivotArea field="11" type="button" dataOnly="0" labelOnly="1" outline="0"/>
    </format>
    <format dxfId="337">
      <pivotArea field="20" type="button" dataOnly="0" labelOnly="1" outline="0"/>
    </format>
    <format dxfId="336">
      <pivotArea field="6" type="button" dataOnly="0" labelOnly="1" outline="0"/>
    </format>
    <format dxfId="335">
      <pivotArea field="22" type="button" dataOnly="0" labelOnly="1" outline="0"/>
    </format>
    <format dxfId="334">
      <pivotArea dataOnly="0" labelOnly="1" outline="0" axis="axisValues" fieldPosition="0"/>
    </format>
    <format dxfId="333">
      <pivotArea dataOnly="0" labelOnly="1" outline="0" axis="axisValues" fieldPosition="0"/>
    </format>
    <format dxfId="332">
      <pivotArea field="2" type="button" dataOnly="0" labelOnly="1" outline="0"/>
    </format>
    <format dxfId="331">
      <pivotArea field="2" type="button" dataOnly="0" labelOnly="1" outline="0"/>
    </format>
    <format dxfId="330">
      <pivotArea field="2" type="button" dataOnly="0" labelOnly="1" outline="0"/>
    </format>
    <format dxfId="329">
      <pivotArea dataOnly="0" labelOnly="1" grandRow="1" outline="0" fieldPosition="0"/>
    </format>
    <format dxfId="328">
      <pivotArea dataOnly="0" labelOnly="1" grandRow="1" outline="0" fieldPosition="0"/>
    </format>
  </formats>
  <pivotTableStyleInfo name="PivotStyleDark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Tabela dinâmica1" cacheId="0" applyNumberFormats="0" applyBorderFormats="0" applyFontFormats="0" applyPatternFormats="0" applyAlignmentFormats="0" applyWidthHeightFormats="1" dataCaption="Valores" updatedVersion="8" minRefreshableVersion="3" useAutoFormatting="1" colGrandTotals="0" itemPrintTitles="1" createdVersion="6" indent="0" outline="1" outlineData="1" multipleFieldFilters="0" chartFormat="9">
  <location ref="B50:B91" firstHeaderRow="1" firstDataRow="1" firstDataCol="1"/>
  <pivotFields count="36">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multipleItemSelectionAllowed="1" showAll="0" defaultSubtotal="0">
      <items count="31">
        <item x="5"/>
        <item x="12"/>
        <item x="17"/>
        <item x="7"/>
        <item x="16"/>
        <item x="2"/>
        <item x="14"/>
        <item x="28"/>
        <item x="8"/>
        <item x="0"/>
        <item x="4"/>
        <item x="1"/>
        <item x="6"/>
        <item x="9"/>
        <item x="10"/>
        <item x="3"/>
        <item x="13"/>
        <item x="15"/>
        <item x="18"/>
        <item x="11"/>
        <item x="19"/>
        <item x="20"/>
        <item x="21"/>
        <item x="22"/>
        <item m="1" x="30"/>
        <item x="23"/>
        <item x="24"/>
        <item x="25"/>
        <item x="26"/>
        <item m="1" x="29"/>
        <item x="27"/>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items count="132">
        <item x="10"/>
        <item x="30"/>
        <item x="28"/>
        <item x="25"/>
        <item m="1" x="130"/>
        <item m="1" x="131"/>
        <item x="29"/>
        <item x="3"/>
        <item x="2"/>
        <item x="1"/>
        <item x="4"/>
        <item x="27"/>
        <item x="26"/>
        <item x="32"/>
        <item x="8"/>
        <item x="9"/>
        <item x="6"/>
        <item x="5"/>
        <item x="7"/>
        <item x="31"/>
        <item x="33"/>
        <item x="34"/>
        <item x="36"/>
        <item x="37"/>
        <item x="39"/>
        <item x="35"/>
        <item x="12"/>
        <item x="38"/>
        <item x="40"/>
        <item x="42"/>
        <item x="41"/>
        <item m="1" x="128"/>
        <item x="0"/>
        <item x="43"/>
        <item x="45"/>
        <item x="14"/>
        <item x="11"/>
        <item x="13"/>
        <item x="15"/>
        <item x="47"/>
        <item x="44"/>
        <item x="46"/>
        <item x="17"/>
        <item x="16"/>
        <item x="19"/>
        <item x="18"/>
        <item x="21"/>
        <item x="20"/>
        <item x="22"/>
        <item x="23"/>
        <item x="48"/>
        <item x="24"/>
        <item x="49"/>
        <item x="50"/>
        <item x="51"/>
        <item x="52"/>
        <item x="53"/>
        <item x="54"/>
        <item x="55"/>
        <item x="71"/>
        <item x="56"/>
        <item x="57"/>
        <item x="58"/>
        <item x="59"/>
        <item x="60"/>
        <item x="61"/>
        <item x="62"/>
        <item x="63"/>
        <item x="64"/>
        <item x="65"/>
        <item x="66"/>
        <item x="67"/>
        <item x="68"/>
        <item x="69"/>
        <item x="70"/>
        <item x="72"/>
        <item x="73"/>
        <item m="1" x="127"/>
        <item m="1" x="129"/>
        <item x="74"/>
        <item x="75"/>
        <item x="76"/>
        <item x="77"/>
        <item x="78"/>
        <item x="79"/>
        <item x="80"/>
        <item x="81"/>
        <item x="82"/>
        <item x="83"/>
        <item x="84"/>
        <item x="85"/>
        <item x="86"/>
        <item x="87"/>
        <item x="88"/>
        <item x="89"/>
        <item x="90"/>
        <item x="91"/>
        <item x="92"/>
        <item x="93"/>
        <item x="94"/>
        <item x="95"/>
        <item x="96"/>
        <item x="97"/>
        <item x="99"/>
        <item x="98"/>
        <item x="100"/>
        <item x="101"/>
        <item x="102"/>
        <item x="103"/>
        <item x="104"/>
        <item x="105"/>
        <item x="106"/>
        <item x="107"/>
        <item x="108"/>
        <item x="109"/>
        <item x="110"/>
        <item x="111"/>
        <item x="112"/>
        <item x="113"/>
        <item x="114"/>
        <item x="115"/>
        <item x="116"/>
        <item x="117"/>
        <item x="118"/>
        <item x="119"/>
        <item x="120"/>
        <item x="121"/>
        <item x="122"/>
        <item x="123"/>
        <item x="124"/>
        <item x="125"/>
        <item x="126"/>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defaultSubtotal="0">
      <items count="185">
        <item x="155"/>
        <item x="36"/>
        <item x="34"/>
        <item x="31"/>
        <item m="1" x="165"/>
        <item m="1" x="177"/>
        <item x="0"/>
        <item x="35"/>
        <item x="4"/>
        <item x="3"/>
        <item x="2"/>
        <item x="1"/>
        <item x="5"/>
        <item x="33"/>
        <item m="1" x="175"/>
        <item x="9"/>
        <item x="11"/>
        <item x="10"/>
        <item x="7"/>
        <item x="6"/>
        <item x="8"/>
        <item x="37"/>
        <item x="38"/>
        <item x="40"/>
        <item x="41"/>
        <item x="43"/>
        <item x="44"/>
        <item x="46"/>
        <item x="42"/>
        <item x="14"/>
        <item x="15"/>
        <item x="45"/>
        <item x="47"/>
        <item x="49"/>
        <item x="48"/>
        <item m="1" x="162"/>
        <item x="32"/>
        <item x="50"/>
        <item m="1" x="183"/>
        <item x="51"/>
        <item x="53"/>
        <item x="18"/>
        <item x="19"/>
        <item x="13"/>
        <item x="16"/>
        <item x="20"/>
        <item x="54"/>
        <item x="22"/>
        <item x="25"/>
        <item x="21"/>
        <item x="24"/>
        <item x="23"/>
        <item x="26"/>
        <item x="12"/>
        <item x="17"/>
        <item x="55"/>
        <item x="56"/>
        <item x="57"/>
        <item x="58"/>
        <item x="59"/>
        <item x="60"/>
        <item x="61"/>
        <item x="62"/>
        <item x="27"/>
        <item x="28"/>
        <item x="63"/>
        <item x="29"/>
        <item x="30"/>
        <item m="1" x="180"/>
        <item m="1" x="181"/>
        <item m="1" x="182"/>
        <item m="1" x="166"/>
        <item m="1" x="167"/>
        <item m="1" x="168"/>
        <item m="1" x="170"/>
        <item m="1" x="171"/>
        <item m="1" x="172"/>
        <item m="1" x="173"/>
        <item m="1" x="174"/>
        <item m="1" x="176"/>
        <item m="1" x="163"/>
        <item x="64"/>
        <item x="39"/>
        <item x="52"/>
        <item x="65"/>
        <item x="66"/>
        <item x="67"/>
        <item x="68"/>
        <item x="69"/>
        <item x="70"/>
        <item x="71"/>
        <item x="72"/>
        <item x="73"/>
        <item m="1" x="164"/>
        <item m="1" x="178"/>
        <item x="90"/>
        <item m="1" x="179"/>
        <item x="74"/>
        <item x="75"/>
        <item x="76"/>
        <item x="77"/>
        <item x="78"/>
        <item x="79"/>
        <item x="80"/>
        <item x="81"/>
        <item x="82"/>
        <item x="83"/>
        <item x="84"/>
        <item x="85"/>
        <item x="86"/>
        <item x="87"/>
        <item x="88"/>
        <item x="89"/>
        <item x="91"/>
        <item x="92"/>
        <item m="1" x="184"/>
        <item m="1" x="169"/>
        <item x="93"/>
        <item x="94"/>
        <item x="95"/>
        <item x="96"/>
        <item x="97"/>
        <item x="98"/>
        <item x="127"/>
        <item x="99"/>
        <item x="100"/>
        <item x="101"/>
        <item x="102"/>
        <item x="103"/>
        <item x="104"/>
        <item x="105"/>
        <item x="106"/>
        <item x="110"/>
        <item x="111"/>
        <item x="120"/>
        <item x="121"/>
        <item m="1" x="160"/>
        <item m="1" x="161"/>
        <item x="107"/>
        <item x="108"/>
        <item x="109"/>
        <item x="112"/>
        <item x="113"/>
        <item x="114"/>
        <item x="115"/>
        <item x="116"/>
        <item x="117"/>
        <item x="118"/>
        <item x="119"/>
        <item x="123"/>
        <item x="128"/>
        <item x="122"/>
        <item m="1" x="159"/>
        <item x="124"/>
        <item x="125"/>
        <item x="126"/>
        <item x="129"/>
        <item x="130"/>
        <item x="131"/>
        <item x="132"/>
        <item x="133"/>
        <item x="134"/>
        <item x="135"/>
        <item x="136"/>
        <item x="137"/>
        <item x="138"/>
        <item x="139"/>
        <item x="140"/>
        <item x="141"/>
        <item x="142"/>
        <item x="143"/>
        <item x="144"/>
        <item x="145"/>
        <item x="146"/>
        <item x="147"/>
        <item x="148"/>
        <item x="149"/>
        <item x="150"/>
        <item x="151"/>
        <item x="152"/>
        <item x="153"/>
        <item x="154"/>
        <item x="156"/>
        <item x="157"/>
        <item x="158"/>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axis="axisRow" multipleItemSelectionAllowed="1" showAll="0" includeNewItemsInFilter="1" defaultSubtotal="0">
      <items count="10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101"/>
        <item x="39"/>
        <item m="1" x="77"/>
        <item m="1" x="100"/>
        <item m="1" x="79"/>
        <item m="1" x="83"/>
        <item m="1" x="78"/>
        <item m="1" x="80"/>
        <item m="1" x="81"/>
        <item m="1" x="82"/>
        <item m="1" x="84"/>
        <item m="1" x="85"/>
        <item m="1" x="86"/>
        <item m="1" x="88"/>
        <item m="1" x="87"/>
        <item m="1" x="89"/>
        <item m="1" x="90"/>
        <item m="1" x="91"/>
        <item m="1" x="92"/>
        <item m="1" x="99"/>
        <item m="1" x="98"/>
        <item m="1" x="93"/>
        <item m="1" x="94"/>
        <item m="1" x="95"/>
        <item m="1" x="96"/>
        <item m="1" x="97"/>
        <item x="0"/>
        <item x="1"/>
        <item x="2"/>
        <item x="3"/>
        <item x="4"/>
        <item x="5"/>
        <item x="6"/>
        <item x="7"/>
        <item x="8"/>
        <item x="9"/>
        <item x="10"/>
        <item x="11"/>
        <item x="12"/>
        <item x="13"/>
        <item x="14"/>
        <item x="15"/>
        <item x="16"/>
        <item x="17"/>
        <item x="18"/>
        <item x="19"/>
        <item x="20"/>
        <item x="21"/>
        <item x="22"/>
        <item x="23"/>
        <item x="24"/>
        <item x="25"/>
        <item x="26"/>
        <item m="1" x="40"/>
        <item m="1" x="41"/>
        <item m="1" x="42"/>
        <item x="27"/>
        <item x="28"/>
        <item x="29"/>
        <item x="30"/>
        <item x="31"/>
        <item x="32"/>
        <item x="33"/>
        <item x="34"/>
        <item x="35"/>
        <item x="36"/>
        <item x="37"/>
        <item x="38"/>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items count="162">
        <item x="149"/>
        <item x="32"/>
        <item x="30"/>
        <item x="28"/>
        <item x="0"/>
        <item x="31"/>
        <item x="4"/>
        <item x="3"/>
        <item x="2"/>
        <item x="1"/>
        <item x="5"/>
        <item x="29"/>
        <item x="35"/>
        <item x="9"/>
        <item x="10"/>
        <item x="7"/>
        <item x="6"/>
        <item x="8"/>
        <item x="33"/>
        <item x="34"/>
        <item x="36"/>
        <item x="37"/>
        <item x="39"/>
        <item x="40"/>
        <item x="42"/>
        <item x="38"/>
        <item x="13"/>
        <item x="41"/>
        <item x="43"/>
        <item x="45"/>
        <item x="44"/>
        <item m="1" x="158"/>
        <item x="46"/>
        <item x="48"/>
        <item x="47"/>
        <item m="1" x="159"/>
        <item x="16"/>
        <item x="12"/>
        <item x="14"/>
        <item x="17"/>
        <item x="50"/>
        <item x="19"/>
        <item x="18"/>
        <item x="21"/>
        <item x="20"/>
        <item x="23"/>
        <item x="22"/>
        <item x="11"/>
        <item x="15"/>
        <item x="51"/>
        <item x="52"/>
        <item x="53"/>
        <item x="54"/>
        <item x="55"/>
        <item x="56"/>
        <item x="57"/>
        <item m="1" x="160"/>
        <item x="24"/>
        <item x="25"/>
        <item x="59"/>
        <item x="26"/>
        <item x="27"/>
        <item m="1" x="155"/>
        <item m="1" x="152"/>
        <item x="60"/>
        <item x="61"/>
        <item x="62"/>
        <item x="63"/>
        <item x="64"/>
        <item m="1" x="161"/>
        <item m="1" x="157"/>
        <item m="1" x="156"/>
        <item m="1" x="154"/>
        <item x="86"/>
        <item x="70"/>
        <item x="71"/>
        <item x="72"/>
        <item x="73"/>
        <item x="74"/>
        <item x="75"/>
        <item x="76"/>
        <item x="77"/>
        <item x="78"/>
        <item x="79"/>
        <item x="80"/>
        <item x="81"/>
        <item x="82"/>
        <item x="83"/>
        <item x="84"/>
        <item x="85"/>
        <item x="87"/>
        <item x="88"/>
        <item x="96"/>
        <item x="49"/>
        <item x="58"/>
        <item m="1" x="153"/>
        <item x="89"/>
        <item x="90"/>
        <item x="91"/>
        <item x="92"/>
        <item x="65"/>
        <item x="66"/>
        <item x="67"/>
        <item x="68"/>
        <item x="69"/>
        <item x="93"/>
        <item x="94"/>
        <item x="95"/>
        <item x="97"/>
        <item x="98"/>
        <item x="99"/>
        <item x="100"/>
        <item x="101"/>
        <item x="102"/>
        <item x="103"/>
        <item x="104"/>
        <item x="105"/>
        <item x="106"/>
        <item x="107"/>
        <item x="108"/>
        <item x="109"/>
        <item x="110"/>
        <item x="111"/>
        <item x="112"/>
        <item x="113"/>
        <item x="114"/>
        <item x="115"/>
        <item x="117"/>
        <item x="116"/>
        <item x="118"/>
        <item x="119"/>
        <item x="120"/>
        <item m="1" x="150"/>
        <item x="122"/>
        <item x="123"/>
        <item x="124"/>
        <item m="1" x="151"/>
        <item x="126"/>
        <item x="127"/>
        <item x="128"/>
        <item x="129"/>
        <item x="130"/>
        <item x="131"/>
        <item x="121"/>
        <item x="125"/>
        <item x="132"/>
        <item x="133"/>
        <item x="134"/>
        <item x="135"/>
        <item x="136"/>
        <item x="137"/>
        <item x="138"/>
        <item x="139"/>
        <item x="140"/>
        <item x="141"/>
        <item x="142"/>
        <item x="143"/>
        <item x="144"/>
        <item x="145"/>
        <item x="146"/>
        <item x="147"/>
        <item x="148"/>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items count="144">
        <item x="29"/>
        <item x="7"/>
        <item x="137"/>
        <item x="30"/>
        <item x="22"/>
        <item x="33"/>
        <item x="31"/>
        <item m="1" x="143"/>
        <item x="0"/>
        <item x="32"/>
        <item x="4"/>
        <item x="3"/>
        <item x="2"/>
        <item x="1"/>
        <item x="5"/>
        <item x="35"/>
        <item x="9"/>
        <item x="11"/>
        <item x="10"/>
        <item x="6"/>
        <item x="8"/>
        <item x="34"/>
        <item x="36"/>
        <item x="37"/>
        <item x="39"/>
        <item x="40"/>
        <item x="42"/>
        <item x="38"/>
        <item x="14"/>
        <item x="41"/>
        <item x="43"/>
        <item x="45"/>
        <item x="44"/>
        <item m="1" x="142"/>
        <item x="46"/>
        <item x="48"/>
        <item x="47"/>
        <item x="49"/>
        <item x="17"/>
        <item x="18"/>
        <item x="13"/>
        <item x="15"/>
        <item x="19"/>
        <item x="50"/>
        <item x="21"/>
        <item x="27"/>
        <item x="20"/>
        <item x="23"/>
        <item x="25"/>
        <item x="24"/>
        <item x="12"/>
        <item x="16"/>
        <item x="51"/>
        <item x="52"/>
        <item x="53"/>
        <item x="54"/>
        <item x="55"/>
        <item x="56"/>
        <item x="57"/>
        <item x="58"/>
        <item x="26"/>
        <item x="59"/>
        <item x="28"/>
        <item m="1" x="141"/>
        <item x="60"/>
        <item x="61"/>
        <item x="62"/>
        <item x="63"/>
        <item x="64"/>
        <item x="65"/>
        <item x="66"/>
        <item x="67"/>
        <item x="68"/>
        <item x="82"/>
        <item x="69"/>
        <item x="70"/>
        <item x="71"/>
        <item x="72"/>
        <item x="73"/>
        <item x="74"/>
        <item x="75"/>
        <item x="76"/>
        <item x="77"/>
        <item x="78"/>
        <item x="79"/>
        <item x="80"/>
        <item x="81"/>
        <item x="83"/>
        <item x="84"/>
        <item x="91"/>
        <item x="85"/>
        <item x="86"/>
        <item x="87"/>
        <item x="88"/>
        <item x="89"/>
        <item x="90"/>
        <item x="92"/>
        <item x="93"/>
        <item x="94"/>
        <item x="95"/>
        <item x="96"/>
        <item x="97"/>
        <item x="98"/>
        <item x="99"/>
        <item x="100"/>
        <item x="101"/>
        <item x="102"/>
        <item x="103"/>
        <item x="104"/>
        <item x="105"/>
        <item x="106"/>
        <item x="107"/>
        <item x="108"/>
        <item x="109"/>
        <item x="110"/>
        <item m="1" x="140"/>
        <item x="112"/>
        <item x="113"/>
        <item x="114"/>
        <item x="111"/>
        <item x="116"/>
        <item x="117"/>
        <item m="1" x="139"/>
        <item x="119"/>
        <item x="120"/>
        <item x="121"/>
        <item x="115"/>
        <item x="122"/>
        <item x="118"/>
        <item x="123"/>
        <item x="124"/>
        <item x="125"/>
        <item x="126"/>
        <item x="127"/>
        <item x="128"/>
        <item x="129"/>
        <item m="1" x="138"/>
        <item x="131"/>
        <item x="130"/>
        <item x="132"/>
        <item x="133"/>
        <item x="134"/>
        <item x="135"/>
        <item x="136"/>
      </items>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 showAll="0">
      <extLst>
        <ext xmlns:x14="http://schemas.microsoft.com/office/spreadsheetml/2009/9/main" uri="{2946ED86-A175-432a-8AC1-64E0C546D7DE}">
          <x14:pivotField fillDownLabels="1"/>
        </ext>
      </extLst>
    </pivotField>
  </pivotFields>
  <rowFields count="1">
    <field x="16"/>
  </rowFields>
  <rowItems count="41">
    <i>
      <x v="35"/>
    </i>
    <i>
      <x v="60"/>
    </i>
    <i>
      <x v="61"/>
    </i>
    <i>
      <x v="62"/>
    </i>
    <i>
      <x v="63"/>
    </i>
    <i>
      <x v="64"/>
    </i>
    <i>
      <x v="65"/>
    </i>
    <i>
      <x v="66"/>
    </i>
    <i>
      <x v="67"/>
    </i>
    <i>
      <x v="68"/>
    </i>
    <i>
      <x v="69"/>
    </i>
    <i>
      <x v="70"/>
    </i>
    <i>
      <x v="71"/>
    </i>
    <i>
      <x v="72"/>
    </i>
    <i>
      <x v="73"/>
    </i>
    <i>
      <x v="74"/>
    </i>
    <i>
      <x v="75"/>
    </i>
    <i>
      <x v="76"/>
    </i>
    <i>
      <x v="77"/>
    </i>
    <i>
      <x v="78"/>
    </i>
    <i>
      <x v="79"/>
    </i>
    <i>
      <x v="80"/>
    </i>
    <i>
      <x v="81"/>
    </i>
    <i>
      <x v="82"/>
    </i>
    <i>
      <x v="83"/>
    </i>
    <i>
      <x v="84"/>
    </i>
    <i>
      <x v="85"/>
    </i>
    <i>
      <x v="86"/>
    </i>
    <i>
      <x v="90"/>
    </i>
    <i>
      <x v="91"/>
    </i>
    <i>
      <x v="92"/>
    </i>
    <i>
      <x v="93"/>
    </i>
    <i>
      <x v="94"/>
    </i>
    <i>
      <x v="95"/>
    </i>
    <i>
      <x v="96"/>
    </i>
    <i>
      <x v="97"/>
    </i>
    <i>
      <x v="98"/>
    </i>
    <i>
      <x v="99"/>
    </i>
    <i>
      <x v="100"/>
    </i>
    <i>
      <x v="101"/>
    </i>
    <i t="grand">
      <x/>
    </i>
  </rowItems>
  <colItems count="1">
    <i/>
  </colItems>
  <formats count="25">
    <format dxfId="374">
      <pivotArea dataOnly="0" labelOnly="1" outline="0" axis="axisValues" fieldPosition="0"/>
    </format>
    <format dxfId="373">
      <pivotArea dataOnly="0" labelOnly="1" outline="0" axis="axisValues" fieldPosition="0"/>
    </format>
    <format dxfId="372">
      <pivotArea field="2" type="button" dataOnly="0" labelOnly="1" outline="0"/>
    </format>
    <format dxfId="371">
      <pivotArea field="11" type="button" dataOnly="0" labelOnly="1" outline="0"/>
    </format>
    <format dxfId="370">
      <pivotArea field="20" type="button" dataOnly="0" labelOnly="1" outline="0"/>
    </format>
    <format dxfId="369">
      <pivotArea field="6" type="button" dataOnly="0" labelOnly="1" outline="0"/>
    </format>
    <format dxfId="368">
      <pivotArea field="22" type="button" dataOnly="0" labelOnly="1" outline="0"/>
    </format>
    <format dxfId="367">
      <pivotArea dataOnly="0" labelOnly="1" outline="0" axis="axisValues" fieldPosition="0"/>
    </format>
    <format dxfId="366">
      <pivotArea dataOnly="0" labelOnly="1" outline="0" axis="axisValues" fieldPosition="0"/>
    </format>
    <format dxfId="365">
      <pivotArea field="2" type="button" dataOnly="0" labelOnly="1" outline="0"/>
    </format>
    <format dxfId="364">
      <pivotArea field="2" type="button" dataOnly="0" labelOnly="1" outline="0"/>
    </format>
    <format dxfId="363">
      <pivotArea field="11" type="button" dataOnly="0" labelOnly="1" outline="0"/>
    </format>
    <format dxfId="362">
      <pivotArea field="20" type="button" dataOnly="0" labelOnly="1" outline="0"/>
    </format>
    <format dxfId="361">
      <pivotArea field="6" type="button" dataOnly="0" labelOnly="1" outline="0"/>
    </format>
    <format dxfId="360">
      <pivotArea field="22" type="button" dataOnly="0" labelOnly="1" outline="0"/>
    </format>
    <format dxfId="359">
      <pivotArea dataOnly="0" labelOnly="1" outline="0" axis="axisValues" fieldPosition="0"/>
    </format>
    <format dxfId="358">
      <pivotArea dataOnly="0" labelOnly="1" outline="0" axis="axisValues" fieldPosition="0"/>
    </format>
    <format dxfId="357">
      <pivotArea field="2" type="button" dataOnly="0" labelOnly="1" outline="0"/>
    </format>
    <format dxfId="356">
      <pivotArea field="2" type="button" dataOnly="0" labelOnly="1" outline="0"/>
    </format>
    <format dxfId="355">
      <pivotArea field="2" type="button" dataOnly="0" labelOnly="1" outline="0"/>
    </format>
    <format dxfId="354">
      <pivotArea dataOnly="0" labelOnly="1" outline="0" fieldPosition="0">
        <references count="1">
          <reference field="16" count="0"/>
        </references>
      </pivotArea>
    </format>
    <format dxfId="353">
      <pivotArea field="16" type="button" dataOnly="0" labelOnly="1" outline="0" axis="axisRow" fieldPosition="0"/>
    </format>
    <format dxfId="352">
      <pivotArea dataOnly="0" labelOnly="1" grandRow="1" outline="0" fieldPosition="0"/>
    </format>
    <format dxfId="351">
      <pivotArea field="16" type="button" dataOnly="0" labelOnly="1" outline="0" axis="axisRow" fieldPosition="0"/>
    </format>
    <format dxfId="350">
      <pivotArea dataOnly="0" labelOnly="1" grandRow="1" outline="0" fieldPosition="0"/>
    </format>
  </formats>
  <pivotTableStyleInfo name="PivotStyleDark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Tabela dinâmica4" cacheId="0" applyNumberFormats="0" applyBorderFormats="0" applyFontFormats="0" applyPatternFormats="0" applyAlignmentFormats="0" applyWidthHeightFormats="1" dataCaption="Valores" updatedVersion="8" minRefreshableVersion="3" useAutoFormatting="1" colGrandTotals="0" itemPrintTitles="1" createdVersion="6" indent="0" compact="0" compactData="0" multipleFieldFilters="0" chartFormat="2">
  <location ref="I65:K225" firstHeaderRow="1" firstDataRow="1" firstDataCol="3"/>
  <pivotFields count="36">
    <pivotField compact="0" outline="0" showAll="0" defaultSubtotal="0"/>
    <pivotField compact="0" outline="0" showAll="0" defaultSubtotal="0"/>
    <pivotField compact="0" outline="0" multipleItemSelectionAllowed="1" showAll="0" defaultSubtotal="0">
      <items count="31">
        <item x="5"/>
        <item x="12"/>
        <item x="17"/>
        <item x="7"/>
        <item x="16"/>
        <item x="2"/>
        <item x="14"/>
        <item x="28"/>
        <item x="8"/>
        <item x="0"/>
        <item x="4"/>
        <item x="1"/>
        <item x="6"/>
        <item x="9"/>
        <item x="10"/>
        <item x="3"/>
        <item x="13"/>
        <item x="15"/>
        <item x="18"/>
        <item x="11"/>
        <item x="19"/>
        <item x="20"/>
        <item x="21"/>
        <item x="22"/>
        <item m="1" x="30"/>
        <item x="23"/>
        <item x="24"/>
        <item x="25"/>
        <item x="26"/>
        <item m="1" x="29"/>
        <item x="27"/>
      </items>
    </pivotField>
    <pivotField compact="0" outline="0" showAll="0"/>
    <pivotField compact="0" outline="0" showAll="0"/>
    <pivotField compact="0" outline="0" showAll="0" defaultSubtotal="0"/>
    <pivotField compact="0" outline="0" showAll="0" defaultSubtotal="0">
      <items count="132">
        <item x="10"/>
        <item x="30"/>
        <item x="28"/>
        <item x="25"/>
        <item m="1" x="130"/>
        <item m="1" x="131"/>
        <item x="29"/>
        <item x="3"/>
        <item x="2"/>
        <item x="1"/>
        <item x="4"/>
        <item x="27"/>
        <item x="26"/>
        <item x="32"/>
        <item x="8"/>
        <item x="9"/>
        <item x="6"/>
        <item x="5"/>
        <item x="7"/>
        <item x="31"/>
        <item x="33"/>
        <item x="34"/>
        <item x="36"/>
        <item x="37"/>
        <item x="39"/>
        <item x="35"/>
        <item x="12"/>
        <item x="38"/>
        <item x="40"/>
        <item x="42"/>
        <item x="41"/>
        <item m="1" x="128"/>
        <item x="0"/>
        <item x="43"/>
        <item x="45"/>
        <item x="14"/>
        <item x="11"/>
        <item x="13"/>
        <item x="15"/>
        <item x="47"/>
        <item x="44"/>
        <item x="46"/>
        <item x="17"/>
        <item x="16"/>
        <item x="19"/>
        <item x="18"/>
        <item x="21"/>
        <item x="20"/>
        <item x="22"/>
        <item x="23"/>
        <item x="48"/>
        <item x="24"/>
        <item x="49"/>
        <item x="50"/>
        <item x="51"/>
        <item x="52"/>
        <item x="53"/>
        <item x="54"/>
        <item x="55"/>
        <item x="71"/>
        <item x="56"/>
        <item x="57"/>
        <item x="58"/>
        <item x="59"/>
        <item x="60"/>
        <item x="61"/>
        <item x="62"/>
        <item x="63"/>
        <item x="64"/>
        <item x="65"/>
        <item x="66"/>
        <item x="67"/>
        <item x="68"/>
        <item x="69"/>
        <item x="70"/>
        <item x="72"/>
        <item x="73"/>
        <item m="1" x="127"/>
        <item m="1" x="129"/>
        <item x="74"/>
        <item x="75"/>
        <item x="76"/>
        <item x="77"/>
        <item x="78"/>
        <item x="79"/>
        <item x="80"/>
        <item x="81"/>
        <item x="82"/>
        <item x="83"/>
        <item x="84"/>
        <item x="85"/>
        <item x="86"/>
        <item x="87"/>
        <item x="88"/>
        <item x="89"/>
        <item x="90"/>
        <item x="91"/>
        <item x="92"/>
        <item x="93"/>
        <item x="94"/>
        <item x="95"/>
        <item x="96"/>
        <item x="97"/>
        <item x="99"/>
        <item x="98"/>
        <item x="100"/>
        <item x="101"/>
        <item x="102"/>
        <item x="103"/>
        <item x="104"/>
        <item x="105"/>
        <item x="106"/>
        <item x="107"/>
        <item x="108"/>
        <item x="109"/>
        <item x="110"/>
        <item x="111"/>
        <item x="112"/>
        <item x="113"/>
        <item x="114"/>
        <item x="115"/>
        <item x="116"/>
        <item x="117"/>
        <item x="118"/>
        <item x="119"/>
        <item x="120"/>
        <item x="121"/>
        <item x="122"/>
        <item x="123"/>
        <item x="124"/>
        <item x="125"/>
        <item x="126"/>
      </items>
    </pivotField>
    <pivotField compact="0" outline="0" showAll="0" defaultSubtotal="0"/>
    <pivotField compact="0" outline="0" showAll="0" defaultSubtotal="0"/>
    <pivotField compact="0" outline="0" showAll="0"/>
    <pivotField compact="0" outline="0" showAll="0"/>
    <pivotField axis="axisRow" compact="0" outline="0" showAll="0" defaultSubtotal="0">
      <items count="185">
        <item x="155"/>
        <item x="36"/>
        <item x="34"/>
        <item x="31"/>
        <item m="1" x="165"/>
        <item m="1" x="177"/>
        <item x="0"/>
        <item x="35"/>
        <item x="4"/>
        <item x="3"/>
        <item x="2"/>
        <item x="1"/>
        <item x="5"/>
        <item x="33"/>
        <item m="1" x="175"/>
        <item x="9"/>
        <item x="11"/>
        <item x="10"/>
        <item x="7"/>
        <item x="6"/>
        <item x="8"/>
        <item x="37"/>
        <item x="38"/>
        <item x="40"/>
        <item x="41"/>
        <item x="43"/>
        <item x="44"/>
        <item x="46"/>
        <item x="42"/>
        <item x="14"/>
        <item x="15"/>
        <item x="45"/>
        <item x="47"/>
        <item x="49"/>
        <item x="48"/>
        <item m="1" x="162"/>
        <item x="32"/>
        <item x="50"/>
        <item m="1" x="183"/>
        <item x="51"/>
        <item x="53"/>
        <item x="18"/>
        <item x="19"/>
        <item x="13"/>
        <item x="16"/>
        <item x="20"/>
        <item x="54"/>
        <item x="22"/>
        <item x="25"/>
        <item x="21"/>
        <item x="24"/>
        <item x="23"/>
        <item x="26"/>
        <item x="12"/>
        <item x="17"/>
        <item x="55"/>
        <item x="56"/>
        <item x="57"/>
        <item x="58"/>
        <item x="59"/>
        <item x="60"/>
        <item x="61"/>
        <item x="62"/>
        <item x="27"/>
        <item x="28"/>
        <item x="63"/>
        <item x="29"/>
        <item x="30"/>
        <item m="1" x="180"/>
        <item m="1" x="181"/>
        <item m="1" x="182"/>
        <item m="1" x="166"/>
        <item m="1" x="167"/>
        <item m="1" x="168"/>
        <item m="1" x="170"/>
        <item m="1" x="171"/>
        <item m="1" x="172"/>
        <item m="1" x="173"/>
        <item m="1" x="174"/>
        <item m="1" x="176"/>
        <item m="1" x="163"/>
        <item x="64"/>
        <item x="39"/>
        <item x="52"/>
        <item x="65"/>
        <item x="66"/>
        <item x="67"/>
        <item x="68"/>
        <item x="69"/>
        <item x="70"/>
        <item x="71"/>
        <item x="72"/>
        <item x="73"/>
        <item m="1" x="164"/>
        <item m="1" x="178"/>
        <item x="90"/>
        <item m="1" x="179"/>
        <item x="74"/>
        <item x="75"/>
        <item x="76"/>
        <item x="77"/>
        <item x="78"/>
        <item x="79"/>
        <item x="80"/>
        <item x="81"/>
        <item x="82"/>
        <item x="83"/>
        <item x="84"/>
        <item x="85"/>
        <item x="86"/>
        <item x="87"/>
        <item x="88"/>
        <item x="89"/>
        <item x="91"/>
        <item m="1" x="184"/>
        <item m="1" x="169"/>
        <item x="93"/>
        <item x="94"/>
        <item x="95"/>
        <item x="96"/>
        <item x="97"/>
        <item x="98"/>
        <item x="127"/>
        <item x="99"/>
        <item x="100"/>
        <item x="101"/>
        <item x="102"/>
        <item x="103"/>
        <item x="104"/>
        <item x="105"/>
        <item x="106"/>
        <item x="110"/>
        <item x="111"/>
        <item x="120"/>
        <item x="121"/>
        <item m="1" x="160"/>
        <item m="1" x="161"/>
        <item x="107"/>
        <item x="108"/>
        <item x="109"/>
        <item x="112"/>
        <item x="113"/>
        <item x="114"/>
        <item x="115"/>
        <item x="116"/>
        <item x="117"/>
        <item x="118"/>
        <item x="119"/>
        <item x="123"/>
        <item x="128"/>
        <item x="122"/>
        <item m="1" x="159"/>
        <item x="124"/>
        <item x="125"/>
        <item x="126"/>
        <item x="129"/>
        <item x="130"/>
        <item x="131"/>
        <item x="132"/>
        <item x="133"/>
        <item x="134"/>
        <item x="135"/>
        <item x="136"/>
        <item x="92"/>
        <item x="137"/>
        <item x="138"/>
        <item x="139"/>
        <item x="140"/>
        <item x="141"/>
        <item x="142"/>
        <item x="143"/>
        <item x="144"/>
        <item x="145"/>
        <item x="146"/>
        <item x="147"/>
        <item x="148"/>
        <item x="149"/>
        <item x="150"/>
        <item x="151"/>
        <item x="152"/>
        <item x="153"/>
        <item x="154"/>
        <item x="156"/>
        <item x="157"/>
        <item x="158"/>
      </items>
    </pivotField>
    <pivotField compact="0" outline="0" showAll="0"/>
    <pivotField compact="0" outline="0" showAll="0"/>
    <pivotField compact="0" outline="0" showAll="0" defaultSubtotal="0"/>
    <pivotField compact="0" outline="0" showAll="0" defaultSubtotal="0"/>
    <pivotField compact="0" outline="0" multipleItemSelectionAllowed="1" showAll="0" defaultSubtotal="0"/>
    <pivotField compact="0" outline="0" showAll="0"/>
    <pivotField compact="0" outline="0" showAll="0"/>
    <pivotField compact="0" outline="0" showAll="0" defaultSubtotal="0"/>
    <pivotField axis="axisRow" compact="0" outline="0" showAll="0" defaultSubtotal="0">
      <items count="162">
        <item x="149"/>
        <item x="32"/>
        <item x="30"/>
        <item x="28"/>
        <item x="0"/>
        <item x="31"/>
        <item x="4"/>
        <item x="3"/>
        <item x="2"/>
        <item x="1"/>
        <item x="5"/>
        <item x="29"/>
        <item x="35"/>
        <item x="9"/>
        <item x="10"/>
        <item x="7"/>
        <item x="6"/>
        <item x="8"/>
        <item x="33"/>
        <item x="34"/>
        <item x="36"/>
        <item x="37"/>
        <item x="39"/>
        <item x="40"/>
        <item x="42"/>
        <item x="38"/>
        <item x="13"/>
        <item x="41"/>
        <item x="43"/>
        <item x="45"/>
        <item x="44"/>
        <item m="1" x="158"/>
        <item x="46"/>
        <item x="48"/>
        <item x="47"/>
        <item m="1" x="159"/>
        <item x="16"/>
        <item x="12"/>
        <item x="14"/>
        <item x="17"/>
        <item x="50"/>
        <item x="19"/>
        <item x="18"/>
        <item x="21"/>
        <item x="20"/>
        <item x="23"/>
        <item x="22"/>
        <item x="11"/>
        <item x="15"/>
        <item x="51"/>
        <item x="52"/>
        <item x="53"/>
        <item x="54"/>
        <item x="55"/>
        <item x="56"/>
        <item x="57"/>
        <item m="1" x="160"/>
        <item x="24"/>
        <item x="25"/>
        <item x="59"/>
        <item x="26"/>
        <item x="27"/>
        <item m="1" x="155"/>
        <item m="1" x="152"/>
        <item x="60"/>
        <item x="61"/>
        <item x="62"/>
        <item x="63"/>
        <item x="64"/>
        <item m="1" x="161"/>
        <item m="1" x="157"/>
        <item m="1" x="156"/>
        <item m="1" x="154"/>
        <item x="86"/>
        <item x="70"/>
        <item x="71"/>
        <item x="72"/>
        <item x="73"/>
        <item x="74"/>
        <item x="75"/>
        <item x="76"/>
        <item x="77"/>
        <item x="78"/>
        <item x="79"/>
        <item x="80"/>
        <item x="81"/>
        <item x="82"/>
        <item x="83"/>
        <item x="84"/>
        <item x="85"/>
        <item x="87"/>
        <item x="88"/>
        <item x="96"/>
        <item x="49"/>
        <item x="58"/>
        <item m="1" x="153"/>
        <item x="89"/>
        <item x="90"/>
        <item x="91"/>
        <item x="92"/>
        <item x="65"/>
        <item x="66"/>
        <item x="67"/>
        <item x="68"/>
        <item x="69"/>
        <item x="93"/>
        <item x="94"/>
        <item x="95"/>
        <item x="97"/>
        <item x="98"/>
        <item x="99"/>
        <item x="100"/>
        <item x="101"/>
        <item x="102"/>
        <item x="103"/>
        <item x="104"/>
        <item x="105"/>
        <item x="106"/>
        <item x="107"/>
        <item x="108"/>
        <item x="109"/>
        <item x="110"/>
        <item x="111"/>
        <item x="112"/>
        <item x="113"/>
        <item x="114"/>
        <item x="115"/>
        <item x="117"/>
        <item x="116"/>
        <item x="118"/>
        <item x="119"/>
        <item x="120"/>
        <item m="1" x="150"/>
        <item x="122"/>
        <item x="123"/>
        <item x="124"/>
        <item m="1" x="151"/>
        <item x="126"/>
        <item x="127"/>
        <item x="128"/>
        <item x="129"/>
        <item x="130"/>
        <item x="131"/>
        <item x="121"/>
        <item x="125"/>
        <item x="132"/>
        <item x="133"/>
        <item x="134"/>
        <item x="135"/>
        <item x="136"/>
        <item x="137"/>
        <item x="138"/>
        <item x="139"/>
        <item x="140"/>
        <item x="141"/>
        <item x="142"/>
        <item x="143"/>
        <item x="144"/>
        <item x="145"/>
        <item x="146"/>
        <item x="147"/>
        <item x="148"/>
      </items>
    </pivotField>
    <pivotField compact="0" outline="0" showAll="0" defaultSubtotal="0"/>
    <pivotField axis="axisRow" compact="0" outline="0" showAll="0" defaultSubtotal="0">
      <items count="144">
        <item x="29"/>
        <item x="7"/>
        <item x="137"/>
        <item x="30"/>
        <item x="22"/>
        <item x="33"/>
        <item x="31"/>
        <item m="1" x="143"/>
        <item x="0"/>
        <item x="32"/>
        <item x="4"/>
        <item x="3"/>
        <item x="2"/>
        <item x="1"/>
        <item x="5"/>
        <item x="35"/>
        <item x="9"/>
        <item x="11"/>
        <item x="10"/>
        <item x="6"/>
        <item x="8"/>
        <item x="34"/>
        <item x="36"/>
        <item x="37"/>
        <item x="39"/>
        <item x="40"/>
        <item x="42"/>
        <item x="38"/>
        <item x="14"/>
        <item x="41"/>
        <item x="43"/>
        <item x="45"/>
        <item x="44"/>
        <item m="1" x="142"/>
        <item x="46"/>
        <item x="48"/>
        <item x="47"/>
        <item x="49"/>
        <item x="17"/>
        <item x="18"/>
        <item x="13"/>
        <item x="15"/>
        <item x="19"/>
        <item x="50"/>
        <item x="21"/>
        <item x="27"/>
        <item x="20"/>
        <item x="23"/>
        <item x="25"/>
        <item x="24"/>
        <item x="12"/>
        <item x="16"/>
        <item x="51"/>
        <item x="52"/>
        <item x="53"/>
        <item x="54"/>
        <item x="55"/>
        <item x="56"/>
        <item x="57"/>
        <item x="58"/>
        <item x="26"/>
        <item x="59"/>
        <item x="28"/>
        <item m="1" x="141"/>
        <item x="60"/>
        <item x="61"/>
        <item x="62"/>
        <item x="63"/>
        <item x="64"/>
        <item x="65"/>
        <item x="66"/>
        <item x="67"/>
        <item x="68"/>
        <item x="82"/>
        <item x="69"/>
        <item x="70"/>
        <item x="71"/>
        <item x="72"/>
        <item x="73"/>
        <item x="74"/>
        <item x="75"/>
        <item x="76"/>
        <item x="77"/>
        <item x="78"/>
        <item x="79"/>
        <item x="80"/>
        <item x="81"/>
        <item x="83"/>
        <item x="84"/>
        <item x="91"/>
        <item x="85"/>
        <item x="86"/>
        <item x="87"/>
        <item x="88"/>
        <item x="89"/>
        <item x="90"/>
        <item x="92"/>
        <item x="93"/>
        <item x="94"/>
        <item x="95"/>
        <item x="96"/>
        <item x="97"/>
        <item x="98"/>
        <item x="99"/>
        <item x="100"/>
        <item x="101"/>
        <item x="102"/>
        <item x="103"/>
        <item x="104"/>
        <item x="105"/>
        <item x="106"/>
        <item x="107"/>
        <item x="108"/>
        <item x="109"/>
        <item x="110"/>
        <item m="1" x="140"/>
        <item x="112"/>
        <item x="113"/>
        <item x="114"/>
        <item x="111"/>
        <item x="116"/>
        <item x="117"/>
        <item m="1" x="139"/>
        <item x="119"/>
        <item x="120"/>
        <item x="121"/>
        <item x="115"/>
        <item x="122"/>
        <item x="118"/>
        <item x="123"/>
        <item x="124"/>
        <item x="125"/>
        <item x="126"/>
        <item x="127"/>
        <item x="128"/>
        <item x="129"/>
        <item m="1" x="138"/>
        <item x="131"/>
        <item x="130"/>
        <item x="132"/>
        <item x="133"/>
        <item x="134"/>
        <item x="135"/>
        <item x="136"/>
      </items>
    </pivotField>
    <pivotField compact="0" outline="0" showAll="0"/>
    <pivotField compact="0" outline="0" showAll="0" defaultSubtotal="0"/>
    <pivotField compact="0" outline="0" showAll="0" defaultSubtota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s>
  <rowFields count="3">
    <field x="11"/>
    <field x="20"/>
    <field x="22"/>
  </rowFields>
  <rowItems count="160">
    <i>
      <x/>
      <x/>
      <x v="2"/>
    </i>
    <i>
      <x v="1"/>
      <x v="1"/>
      <x v="5"/>
    </i>
    <i>
      <x v="2"/>
      <x v="2"/>
      <x v="6"/>
    </i>
    <i>
      <x v="3"/>
      <x v="3"/>
      <x/>
    </i>
    <i>
      <x v="6"/>
      <x v="4"/>
      <x v="8"/>
    </i>
    <i>
      <x v="7"/>
      <x v="5"/>
      <x v="9"/>
    </i>
    <i>
      <x v="8"/>
      <x v="6"/>
      <x v="10"/>
    </i>
    <i>
      <x v="9"/>
      <x v="7"/>
      <x v="11"/>
    </i>
    <i>
      <x v="10"/>
      <x v="8"/>
      <x v="12"/>
    </i>
    <i>
      <x v="11"/>
      <x v="9"/>
      <x v="13"/>
    </i>
    <i>
      <x v="12"/>
      <x v="10"/>
      <x v="14"/>
    </i>
    <i>
      <x v="13"/>
      <x v="11"/>
      <x v="3"/>
    </i>
    <i>
      <x v="15"/>
      <x v="13"/>
      <x v="16"/>
    </i>
    <i>
      <x v="16"/>
      <x v="14"/>
      <x v="17"/>
    </i>
    <i>
      <x v="17"/>
      <x v="14"/>
      <x v="18"/>
    </i>
    <i>
      <x v="18"/>
      <x v="15"/>
      <x v="1"/>
    </i>
    <i>
      <x v="19"/>
      <x v="16"/>
      <x v="19"/>
    </i>
    <i>
      <x v="20"/>
      <x v="17"/>
      <x v="20"/>
    </i>
    <i>
      <x v="21"/>
      <x v="18"/>
      <x v="21"/>
    </i>
    <i>
      <x v="22"/>
      <x v="19"/>
      <x v="21"/>
    </i>
    <i>
      <x v="23"/>
      <x v="20"/>
      <x v="22"/>
    </i>
    <i>
      <x v="24"/>
      <x v="21"/>
      <x v="23"/>
    </i>
    <i>
      <x v="25"/>
      <x v="22"/>
      <x v="24"/>
    </i>
    <i>
      <x v="26"/>
      <x v="23"/>
      <x v="25"/>
    </i>
    <i>
      <x v="27"/>
      <x v="24"/>
      <x v="26"/>
    </i>
    <i>
      <x v="28"/>
      <x v="25"/>
      <x v="27"/>
    </i>
    <i>
      <x v="29"/>
      <x v="26"/>
      <x v="28"/>
    </i>
    <i>
      <x v="30"/>
      <x v="26"/>
      <x v="28"/>
    </i>
    <i>
      <x v="31"/>
      <x v="27"/>
      <x v="29"/>
    </i>
    <i>
      <x v="32"/>
      <x v="28"/>
      <x v="30"/>
    </i>
    <i>
      <x v="33"/>
      <x v="29"/>
      <x v="31"/>
    </i>
    <i>
      <x v="34"/>
      <x v="30"/>
      <x v="32"/>
    </i>
    <i>
      <x v="36"/>
      <x v="11"/>
      <x v="3"/>
    </i>
    <i>
      <x v="37"/>
      <x v="32"/>
      <x v="34"/>
    </i>
    <i>
      <x v="39"/>
      <x v="34"/>
      <x v="36"/>
    </i>
    <i>
      <x v="40"/>
      <x v="93"/>
      <x v="37"/>
    </i>
    <i>
      <x v="41"/>
      <x v="36"/>
      <x v="38"/>
    </i>
    <i>
      <x v="42"/>
      <x v="36"/>
      <x v="39"/>
    </i>
    <i>
      <x v="43"/>
      <x v="37"/>
      <x v="40"/>
    </i>
    <i>
      <x v="44"/>
      <x v="38"/>
      <x v="41"/>
    </i>
    <i>
      <x v="45"/>
      <x v="39"/>
      <x v="42"/>
    </i>
    <i>
      <x v="46"/>
      <x v="40"/>
      <x v="43"/>
    </i>
    <i>
      <x v="47"/>
      <x v="41"/>
      <x v="44"/>
    </i>
    <i>
      <x v="48"/>
      <x v="46"/>
      <x v="49"/>
    </i>
    <i>
      <x v="49"/>
      <x v="42"/>
      <x v="46"/>
    </i>
    <i>
      <x v="50"/>
      <x v="43"/>
      <x v="47"/>
    </i>
    <i>
      <x v="51"/>
      <x v="44"/>
      <x v="4"/>
    </i>
    <i>
      <x v="52"/>
      <x v="45"/>
      <x v="48"/>
    </i>
    <i>
      <x v="53"/>
      <x v="47"/>
      <x v="50"/>
    </i>
    <i>
      <x v="54"/>
      <x v="48"/>
      <x v="51"/>
    </i>
    <i>
      <x v="55"/>
      <x v="49"/>
      <x v="52"/>
    </i>
    <i>
      <x v="56"/>
      <x v="50"/>
      <x v="53"/>
    </i>
    <i>
      <x v="57"/>
      <x v="51"/>
      <x v="54"/>
    </i>
    <i>
      <x v="58"/>
      <x v="52"/>
      <x v="55"/>
    </i>
    <i>
      <x v="59"/>
      <x v="53"/>
      <x v="56"/>
    </i>
    <i>
      <x v="60"/>
      <x v="54"/>
      <x v="57"/>
    </i>
    <i>
      <x v="61"/>
      <x v="55"/>
      <x v="58"/>
    </i>
    <i>
      <x v="62"/>
      <x v="94"/>
      <x v="59"/>
    </i>
    <i>
      <x v="63"/>
      <x v="57"/>
      <x v="60"/>
    </i>
    <i>
      <x v="64"/>
      <x v="58"/>
      <x v="48"/>
    </i>
    <i>
      <x v="65"/>
      <x v="59"/>
      <x v="61"/>
    </i>
    <i>
      <x v="66"/>
      <x v="60"/>
      <x v="45"/>
    </i>
    <i>
      <x v="67"/>
      <x v="61"/>
      <x v="62"/>
    </i>
    <i>
      <x v="81"/>
      <x v="64"/>
      <x v="64"/>
    </i>
    <i>
      <x v="82"/>
      <x v="12"/>
      <x v="15"/>
    </i>
    <i>
      <x v="83"/>
      <x v="33"/>
      <x v="35"/>
    </i>
    <i>
      <x v="84"/>
      <x v="65"/>
      <x v="65"/>
    </i>
    <i>
      <x v="85"/>
      <x v="66"/>
      <x v="66"/>
    </i>
    <i>
      <x v="86"/>
      <x v="67"/>
      <x v="67"/>
    </i>
    <i>
      <x v="87"/>
      <x v="68"/>
      <x v="68"/>
    </i>
    <i>
      <x v="88"/>
      <x v="100"/>
      <x v="69"/>
    </i>
    <i>
      <x v="89"/>
      <x v="101"/>
      <x v="70"/>
    </i>
    <i>
      <x v="90"/>
      <x v="102"/>
      <x v="71"/>
    </i>
    <i>
      <x v="91"/>
      <x v="103"/>
      <x v="70"/>
    </i>
    <i>
      <x v="92"/>
      <x v="104"/>
      <x v="72"/>
    </i>
    <i>
      <x v="95"/>
      <x v="73"/>
      <x v="73"/>
    </i>
    <i>
      <x v="97"/>
      <x v="74"/>
      <x v="74"/>
    </i>
    <i>
      <x v="98"/>
      <x v="75"/>
      <x v="75"/>
    </i>
    <i>
      <x v="99"/>
      <x v="76"/>
      <x v="1"/>
    </i>
    <i>
      <x v="100"/>
      <x v="77"/>
      <x v="76"/>
    </i>
    <i>
      <x v="101"/>
      <x v="78"/>
      <x v="77"/>
    </i>
    <i>
      <x v="102"/>
      <x v="79"/>
      <x v="78"/>
    </i>
    <i>
      <x v="103"/>
      <x v="80"/>
      <x v="79"/>
    </i>
    <i>
      <x v="104"/>
      <x v="81"/>
      <x v="80"/>
    </i>
    <i>
      <x v="105"/>
      <x v="82"/>
      <x v="81"/>
    </i>
    <i>
      <x v="106"/>
      <x v="83"/>
      <x v="82"/>
    </i>
    <i>
      <x v="107"/>
      <x v="84"/>
      <x v="83"/>
    </i>
    <i>
      <x v="108"/>
      <x v="85"/>
      <x v="82"/>
    </i>
    <i>
      <x v="109"/>
      <x v="86"/>
      <x v="82"/>
    </i>
    <i>
      <x v="110"/>
      <x v="87"/>
      <x v="84"/>
    </i>
    <i>
      <x v="111"/>
      <x v="88"/>
      <x v="85"/>
    </i>
    <i>
      <x v="112"/>
      <x v="89"/>
      <x v="86"/>
    </i>
    <i>
      <x v="113"/>
      <x v="90"/>
      <x v="87"/>
    </i>
    <i>
      <x v="116"/>
      <x v="96"/>
      <x v="90"/>
    </i>
    <i>
      <x v="117"/>
      <x v="97"/>
      <x v="91"/>
    </i>
    <i>
      <x v="118"/>
      <x v="98"/>
      <x v="92"/>
    </i>
    <i>
      <x v="119"/>
      <x v="99"/>
      <x v="93"/>
    </i>
    <i>
      <x v="120"/>
      <x v="105"/>
      <x v="94"/>
    </i>
    <i>
      <x v="121"/>
      <x v="106"/>
      <x v="95"/>
    </i>
    <i>
      <x v="122"/>
      <x v="133"/>
      <x v="116"/>
    </i>
    <i>
      <x v="123"/>
      <x v="107"/>
      <x v="89"/>
    </i>
    <i>
      <x v="124"/>
      <x v="92"/>
      <x v="89"/>
    </i>
    <i>
      <x v="125"/>
      <x v="108"/>
      <x v="96"/>
    </i>
    <i>
      <x v="126"/>
      <x v="109"/>
      <x v="97"/>
    </i>
    <i>
      <x v="127"/>
      <x v="110"/>
      <x v="98"/>
    </i>
    <i>
      <x v="128"/>
      <x v="111"/>
      <x v="99"/>
    </i>
    <i>
      <x v="129"/>
      <x v="112"/>
      <x v="100"/>
    </i>
    <i>
      <x v="130"/>
      <x v="113"/>
      <x v="101"/>
    </i>
    <i>
      <x v="131"/>
      <x v="117"/>
      <x v="72"/>
    </i>
    <i>
      <x v="132"/>
      <x v="118"/>
      <x v="72"/>
    </i>
    <i>
      <x v="133"/>
      <x v="128"/>
      <x v="112"/>
    </i>
    <i>
      <x v="134"/>
      <x v="127"/>
      <x v="112"/>
    </i>
    <i>
      <x v="137"/>
      <x v="114"/>
      <x v="102"/>
    </i>
    <i>
      <x v="138"/>
      <x v="115"/>
      <x v="103"/>
    </i>
    <i>
      <x v="139"/>
      <x v="116"/>
      <x v="104"/>
    </i>
    <i>
      <x v="140"/>
      <x v="119"/>
      <x v="105"/>
    </i>
    <i>
      <x v="141"/>
      <x v="120"/>
      <x v="106"/>
    </i>
    <i>
      <x v="142"/>
      <x v="121"/>
      <x v="53"/>
    </i>
    <i>
      <x v="143"/>
      <x v="122"/>
      <x v="107"/>
    </i>
    <i>
      <x v="144"/>
      <x v="123"/>
      <x v="108"/>
    </i>
    <i>
      <x v="145"/>
      <x v="124"/>
      <x v="109"/>
    </i>
    <i>
      <x v="146"/>
      <x v="125"/>
      <x v="110"/>
    </i>
    <i>
      <x v="147"/>
      <x v="126"/>
      <x v="111"/>
    </i>
    <i>
      <x v="148"/>
      <x v="129"/>
      <x v="109"/>
    </i>
    <i>
      <x v="149"/>
      <x v="134"/>
      <x v="117"/>
    </i>
    <i>
      <x v="150"/>
      <x v="129"/>
      <x v="25"/>
    </i>
    <i>
      <x v="152"/>
      <x v="130"/>
      <x v="113"/>
    </i>
    <i>
      <x v="153"/>
      <x v="131"/>
      <x v="114"/>
    </i>
    <i>
      <x v="154"/>
      <x v="143"/>
      <x v="119"/>
    </i>
    <i>
      <x v="155"/>
      <x v="135"/>
      <x v="118"/>
    </i>
    <i>
      <x v="156"/>
      <x v="144"/>
      <x v="126"/>
    </i>
    <i>
      <x v="157"/>
      <x v="137"/>
      <x v="120"/>
    </i>
    <i>
      <x v="158"/>
      <x v="138"/>
      <x v="121"/>
    </i>
    <i>
      <x v="159"/>
      <x v="139"/>
      <x v="128"/>
    </i>
    <i>
      <x v="160"/>
      <x v="140"/>
      <x v="123"/>
    </i>
    <i>
      <x v="161"/>
      <x v="141"/>
      <x v="124"/>
    </i>
    <i>
      <x v="162"/>
      <x v="142"/>
      <x v="125"/>
    </i>
    <i>
      <x v="163"/>
      <x v="91"/>
      <x v="88"/>
    </i>
    <i>
      <x v="164"/>
      <x v="90"/>
      <x v="127"/>
    </i>
    <i>
      <x v="165"/>
      <x v="145"/>
      <x v="129"/>
    </i>
    <i>
      <x v="166"/>
      <x v="146"/>
      <x v="130"/>
    </i>
    <i>
      <x v="167"/>
      <x v="147"/>
      <x v="131"/>
    </i>
    <i>
      <x v="168"/>
      <x v="148"/>
      <x v="22"/>
    </i>
    <i>
      <x v="169"/>
      <x v="149"/>
      <x v="132"/>
    </i>
    <i>
      <x v="170"/>
      <x v="150"/>
      <x v="133"/>
    </i>
    <i>
      <x v="171"/>
      <x v="151"/>
      <x v="134"/>
    </i>
    <i>
      <x v="172"/>
      <x v="152"/>
      <x v="135"/>
    </i>
    <i>
      <x v="173"/>
      <x v="153"/>
      <x v="138"/>
    </i>
    <i>
      <x v="174"/>
      <x v="154"/>
      <x v="137"/>
    </i>
    <i>
      <x v="175"/>
      <x v="155"/>
      <x v="139"/>
    </i>
    <i>
      <x v="176"/>
      <x v="156"/>
      <x v="140"/>
    </i>
    <i>
      <x v="177"/>
      <x v="157"/>
      <x v="141"/>
    </i>
    <i>
      <x v="178"/>
      <x v="158"/>
      <x v="142"/>
    </i>
    <i>
      <x v="179"/>
      <x v="159"/>
      <x v="143"/>
    </i>
    <i>
      <x v="180"/>
      <x v="160"/>
      <x v="137"/>
    </i>
    <i>
      <x v="181"/>
      <x v="161"/>
      <x v="137"/>
    </i>
    <i>
      <x v="182"/>
      <x/>
      <x v="2"/>
    </i>
    <i>
      <x v="183"/>
      <x/>
      <x v="2"/>
    </i>
    <i>
      <x v="184"/>
      <x/>
      <x v="2"/>
    </i>
    <i t="grand">
      <x/>
    </i>
  </rowItems>
  <colItems count="1">
    <i/>
  </colItems>
  <formats count="24">
    <format dxfId="398">
      <pivotArea dataOnly="0" labelOnly="1" outline="0" axis="axisValues" fieldPosition="0"/>
    </format>
    <format dxfId="397">
      <pivotArea dataOnly="0" labelOnly="1" outline="0" axis="axisValues" fieldPosition="0"/>
    </format>
    <format dxfId="396">
      <pivotArea field="2" type="button" dataOnly="0" labelOnly="1" outline="0"/>
    </format>
    <format dxfId="395">
      <pivotArea field="11" type="button" dataOnly="0" labelOnly="1" outline="0" axis="axisRow" fieldPosition="0"/>
    </format>
    <format dxfId="394">
      <pivotArea field="20" type="button" dataOnly="0" labelOnly="1" outline="0" axis="axisRow" fieldPosition="1"/>
    </format>
    <format dxfId="393">
      <pivotArea field="6" type="button" dataOnly="0" labelOnly="1" outline="0"/>
    </format>
    <format dxfId="392">
      <pivotArea field="22" type="button" dataOnly="0" labelOnly="1" outline="0" axis="axisRow" fieldPosition="2"/>
    </format>
    <format dxfId="391">
      <pivotArea dataOnly="0" labelOnly="1" outline="0" axis="axisValues" fieldPosition="0"/>
    </format>
    <format dxfId="390">
      <pivotArea dataOnly="0" labelOnly="1" outline="0" axis="axisValues" fieldPosition="0"/>
    </format>
    <format dxfId="389">
      <pivotArea field="2" type="button" dataOnly="0" labelOnly="1" outline="0"/>
    </format>
    <format dxfId="388">
      <pivotArea field="2" type="button" dataOnly="0" labelOnly="1" outline="0"/>
    </format>
    <format dxfId="387">
      <pivotArea field="11" type="button" dataOnly="0" labelOnly="1" outline="0" axis="axisRow" fieldPosition="0"/>
    </format>
    <format dxfId="386">
      <pivotArea field="20" type="button" dataOnly="0" labelOnly="1" outline="0" axis="axisRow" fieldPosition="1"/>
    </format>
    <format dxfId="385">
      <pivotArea field="6" type="button" dataOnly="0" labelOnly="1" outline="0"/>
    </format>
    <format dxfId="384">
      <pivotArea field="22" type="button" dataOnly="0" labelOnly="1" outline="0" axis="axisRow" fieldPosition="2"/>
    </format>
    <format dxfId="383">
      <pivotArea dataOnly="0" labelOnly="1" outline="0" axis="axisValues" fieldPosition="0"/>
    </format>
    <format dxfId="382">
      <pivotArea dataOnly="0" labelOnly="1" outline="0" axis="axisValues" fieldPosition="0"/>
    </format>
    <format dxfId="381">
      <pivotArea field="2" type="button" dataOnly="0" labelOnly="1" outline="0"/>
    </format>
    <format dxfId="380">
      <pivotArea field="2" type="button" dataOnly="0" labelOnly="1" outline="0"/>
    </format>
    <format dxfId="379">
      <pivotArea field="2" type="button" dataOnly="0" labelOnly="1" outline="0"/>
    </format>
    <format dxfId="378">
      <pivotArea dataOnly="0" labelOnly="1" grandRow="1" outline="0" fieldPosition="0"/>
    </format>
    <format dxfId="377">
      <pivotArea dataOnly="0" labelOnly="1" grandRow="1" outline="0" fieldPosition="0"/>
    </format>
    <format dxfId="376">
      <pivotArea outline="0" collapsedLevelsAreSubtotals="1" fieldPosition="0"/>
    </format>
    <format dxfId="375">
      <pivotArea dataOnly="0" labelOnly="1" outline="0" axis="axisValues" fieldPosition="0"/>
    </format>
  </formats>
  <pivotTableStyleInfo name="PivotStyleDark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Tabela dinâmica2" cacheId="0" applyNumberFormats="0" applyBorderFormats="0" applyFontFormats="0" applyPatternFormats="0" applyAlignmentFormats="0" applyWidthHeightFormats="1" dataCaption="Valores" updatedVersion="8" minRefreshableVersion="3" useAutoFormatting="1" colGrandTotals="0" itemPrintTitles="1" createdVersion="6" indent="0" compact="0" compactData="0" multipleFieldFilters="0" chartFormat="2">
  <location ref="B125:B132" firstHeaderRow="1" firstDataRow="1" firstDataCol="1"/>
  <pivotFields count="36">
    <pivotField compact="0" outline="0" showAll="0" defaultSubtotal="0"/>
    <pivotField compact="0" outline="0" showAll="0" defaultSubtotal="0"/>
    <pivotField compact="0" outline="0" multipleItemSelectionAllowed="1" showAll="0" defaultSubtotal="0">
      <items count="31">
        <item x="5"/>
        <item x="12"/>
        <item x="17"/>
        <item x="7"/>
        <item x="16"/>
        <item x="2"/>
        <item x="14"/>
        <item x="28"/>
        <item x="8"/>
        <item x="0"/>
        <item x="4"/>
        <item x="1"/>
        <item x="6"/>
        <item x="9"/>
        <item x="10"/>
        <item x="3"/>
        <item x="13"/>
        <item x="15"/>
        <item x="18"/>
        <item x="11"/>
        <item x="19"/>
        <item x="20"/>
        <item x="21"/>
        <item x="22"/>
        <item m="1" x="30"/>
        <item x="23"/>
        <item x="24"/>
        <item x="25"/>
        <item x="26"/>
        <item m="1" x="29"/>
        <item x="27"/>
      </items>
    </pivotField>
    <pivotField compact="0" outline="0" showAll="0"/>
    <pivotField compact="0" outline="0" showAll="0"/>
    <pivotField compact="0" outline="0" showAll="0" defaultSubtotal="0"/>
    <pivotField compact="0" outline="0" showAll="0" defaultSubtotal="0">
      <items count="132">
        <item x="10"/>
        <item x="30"/>
        <item x="28"/>
        <item x="25"/>
        <item m="1" x="130"/>
        <item m="1" x="131"/>
        <item x="29"/>
        <item x="3"/>
        <item x="2"/>
        <item x="1"/>
        <item x="4"/>
        <item x="27"/>
        <item x="26"/>
        <item x="32"/>
        <item x="8"/>
        <item x="9"/>
        <item x="6"/>
        <item x="5"/>
        <item x="7"/>
        <item x="31"/>
        <item x="33"/>
        <item x="34"/>
        <item x="36"/>
        <item x="37"/>
        <item x="39"/>
        <item x="35"/>
        <item x="12"/>
        <item x="38"/>
        <item x="40"/>
        <item x="42"/>
        <item x="41"/>
        <item m="1" x="128"/>
        <item x="0"/>
        <item x="43"/>
        <item x="45"/>
        <item x="14"/>
        <item x="11"/>
        <item x="13"/>
        <item x="15"/>
        <item x="47"/>
        <item x="44"/>
        <item x="46"/>
        <item x="17"/>
        <item x="16"/>
        <item x="19"/>
        <item x="18"/>
        <item x="21"/>
        <item x="20"/>
        <item x="22"/>
        <item x="23"/>
        <item x="48"/>
        <item x="24"/>
        <item x="49"/>
        <item x="50"/>
        <item x="51"/>
        <item x="52"/>
        <item x="53"/>
        <item x="54"/>
        <item x="55"/>
        <item x="71"/>
        <item x="56"/>
        <item x="57"/>
        <item x="58"/>
        <item x="59"/>
        <item x="60"/>
        <item x="61"/>
        <item x="62"/>
        <item x="63"/>
        <item x="64"/>
        <item x="65"/>
        <item x="66"/>
        <item x="67"/>
        <item x="68"/>
        <item x="69"/>
        <item x="70"/>
        <item x="72"/>
        <item x="73"/>
        <item m="1" x="127"/>
        <item m="1" x="129"/>
        <item x="74"/>
        <item x="75"/>
        <item x="76"/>
        <item x="77"/>
        <item x="78"/>
        <item x="79"/>
        <item x="80"/>
        <item x="81"/>
        <item x="82"/>
        <item x="83"/>
        <item x="84"/>
        <item x="85"/>
        <item x="86"/>
        <item x="87"/>
        <item x="88"/>
        <item x="89"/>
        <item x="90"/>
        <item x="91"/>
        <item x="92"/>
        <item x="93"/>
        <item x="94"/>
        <item x="95"/>
        <item x="96"/>
        <item x="97"/>
        <item x="99"/>
        <item x="98"/>
        <item x="100"/>
        <item x="101"/>
        <item x="102"/>
        <item x="103"/>
        <item x="104"/>
        <item x="105"/>
        <item x="106"/>
        <item x="107"/>
        <item x="108"/>
        <item x="109"/>
        <item x="110"/>
        <item x="111"/>
        <item x="112"/>
        <item x="113"/>
        <item x="114"/>
        <item x="115"/>
        <item x="116"/>
        <item x="117"/>
        <item x="118"/>
        <item x="119"/>
        <item x="120"/>
        <item x="121"/>
        <item x="122"/>
        <item x="123"/>
        <item x="124"/>
        <item x="125"/>
        <item x="126"/>
      </items>
    </pivotField>
    <pivotField compact="0" outline="0" showAll="0" defaultSubtotal="0"/>
    <pivotField compact="0" outline="0" showAll="0" defaultSubtotal="0"/>
    <pivotField compact="0" outline="0" showAll="0"/>
    <pivotField compact="0" outline="0" showAll="0"/>
    <pivotField compact="0" outline="0" showAll="0" defaultSubtotal="0">
      <items count="185">
        <item x="155"/>
        <item x="36"/>
        <item x="34"/>
        <item x="31"/>
        <item m="1" x="165"/>
        <item m="1" x="177"/>
        <item x="0"/>
        <item x="35"/>
        <item x="4"/>
        <item x="3"/>
        <item x="2"/>
        <item x="1"/>
        <item x="5"/>
        <item x="33"/>
        <item m="1" x="175"/>
        <item x="9"/>
        <item x="11"/>
        <item x="10"/>
        <item x="7"/>
        <item x="6"/>
        <item x="8"/>
        <item x="37"/>
        <item x="38"/>
        <item x="40"/>
        <item x="41"/>
        <item x="43"/>
        <item x="44"/>
        <item x="46"/>
        <item x="42"/>
        <item x="14"/>
        <item x="15"/>
        <item x="45"/>
        <item x="47"/>
        <item x="49"/>
        <item x="48"/>
        <item m="1" x="162"/>
        <item x="32"/>
        <item x="50"/>
        <item m="1" x="183"/>
        <item x="51"/>
        <item x="53"/>
        <item x="18"/>
        <item x="19"/>
        <item x="13"/>
        <item x="16"/>
        <item x="20"/>
        <item x="54"/>
        <item x="22"/>
        <item x="25"/>
        <item x="21"/>
        <item x="24"/>
        <item x="23"/>
        <item x="26"/>
        <item x="12"/>
        <item x="17"/>
        <item x="55"/>
        <item x="56"/>
        <item x="57"/>
        <item x="58"/>
        <item x="59"/>
        <item x="60"/>
        <item x="61"/>
        <item x="62"/>
        <item x="27"/>
        <item x="28"/>
        <item x="63"/>
        <item x="29"/>
        <item x="30"/>
        <item m="1" x="180"/>
        <item m="1" x="181"/>
        <item m="1" x="182"/>
        <item m="1" x="166"/>
        <item m="1" x="167"/>
        <item m="1" x="168"/>
        <item m="1" x="170"/>
        <item m="1" x="171"/>
        <item m="1" x="172"/>
        <item m="1" x="173"/>
        <item m="1" x="174"/>
        <item m="1" x="176"/>
        <item m="1" x="163"/>
        <item x="64"/>
        <item x="39"/>
        <item x="52"/>
        <item x="65"/>
        <item x="66"/>
        <item x="67"/>
        <item x="68"/>
        <item x="69"/>
        <item x="70"/>
        <item x="71"/>
        <item x="72"/>
        <item x="73"/>
        <item m="1" x="164"/>
        <item m="1" x="178"/>
        <item x="90"/>
        <item m="1" x="179"/>
        <item x="74"/>
        <item x="75"/>
        <item x="76"/>
        <item x="77"/>
        <item x="78"/>
        <item x="79"/>
        <item x="80"/>
        <item x="81"/>
        <item x="82"/>
        <item x="83"/>
        <item x="84"/>
        <item x="85"/>
        <item x="86"/>
        <item x="87"/>
        <item x="88"/>
        <item x="89"/>
        <item x="91"/>
        <item x="92"/>
        <item m="1" x="184"/>
        <item m="1" x="169"/>
        <item x="93"/>
        <item x="94"/>
        <item x="95"/>
        <item x="96"/>
        <item x="97"/>
        <item x="98"/>
        <item x="127"/>
        <item x="99"/>
        <item x="100"/>
        <item x="101"/>
        <item x="102"/>
        <item x="103"/>
        <item x="104"/>
        <item x="105"/>
        <item x="106"/>
        <item x="110"/>
        <item x="111"/>
        <item x="120"/>
        <item x="121"/>
        <item m="1" x="160"/>
        <item m="1" x="161"/>
        <item x="107"/>
        <item x="108"/>
        <item x="109"/>
        <item x="112"/>
        <item x="113"/>
        <item x="114"/>
        <item x="115"/>
        <item x="116"/>
        <item x="117"/>
        <item x="118"/>
        <item x="119"/>
        <item x="123"/>
        <item x="128"/>
        <item x="122"/>
        <item m="1" x="159"/>
        <item x="124"/>
        <item x="125"/>
        <item x="126"/>
        <item x="129"/>
        <item x="130"/>
        <item x="131"/>
        <item x="132"/>
        <item x="133"/>
        <item x="134"/>
        <item x="135"/>
        <item x="136"/>
        <item x="137"/>
        <item x="138"/>
        <item x="139"/>
        <item x="140"/>
        <item x="141"/>
        <item x="142"/>
        <item x="143"/>
        <item x="144"/>
        <item x="145"/>
        <item x="146"/>
        <item x="147"/>
        <item x="148"/>
        <item x="149"/>
        <item x="150"/>
        <item x="151"/>
        <item x="152"/>
        <item x="153"/>
        <item x="154"/>
        <item x="156"/>
        <item x="157"/>
        <item x="158"/>
      </items>
    </pivotField>
    <pivotField compact="0" outline="0" showAll="0"/>
    <pivotField compact="0" outline="0" showAll="0"/>
    <pivotField compact="0" outline="0" showAll="0" defaultSubtotal="0"/>
    <pivotField compact="0" outline="0" showAll="0" defaultSubtotal="0"/>
    <pivotField compact="0" outline="0" multipleItemSelectionAllowed="1" showAll="0" defaultSubtotal="0"/>
    <pivotField compact="0" outline="0" showAll="0"/>
    <pivotField compact="0" outline="0" showAll="0"/>
    <pivotField compact="0" outline="0" showAll="0" defaultSubtotal="0"/>
    <pivotField compact="0" outline="0" showAll="0" defaultSubtotal="0">
      <items count="162">
        <item x="149"/>
        <item x="32"/>
        <item x="30"/>
        <item x="28"/>
        <item x="0"/>
        <item x="31"/>
        <item x="4"/>
        <item x="3"/>
        <item x="2"/>
        <item x="1"/>
        <item x="5"/>
        <item x="29"/>
        <item x="35"/>
        <item x="9"/>
        <item x="10"/>
        <item x="7"/>
        <item x="6"/>
        <item x="8"/>
        <item x="33"/>
        <item x="34"/>
        <item x="36"/>
        <item x="37"/>
        <item x="39"/>
        <item x="40"/>
        <item x="42"/>
        <item x="38"/>
        <item x="13"/>
        <item x="41"/>
        <item x="43"/>
        <item x="45"/>
        <item x="44"/>
        <item m="1" x="158"/>
        <item x="46"/>
        <item x="48"/>
        <item x="47"/>
        <item m="1" x="159"/>
        <item x="16"/>
        <item x="12"/>
        <item x="14"/>
        <item x="17"/>
        <item x="50"/>
        <item x="19"/>
        <item x="18"/>
        <item x="21"/>
        <item x="20"/>
        <item x="23"/>
        <item x="22"/>
        <item x="11"/>
        <item x="15"/>
        <item x="51"/>
        <item x="52"/>
        <item x="53"/>
        <item x="54"/>
        <item x="55"/>
        <item x="56"/>
        <item x="57"/>
        <item m="1" x="160"/>
        <item x="24"/>
        <item x="25"/>
        <item x="59"/>
        <item x="26"/>
        <item x="27"/>
        <item m="1" x="155"/>
        <item m="1" x="152"/>
        <item x="60"/>
        <item x="61"/>
        <item x="62"/>
        <item x="63"/>
        <item x="64"/>
        <item m="1" x="161"/>
        <item m="1" x="157"/>
        <item m="1" x="156"/>
        <item m="1" x="154"/>
        <item x="86"/>
        <item x="70"/>
        <item x="71"/>
        <item x="72"/>
        <item x="73"/>
        <item x="74"/>
        <item x="75"/>
        <item x="76"/>
        <item x="77"/>
        <item x="78"/>
        <item x="79"/>
        <item x="80"/>
        <item x="81"/>
        <item x="82"/>
        <item x="83"/>
        <item x="84"/>
        <item x="85"/>
        <item x="87"/>
        <item x="88"/>
        <item x="96"/>
        <item x="49"/>
        <item x="58"/>
        <item m="1" x="153"/>
        <item x="89"/>
        <item x="90"/>
        <item x="91"/>
        <item x="92"/>
        <item x="65"/>
        <item x="66"/>
        <item x="67"/>
        <item x="68"/>
        <item x="69"/>
        <item x="93"/>
        <item x="94"/>
        <item x="95"/>
        <item x="97"/>
        <item x="98"/>
        <item x="99"/>
        <item x="100"/>
        <item x="101"/>
        <item x="102"/>
        <item x="103"/>
        <item x="104"/>
        <item x="105"/>
        <item x="106"/>
        <item x="107"/>
        <item x="108"/>
        <item x="109"/>
        <item x="110"/>
        <item x="111"/>
        <item x="112"/>
        <item x="113"/>
        <item x="114"/>
        <item x="115"/>
        <item x="117"/>
        <item x="116"/>
        <item x="118"/>
        <item x="119"/>
        <item x="120"/>
        <item m="1" x="150"/>
        <item x="122"/>
        <item x="123"/>
        <item x="124"/>
        <item m="1" x="151"/>
        <item x="126"/>
        <item x="127"/>
        <item x="128"/>
        <item x="129"/>
        <item x="130"/>
        <item x="131"/>
        <item x="121"/>
        <item x="125"/>
        <item x="132"/>
        <item x="133"/>
        <item x="134"/>
        <item x="135"/>
        <item x="136"/>
        <item x="137"/>
        <item x="138"/>
        <item x="139"/>
        <item x="140"/>
        <item x="141"/>
        <item x="142"/>
        <item x="143"/>
        <item x="144"/>
        <item x="145"/>
        <item x="146"/>
        <item x="147"/>
        <item x="148"/>
      </items>
    </pivotField>
    <pivotField axis="axisRow" compact="0" outline="0" showAll="0" defaultSubtotal="0">
      <items count="7">
        <item x="0"/>
        <item x="2"/>
        <item m="1" x="6"/>
        <item x="1"/>
        <item x="5"/>
        <item x="3"/>
        <item x="4"/>
      </items>
    </pivotField>
    <pivotField compact="0" outline="0" showAll="0" defaultSubtotal="0">
      <items count="144">
        <item x="29"/>
        <item x="7"/>
        <item x="137"/>
        <item x="30"/>
        <item x="22"/>
        <item x="33"/>
        <item x="31"/>
        <item m="1" x="143"/>
        <item x="0"/>
        <item x="32"/>
        <item x="4"/>
        <item x="3"/>
        <item x="2"/>
        <item x="1"/>
        <item x="5"/>
        <item x="35"/>
        <item x="9"/>
        <item x="11"/>
        <item x="10"/>
        <item x="6"/>
        <item x="8"/>
        <item x="34"/>
        <item x="36"/>
        <item x="37"/>
        <item x="39"/>
        <item x="40"/>
        <item x="42"/>
        <item x="38"/>
        <item x="14"/>
        <item x="41"/>
        <item x="43"/>
        <item x="45"/>
        <item x="44"/>
        <item m="1" x="142"/>
        <item x="46"/>
        <item x="48"/>
        <item x="47"/>
        <item x="49"/>
        <item x="17"/>
        <item x="18"/>
        <item x="13"/>
        <item x="15"/>
        <item x="19"/>
        <item x="50"/>
        <item x="21"/>
        <item x="27"/>
        <item x="20"/>
        <item x="23"/>
        <item x="25"/>
        <item x="24"/>
        <item x="12"/>
        <item x="16"/>
        <item x="51"/>
        <item x="52"/>
        <item x="53"/>
        <item x="54"/>
        <item x="55"/>
        <item x="56"/>
        <item x="57"/>
        <item x="58"/>
        <item x="26"/>
        <item x="59"/>
        <item x="28"/>
        <item m="1" x="141"/>
        <item x="60"/>
        <item x="61"/>
        <item x="62"/>
        <item x="63"/>
        <item x="64"/>
        <item x="65"/>
        <item x="66"/>
        <item x="67"/>
        <item x="68"/>
        <item x="82"/>
        <item x="69"/>
        <item x="70"/>
        <item x="71"/>
        <item x="72"/>
        <item x="73"/>
        <item x="74"/>
        <item x="75"/>
        <item x="76"/>
        <item x="77"/>
        <item x="78"/>
        <item x="79"/>
        <item x="80"/>
        <item x="81"/>
        <item x="83"/>
        <item x="84"/>
        <item x="91"/>
        <item x="85"/>
        <item x="86"/>
        <item x="87"/>
        <item x="88"/>
        <item x="89"/>
        <item x="90"/>
        <item x="92"/>
        <item x="93"/>
        <item x="94"/>
        <item x="95"/>
        <item x="96"/>
        <item x="97"/>
        <item x="98"/>
        <item x="99"/>
        <item x="100"/>
        <item x="101"/>
        <item x="102"/>
        <item x="103"/>
        <item x="104"/>
        <item x="105"/>
        <item x="106"/>
        <item x="107"/>
        <item x="108"/>
        <item x="109"/>
        <item x="110"/>
        <item m="1" x="140"/>
        <item x="112"/>
        <item x="113"/>
        <item x="114"/>
        <item x="111"/>
        <item x="116"/>
        <item x="117"/>
        <item m="1" x="139"/>
        <item x="119"/>
        <item x="120"/>
        <item x="121"/>
        <item x="115"/>
        <item x="122"/>
        <item x="118"/>
        <item x="123"/>
        <item x="124"/>
        <item x="125"/>
        <item x="126"/>
        <item x="127"/>
        <item x="128"/>
        <item x="129"/>
        <item m="1" x="138"/>
        <item x="131"/>
        <item x="130"/>
        <item x="132"/>
        <item x="133"/>
        <item x="134"/>
        <item x="135"/>
        <item x="136"/>
      </items>
    </pivotField>
    <pivotField compact="0" outline="0" showAll="0"/>
    <pivotField compact="0" outline="0" showAll="0" defaultSubtotal="0"/>
    <pivotField compact="0" outline="0" showAll="0" defaultSubtota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21"/>
  </rowFields>
  <rowItems count="7">
    <i>
      <x/>
    </i>
    <i>
      <x v="1"/>
    </i>
    <i>
      <x v="3"/>
    </i>
    <i>
      <x v="4"/>
    </i>
    <i>
      <x v="5"/>
    </i>
    <i>
      <x v="6"/>
    </i>
    <i t="grand">
      <x/>
    </i>
  </rowItems>
  <colItems count="1">
    <i/>
  </colItems>
  <formats count="26">
    <format dxfId="424">
      <pivotArea dataOnly="0" labelOnly="1" outline="0" axis="axisValues" fieldPosition="0"/>
    </format>
    <format dxfId="423">
      <pivotArea dataOnly="0" labelOnly="1" outline="0" axis="axisValues" fieldPosition="0"/>
    </format>
    <format dxfId="422">
      <pivotArea field="2" type="button" dataOnly="0" labelOnly="1" outline="0"/>
    </format>
    <format dxfId="421">
      <pivotArea field="11" type="button" dataOnly="0" labelOnly="1" outline="0"/>
    </format>
    <format dxfId="420">
      <pivotArea field="20" type="button" dataOnly="0" labelOnly="1" outline="0"/>
    </format>
    <format dxfId="419">
      <pivotArea field="6" type="button" dataOnly="0" labelOnly="1" outline="0"/>
    </format>
    <format dxfId="418">
      <pivotArea field="22" type="button" dataOnly="0" labelOnly="1" outline="0"/>
    </format>
    <format dxfId="417">
      <pivotArea dataOnly="0" labelOnly="1" outline="0" axis="axisValues" fieldPosition="0"/>
    </format>
    <format dxfId="416">
      <pivotArea dataOnly="0" labelOnly="1" outline="0" axis="axisValues" fieldPosition="0"/>
    </format>
    <format dxfId="415">
      <pivotArea field="2" type="button" dataOnly="0" labelOnly="1" outline="0"/>
    </format>
    <format dxfId="414">
      <pivotArea field="2" type="button" dataOnly="0" labelOnly="1" outline="0"/>
    </format>
    <format dxfId="413">
      <pivotArea field="11" type="button" dataOnly="0" labelOnly="1" outline="0"/>
    </format>
    <format dxfId="412">
      <pivotArea field="20" type="button" dataOnly="0" labelOnly="1" outline="0"/>
    </format>
    <format dxfId="411">
      <pivotArea field="6" type="button" dataOnly="0" labelOnly="1" outline="0"/>
    </format>
    <format dxfId="410">
      <pivotArea field="22" type="button" dataOnly="0" labelOnly="1" outline="0"/>
    </format>
    <format dxfId="409">
      <pivotArea dataOnly="0" labelOnly="1" outline="0" axis="axisValues" fieldPosition="0"/>
    </format>
    <format dxfId="408">
      <pivotArea dataOnly="0" labelOnly="1" outline="0" axis="axisValues" fieldPosition="0"/>
    </format>
    <format dxfId="407">
      <pivotArea field="2" type="button" dataOnly="0" labelOnly="1" outline="0"/>
    </format>
    <format dxfId="406">
      <pivotArea field="2" type="button" dataOnly="0" labelOnly="1" outline="0"/>
    </format>
    <format dxfId="405">
      <pivotArea field="2" type="button" dataOnly="0" labelOnly="1" outline="0"/>
    </format>
    <format dxfId="404">
      <pivotArea field="21" type="button" dataOnly="0" labelOnly="1" outline="0" axis="axisRow" fieldPosition="0"/>
    </format>
    <format dxfId="403">
      <pivotArea dataOnly="0" labelOnly="1" outline="0" fieldPosition="0">
        <references count="1">
          <reference field="21" count="3">
            <x v="0"/>
            <x v="1"/>
            <x v="3"/>
          </reference>
        </references>
      </pivotArea>
    </format>
    <format dxfId="402">
      <pivotArea dataOnly="0" labelOnly="1" grandRow="1" outline="0" fieldPosition="0"/>
    </format>
    <format dxfId="401">
      <pivotArea field="21" type="button" dataOnly="0" labelOnly="1" outline="0" axis="axisRow" fieldPosition="0"/>
    </format>
    <format dxfId="400">
      <pivotArea dataOnly="0" labelOnly="1" outline="0" fieldPosition="0">
        <references count="1">
          <reference field="21" count="3">
            <x v="0"/>
            <x v="1"/>
            <x v="3"/>
          </reference>
        </references>
      </pivotArea>
    </format>
    <format dxfId="399">
      <pivotArea dataOnly="0" labelOnly="1" grandRow="1" outline="0" fieldPosition="0"/>
    </format>
  </formats>
  <pivotTableStyleInfo name="PivotStyleDark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Tabela dinâmica3" cacheId="0" applyNumberFormats="0" applyBorderFormats="0" applyFontFormats="0" applyPatternFormats="0" applyAlignmentFormats="0" applyWidthHeightFormats="1" dataCaption="Valores" updatedVersion="8" minRefreshableVersion="3" useAutoFormatting="1" colGrandTotals="0" itemPrintTitles="1" createdVersion="6" indent="0" compact="0" compactData="0" multipleFieldFilters="0" chartFormat="2">
  <location ref="B5:C20" firstHeaderRow="1" firstDataRow="1" firstDataCol="1" rowPageCount="1" colPageCount="1"/>
  <pivotFields count="36">
    <pivotField compact="0" outline="0" showAll="0" defaultSubtotal="0"/>
    <pivotField compact="0" outline="0" showAll="0" defaultSubtotal="0"/>
    <pivotField compact="0" outline="0" multipleItemSelectionAllowed="1" showAll="0" defaultSubtotal="0">
      <items count="31">
        <item x="5"/>
        <item x="12"/>
        <item x="17"/>
        <item x="7"/>
        <item x="16"/>
        <item x="2"/>
        <item x="14"/>
        <item x="28"/>
        <item x="8"/>
        <item x="0"/>
        <item x="4"/>
        <item x="1"/>
        <item x="6"/>
        <item x="9"/>
        <item x="10"/>
        <item x="3"/>
        <item x="13"/>
        <item x="15"/>
        <item x="18"/>
        <item x="11"/>
        <item x="19"/>
        <item x="20"/>
        <item x="21"/>
        <item x="22"/>
        <item m="1" x="30"/>
        <item x="23"/>
        <item x="24"/>
        <item x="25"/>
        <item x="26"/>
        <item m="1" x="29"/>
        <item x="27"/>
      </items>
    </pivotField>
    <pivotField compact="0" outline="0" showAll="0"/>
    <pivotField axis="axisPage" compact="0" outline="0" multipleItemSelectionAllowed="1" showAll="0">
      <items count="7">
        <item h="1" x="3"/>
        <item x="1"/>
        <item x="0"/>
        <item x="2"/>
        <item x="4"/>
        <item x="5"/>
        <item t="default"/>
      </items>
    </pivotField>
    <pivotField compact="0" outline="0" showAll="0" defaultSubtotal="0"/>
    <pivotField compact="0" outline="0" showAll="0" defaultSubtotal="0">
      <items count="132">
        <item x="10"/>
        <item x="30"/>
        <item x="28"/>
        <item x="25"/>
        <item m="1" x="130"/>
        <item m="1" x="131"/>
        <item x="29"/>
        <item x="3"/>
        <item x="2"/>
        <item x="1"/>
        <item x="4"/>
        <item x="27"/>
        <item x="26"/>
        <item x="32"/>
        <item x="8"/>
        <item x="9"/>
        <item x="6"/>
        <item x="5"/>
        <item x="7"/>
        <item x="31"/>
        <item x="33"/>
        <item x="34"/>
        <item x="36"/>
        <item x="37"/>
        <item x="39"/>
        <item x="35"/>
        <item x="12"/>
        <item x="38"/>
        <item x="40"/>
        <item x="42"/>
        <item x="41"/>
        <item m="1" x="128"/>
        <item x="0"/>
        <item x="43"/>
        <item x="45"/>
        <item x="14"/>
        <item x="11"/>
        <item x="13"/>
        <item x="15"/>
        <item x="47"/>
        <item x="44"/>
        <item x="46"/>
        <item x="17"/>
        <item x="16"/>
        <item x="19"/>
        <item x="18"/>
        <item x="21"/>
        <item x="20"/>
        <item x="22"/>
        <item x="23"/>
        <item x="48"/>
        <item x="24"/>
        <item x="49"/>
        <item x="50"/>
        <item x="51"/>
        <item x="52"/>
        <item x="53"/>
        <item x="54"/>
        <item x="55"/>
        <item x="71"/>
        <item x="56"/>
        <item x="57"/>
        <item x="58"/>
        <item x="59"/>
        <item x="60"/>
        <item x="61"/>
        <item x="62"/>
        <item x="63"/>
        <item x="64"/>
        <item x="65"/>
        <item x="66"/>
        <item x="67"/>
        <item x="68"/>
        <item x="69"/>
        <item x="70"/>
        <item x="72"/>
        <item x="73"/>
        <item m="1" x="127"/>
        <item m="1" x="129"/>
        <item x="74"/>
        <item x="75"/>
        <item x="76"/>
        <item x="77"/>
        <item x="78"/>
        <item x="79"/>
        <item x="80"/>
        <item x="81"/>
        <item x="82"/>
        <item x="83"/>
        <item x="84"/>
        <item x="85"/>
        <item x="86"/>
        <item x="87"/>
        <item x="88"/>
        <item x="89"/>
        <item x="90"/>
        <item x="91"/>
        <item x="92"/>
        <item x="93"/>
        <item x="94"/>
        <item x="95"/>
        <item x="96"/>
        <item x="97"/>
        <item x="99"/>
        <item x="98"/>
        <item x="100"/>
        <item x="101"/>
        <item x="102"/>
        <item x="103"/>
        <item x="104"/>
        <item x="105"/>
        <item x="106"/>
        <item x="107"/>
        <item x="108"/>
        <item x="109"/>
        <item x="110"/>
        <item x="111"/>
        <item x="112"/>
        <item x="113"/>
        <item x="114"/>
        <item x="115"/>
        <item x="116"/>
        <item x="117"/>
        <item x="118"/>
        <item x="119"/>
        <item x="120"/>
        <item x="121"/>
        <item x="122"/>
        <item x="123"/>
        <item x="124"/>
        <item x="125"/>
        <item x="126"/>
      </items>
    </pivotField>
    <pivotField compact="0" outline="0" showAll="0" defaultSubtotal="0"/>
    <pivotField compact="0" outline="0" showAll="0" defaultSubtotal="0"/>
    <pivotField compact="0" outline="0" showAll="0"/>
    <pivotField compact="0" outline="0" showAll="0"/>
    <pivotField compact="0" outline="0" showAll="0" defaultSubtotal="0">
      <items count="185">
        <item x="155"/>
        <item x="36"/>
        <item x="34"/>
        <item x="31"/>
        <item m="1" x="165"/>
        <item m="1" x="177"/>
        <item x="0"/>
        <item x="35"/>
        <item x="4"/>
        <item x="3"/>
        <item x="2"/>
        <item x="1"/>
        <item x="5"/>
        <item x="33"/>
        <item m="1" x="175"/>
        <item x="9"/>
        <item x="11"/>
        <item x="10"/>
        <item x="7"/>
        <item x="6"/>
        <item x="8"/>
        <item x="37"/>
        <item x="38"/>
        <item x="40"/>
        <item x="41"/>
        <item x="43"/>
        <item x="44"/>
        <item x="46"/>
        <item x="42"/>
        <item x="14"/>
        <item x="15"/>
        <item x="45"/>
        <item x="47"/>
        <item x="49"/>
        <item x="48"/>
        <item m="1" x="162"/>
        <item x="32"/>
        <item x="50"/>
        <item m="1" x="183"/>
        <item x="51"/>
        <item x="53"/>
        <item x="18"/>
        <item x="19"/>
        <item x="13"/>
        <item x="16"/>
        <item x="20"/>
        <item x="54"/>
        <item x="22"/>
        <item x="25"/>
        <item x="21"/>
        <item x="24"/>
        <item x="23"/>
        <item x="26"/>
        <item x="12"/>
        <item x="17"/>
        <item x="55"/>
        <item x="56"/>
        <item x="57"/>
        <item x="58"/>
        <item x="59"/>
        <item x="60"/>
        <item x="61"/>
        <item x="62"/>
        <item x="27"/>
        <item x="28"/>
        <item x="63"/>
        <item x="29"/>
        <item x="30"/>
        <item m="1" x="180"/>
        <item m="1" x="181"/>
        <item m="1" x="182"/>
        <item m="1" x="166"/>
        <item m="1" x="167"/>
        <item m="1" x="168"/>
        <item m="1" x="170"/>
        <item m="1" x="171"/>
        <item m="1" x="172"/>
        <item m="1" x="173"/>
        <item m="1" x="174"/>
        <item m="1" x="176"/>
        <item m="1" x="163"/>
        <item x="64"/>
        <item x="39"/>
        <item x="52"/>
        <item x="65"/>
        <item x="66"/>
        <item x="67"/>
        <item x="68"/>
        <item x="69"/>
        <item x="70"/>
        <item x="71"/>
        <item x="72"/>
        <item x="73"/>
        <item m="1" x="164"/>
        <item m="1" x="178"/>
        <item x="90"/>
        <item m="1" x="179"/>
        <item x="74"/>
        <item x="75"/>
        <item x="76"/>
        <item x="77"/>
        <item x="78"/>
        <item x="79"/>
        <item x="80"/>
        <item x="81"/>
        <item x="82"/>
        <item x="83"/>
        <item x="84"/>
        <item x="85"/>
        <item x="86"/>
        <item x="87"/>
        <item x="88"/>
        <item x="89"/>
        <item x="91"/>
        <item x="92"/>
        <item m="1" x="184"/>
        <item m="1" x="169"/>
        <item x="93"/>
        <item x="94"/>
        <item x="95"/>
        <item x="96"/>
        <item x="97"/>
        <item x="98"/>
        <item x="127"/>
        <item x="99"/>
        <item x="100"/>
        <item x="101"/>
        <item x="102"/>
        <item x="103"/>
        <item x="104"/>
        <item x="105"/>
        <item x="106"/>
        <item x="110"/>
        <item x="111"/>
        <item x="120"/>
        <item x="121"/>
        <item m="1" x="160"/>
        <item m="1" x="161"/>
        <item x="107"/>
        <item x="108"/>
        <item x="109"/>
        <item x="112"/>
        <item x="113"/>
        <item x="114"/>
        <item x="115"/>
        <item x="116"/>
        <item x="117"/>
        <item x="118"/>
        <item x="119"/>
        <item x="123"/>
        <item x="128"/>
        <item x="122"/>
        <item m="1" x="159"/>
        <item x="124"/>
        <item x="125"/>
        <item x="126"/>
        <item x="129"/>
        <item x="130"/>
        <item x="131"/>
        <item x="132"/>
        <item x="133"/>
        <item x="134"/>
        <item x="135"/>
        <item x="136"/>
        <item x="137"/>
        <item x="138"/>
        <item x="139"/>
        <item x="140"/>
        <item x="141"/>
        <item x="142"/>
        <item x="143"/>
        <item x="144"/>
        <item x="145"/>
        <item x="146"/>
        <item x="147"/>
        <item x="148"/>
        <item x="149"/>
        <item x="150"/>
        <item x="151"/>
        <item x="152"/>
        <item x="153"/>
        <item x="154"/>
        <item x="156"/>
        <item x="157"/>
        <item x="158"/>
      </items>
    </pivotField>
    <pivotField compact="0" outline="0" showAll="0"/>
    <pivotField compact="0" outline="0" showAll="0"/>
    <pivotField compact="0" outline="0" showAll="0" defaultSubtotal="0"/>
    <pivotField compact="0" outline="0" multipleItemSelectionAllowed="1" showAll="0" defaultSubtotal="0"/>
    <pivotField axis="axisRow" compact="0" outline="0" multipleItemSelectionAllowed="1" showAll="0" defaultSubtotal="0">
      <items count="102">
        <item h="1" x="2"/>
        <item x="15"/>
        <item h="1" x="7"/>
        <item x="19"/>
        <item h="1" x="11"/>
        <item x="23"/>
        <item h="1" x="1"/>
        <item x="13"/>
        <item x="25"/>
        <item h="1" x="0"/>
        <item x="12"/>
        <item x="24"/>
        <item h="1" x="6"/>
        <item x="18"/>
        <item h="1" x="5"/>
        <item x="17"/>
        <item h="1" x="4"/>
        <item x="16"/>
        <item h="1" x="3"/>
        <item x="14"/>
        <item h="1" x="10"/>
        <item x="22"/>
        <item h="1" x="8"/>
        <item x="21"/>
        <item h="1" x="9"/>
        <item x="20"/>
        <item h="1" m="1" x="100"/>
        <item h="1" m="1" x="101"/>
        <item h="1" m="1" x="43"/>
        <item h="1" m="1" x="44"/>
        <item h="1" m="1" x="45"/>
        <item h="1" m="1" x="46"/>
        <item h="1" m="1" x="47"/>
        <item h="1" m="1" x="48"/>
        <item h="1" m="1" x="52"/>
        <item h="1" m="1" x="53"/>
        <item h="1" m="1" x="49"/>
        <item h="1" m="1" x="72"/>
        <item h="1" m="1" x="50"/>
        <item h="1" m="1" x="61"/>
        <item h="1" m="1" x="54"/>
        <item h="1" m="1" x="51"/>
        <item h="1" m="1" x="55"/>
        <item h="1" m="1" x="62"/>
        <item h="1" m="1" x="63"/>
        <item h="1" m="1" x="64"/>
        <item h="1" m="1" x="65"/>
        <item h="1" m="1" x="66"/>
        <item h="1" m="1" x="67"/>
        <item h="1" m="1" x="56"/>
        <item h="1" m="1" x="57"/>
        <item h="1" m="1" x="58"/>
        <item h="1" m="1" x="59"/>
        <item h="1" m="1" x="60"/>
        <item m="1" x="68"/>
        <item m="1" x="70"/>
        <item m="1" x="69"/>
        <item m="1" x="71"/>
        <item m="1" x="73"/>
        <item m="1" x="74"/>
        <item m="1" x="90"/>
        <item m="1" x="75"/>
        <item m="1" x="76"/>
        <item m="1" x="77"/>
        <item m="1" x="78"/>
        <item m="1" x="79"/>
        <item m="1" x="81"/>
        <item m="1" x="80"/>
        <item m="1" x="82"/>
        <item m="1" x="84"/>
        <item m="1" x="85"/>
        <item m="1" x="83"/>
        <item m="1" x="88"/>
        <item m="1" x="87"/>
        <item m="1" x="86"/>
        <item m="1" x="89"/>
        <item m="1" x="91"/>
        <item m="1" x="92"/>
        <item m="1" x="99"/>
        <item m="1" x="98"/>
        <item m="1" x="93"/>
        <item m="1" x="94"/>
        <item m="1" x="95"/>
        <item m="1" x="96"/>
        <item m="1" x="97"/>
        <item h="1" x="39"/>
        <item h="1" x="26"/>
        <item h="1" m="1" x="40"/>
        <item h="1" m="1" x="41"/>
        <item h="1" m="1" x="42"/>
        <item h="1" x="27"/>
        <item h="1" x="28"/>
        <item h="1" x="29"/>
        <item h="1" x="30"/>
        <item h="1" x="31"/>
        <item h="1" x="32"/>
        <item h="1" x="33"/>
        <item h="1" x="34"/>
        <item h="1" x="35"/>
        <item h="1" x="36"/>
        <item h="1" x="37"/>
        <item h="1" x="38"/>
      </items>
    </pivotField>
    <pivotField compact="0" outline="0" showAll="0">
      <items count="128">
        <item x="29"/>
        <item x="23"/>
        <item x="73"/>
        <item x="63"/>
        <item x="64"/>
        <item x="65"/>
        <item x="68"/>
        <item x="67"/>
        <item x="72"/>
        <item x="60"/>
        <item x="22"/>
        <item x="54"/>
        <item x="33"/>
        <item x="55"/>
        <item x="56"/>
        <item x="57"/>
        <item x="74"/>
        <item x="66"/>
        <item x="75"/>
        <item x="61"/>
        <item x="58"/>
        <item x="71"/>
        <item x="59"/>
        <item x="62"/>
        <item x="70"/>
        <item x="0"/>
        <item x="26"/>
        <item x="25"/>
        <item x="27"/>
        <item x="1"/>
        <item x="3"/>
        <item x="28"/>
        <item x="4"/>
        <item x="31"/>
        <item x="5"/>
        <item x="24"/>
        <item x="30"/>
        <item x="6"/>
        <item x="7"/>
        <item x="2"/>
        <item x="34"/>
        <item x="8"/>
        <item x="36"/>
        <item x="9"/>
        <item x="32"/>
        <item x="35"/>
        <item x="10"/>
        <item x="37"/>
        <item x="39"/>
        <item x="38"/>
        <item x="11"/>
        <item x="12"/>
        <item x="40"/>
        <item x="42"/>
        <item x="13"/>
        <item x="41"/>
        <item x="43"/>
        <item x="44"/>
        <item x="14"/>
        <item x="15"/>
        <item x="16"/>
        <item x="45"/>
        <item x="46"/>
        <item x="17"/>
        <item x="47"/>
        <item x="18"/>
        <item x="48"/>
        <item x="49"/>
        <item x="50"/>
        <item x="19"/>
        <item x="20"/>
        <item x="21"/>
        <item x="51"/>
        <item x="52"/>
        <item x="53"/>
        <item x="69"/>
        <item x="99"/>
        <item x="76"/>
        <item x="77"/>
        <item x="78"/>
        <item x="79"/>
        <item x="81"/>
        <item x="80"/>
        <item x="85"/>
        <item x="82"/>
        <item x="83"/>
        <item x="84"/>
        <item x="87"/>
        <item x="86"/>
        <item x="88"/>
        <item x="90"/>
        <item x="91"/>
        <item x="89"/>
        <item x="92"/>
        <item x="93"/>
        <item x="95"/>
        <item x="94"/>
        <item x="96"/>
        <item x="100"/>
        <item x="98"/>
        <item x="97"/>
        <item x="101"/>
        <item x="102"/>
        <item x="104"/>
        <item x="103"/>
        <item x="105"/>
        <item x="106"/>
        <item x="107"/>
        <item x="108"/>
        <item x="126"/>
        <item x="109"/>
        <item x="110"/>
        <item x="111"/>
        <item x="112"/>
        <item x="113"/>
        <item x="114"/>
        <item x="115"/>
        <item x="116"/>
        <item x="117"/>
        <item x="118"/>
        <item x="119"/>
        <item x="120"/>
        <item x="121"/>
        <item x="122"/>
        <item x="123"/>
        <item x="124"/>
        <item x="125"/>
        <item t="default"/>
      </items>
    </pivotField>
    <pivotField compact="0" outline="0" showAll="0"/>
    <pivotField compact="0" outline="0" showAll="0" defaultSubtotal="0"/>
    <pivotField compact="0" outline="0" showAll="0" defaultSubtotal="0">
      <items count="162">
        <item x="149"/>
        <item x="32"/>
        <item x="30"/>
        <item x="28"/>
        <item x="0"/>
        <item x="31"/>
        <item x="4"/>
        <item x="3"/>
        <item x="2"/>
        <item x="1"/>
        <item x="5"/>
        <item x="29"/>
        <item x="35"/>
        <item x="9"/>
        <item x="10"/>
        <item x="7"/>
        <item x="6"/>
        <item x="8"/>
        <item x="33"/>
        <item x="34"/>
        <item x="36"/>
        <item x="37"/>
        <item x="39"/>
        <item x="40"/>
        <item x="42"/>
        <item x="38"/>
        <item x="13"/>
        <item x="41"/>
        <item x="43"/>
        <item x="45"/>
        <item x="44"/>
        <item m="1" x="158"/>
        <item x="46"/>
        <item x="48"/>
        <item x="47"/>
        <item m="1" x="159"/>
        <item x="16"/>
        <item x="12"/>
        <item x="14"/>
        <item x="17"/>
        <item x="50"/>
        <item x="19"/>
        <item x="18"/>
        <item x="21"/>
        <item x="20"/>
        <item x="23"/>
        <item x="22"/>
        <item x="11"/>
        <item x="15"/>
        <item x="51"/>
        <item x="52"/>
        <item x="53"/>
        <item x="54"/>
        <item x="55"/>
        <item x="56"/>
        <item x="57"/>
        <item m="1" x="160"/>
        <item x="24"/>
        <item x="25"/>
        <item x="59"/>
        <item x="26"/>
        <item x="27"/>
        <item m="1" x="155"/>
        <item m="1" x="152"/>
        <item x="60"/>
        <item x="61"/>
        <item x="62"/>
        <item x="63"/>
        <item x="64"/>
        <item m="1" x="161"/>
        <item m="1" x="157"/>
        <item m="1" x="156"/>
        <item m="1" x="154"/>
        <item x="86"/>
        <item x="70"/>
        <item x="71"/>
        <item x="72"/>
        <item x="73"/>
        <item x="74"/>
        <item x="75"/>
        <item x="76"/>
        <item x="77"/>
        <item x="78"/>
        <item x="79"/>
        <item x="80"/>
        <item x="81"/>
        <item x="82"/>
        <item x="83"/>
        <item x="84"/>
        <item x="85"/>
        <item x="87"/>
        <item x="88"/>
        <item x="96"/>
        <item x="49"/>
        <item x="58"/>
        <item m="1" x="153"/>
        <item x="89"/>
        <item x="90"/>
        <item x="91"/>
        <item x="92"/>
        <item x="65"/>
        <item x="66"/>
        <item x="67"/>
        <item x="68"/>
        <item x="69"/>
        <item x="93"/>
        <item x="94"/>
        <item x="95"/>
        <item x="97"/>
        <item x="98"/>
        <item x="99"/>
        <item x="100"/>
        <item x="101"/>
        <item x="102"/>
        <item x="103"/>
        <item x="104"/>
        <item x="105"/>
        <item x="106"/>
        <item x="107"/>
        <item x="108"/>
        <item x="109"/>
        <item x="110"/>
        <item x="111"/>
        <item x="112"/>
        <item x="113"/>
        <item x="114"/>
        <item x="115"/>
        <item x="117"/>
        <item x="116"/>
        <item x="118"/>
        <item x="119"/>
        <item x="120"/>
        <item m="1" x="150"/>
        <item x="122"/>
        <item x="123"/>
        <item x="124"/>
        <item m="1" x="151"/>
        <item x="126"/>
        <item x="127"/>
        <item x="128"/>
        <item x="129"/>
        <item x="130"/>
        <item x="131"/>
        <item x="121"/>
        <item x="125"/>
        <item x="132"/>
        <item x="133"/>
        <item x="134"/>
        <item x="135"/>
        <item x="136"/>
        <item x="137"/>
        <item x="138"/>
        <item x="139"/>
        <item x="140"/>
        <item x="141"/>
        <item x="142"/>
        <item x="143"/>
        <item x="144"/>
        <item x="145"/>
        <item x="146"/>
        <item x="147"/>
        <item x="148"/>
      </items>
    </pivotField>
    <pivotField compact="0" outline="0" showAll="0" defaultSubtotal="0"/>
    <pivotField compact="0" outline="0" showAll="0" defaultSubtotal="0">
      <items count="144">
        <item x="29"/>
        <item x="7"/>
        <item x="137"/>
        <item x="30"/>
        <item x="22"/>
        <item x="33"/>
        <item x="31"/>
        <item m="1" x="143"/>
        <item x="0"/>
        <item x="32"/>
        <item x="4"/>
        <item x="3"/>
        <item x="2"/>
        <item x="1"/>
        <item x="5"/>
        <item x="35"/>
        <item x="9"/>
        <item x="11"/>
        <item x="10"/>
        <item x="6"/>
        <item x="8"/>
        <item x="34"/>
        <item x="36"/>
        <item x="37"/>
        <item x="39"/>
        <item x="40"/>
        <item x="42"/>
        <item x="38"/>
        <item x="14"/>
        <item x="41"/>
        <item x="43"/>
        <item x="45"/>
        <item x="44"/>
        <item m="1" x="142"/>
        <item x="46"/>
        <item x="48"/>
        <item x="47"/>
        <item x="49"/>
        <item x="17"/>
        <item x="18"/>
        <item x="13"/>
        <item x="15"/>
        <item x="19"/>
        <item x="50"/>
        <item x="21"/>
        <item x="27"/>
        <item x="20"/>
        <item x="23"/>
        <item x="25"/>
        <item x="24"/>
        <item x="12"/>
        <item x="16"/>
        <item x="51"/>
        <item x="52"/>
        <item x="53"/>
        <item x="54"/>
        <item x="55"/>
        <item x="56"/>
        <item x="57"/>
        <item x="58"/>
        <item x="26"/>
        <item x="59"/>
        <item x="28"/>
        <item m="1" x="141"/>
        <item x="60"/>
        <item x="61"/>
        <item x="62"/>
        <item x="63"/>
        <item x="64"/>
        <item x="65"/>
        <item x="66"/>
        <item x="67"/>
        <item x="68"/>
        <item x="82"/>
        <item x="69"/>
        <item x="70"/>
        <item x="71"/>
        <item x="72"/>
        <item x="73"/>
        <item x="74"/>
        <item x="75"/>
        <item x="76"/>
        <item x="77"/>
        <item x="78"/>
        <item x="79"/>
        <item x="80"/>
        <item x="81"/>
        <item x="83"/>
        <item x="84"/>
        <item x="91"/>
        <item x="85"/>
        <item x="86"/>
        <item x="87"/>
        <item x="88"/>
        <item x="89"/>
        <item x="90"/>
        <item x="92"/>
        <item x="93"/>
        <item x="94"/>
        <item x="95"/>
        <item x="96"/>
        <item x="97"/>
        <item x="98"/>
        <item x="99"/>
        <item x="100"/>
        <item x="101"/>
        <item x="102"/>
        <item x="103"/>
        <item x="104"/>
        <item x="105"/>
        <item x="106"/>
        <item x="107"/>
        <item x="108"/>
        <item x="109"/>
        <item x="110"/>
        <item m="1" x="140"/>
        <item x="112"/>
        <item x="113"/>
        <item x="114"/>
        <item x="111"/>
        <item x="116"/>
        <item x="117"/>
        <item m="1" x="139"/>
        <item x="119"/>
        <item x="120"/>
        <item x="121"/>
        <item x="115"/>
        <item x="122"/>
        <item x="118"/>
        <item x="123"/>
        <item x="124"/>
        <item x="125"/>
        <item x="126"/>
        <item x="127"/>
        <item x="128"/>
        <item x="129"/>
        <item m="1" x="138"/>
        <item x="131"/>
        <item x="130"/>
        <item x="132"/>
        <item x="133"/>
        <item x="134"/>
        <item x="135"/>
        <item x="136"/>
      </items>
    </pivotField>
    <pivotField compact="0" outline="0" showAll="0"/>
    <pivotField compact="0" outline="0" showAll="0" defaultSubtotal="0"/>
    <pivotField compact="0" outline="0" showAll="0" defaultSubtota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pivotField compact="0" outline="0" showAll="0"/>
  </pivotFields>
  <rowFields count="1">
    <field x="16"/>
  </rowFields>
  <rowItems count="15">
    <i>
      <x v="1"/>
    </i>
    <i>
      <x v="3"/>
    </i>
    <i>
      <x v="5"/>
    </i>
    <i>
      <x v="7"/>
    </i>
    <i>
      <x v="8"/>
    </i>
    <i>
      <x v="10"/>
    </i>
    <i>
      <x v="11"/>
    </i>
    <i>
      <x v="13"/>
    </i>
    <i>
      <x v="15"/>
    </i>
    <i>
      <x v="17"/>
    </i>
    <i>
      <x v="19"/>
    </i>
    <i>
      <x v="21"/>
    </i>
    <i>
      <x v="23"/>
    </i>
    <i>
      <x v="25"/>
    </i>
    <i t="grand">
      <x/>
    </i>
  </rowItems>
  <colItems count="1">
    <i/>
  </colItems>
  <pageFields count="1">
    <pageField fld="4" hier="-1"/>
  </pageFields>
  <dataFields count="1">
    <dataField name=" DIAS ÚTEIS TMP" fld="32" subtotal="average" baseField="0" baseItem="1" numFmtId="1"/>
  </dataFields>
  <formats count="29">
    <format dxfId="327">
      <pivotArea dataOnly="0" labelOnly="1" outline="0" axis="axisValues" fieldPosition="0"/>
    </format>
    <format dxfId="326">
      <pivotArea dataOnly="0" labelOnly="1" outline="0" axis="axisValues" fieldPosition="0"/>
    </format>
    <format dxfId="325">
      <pivotArea field="2" type="button" dataOnly="0" labelOnly="1" outline="0"/>
    </format>
    <format dxfId="324">
      <pivotArea field="11" type="button" dataOnly="0" labelOnly="1" outline="0"/>
    </format>
    <format dxfId="323">
      <pivotArea field="20" type="button" dataOnly="0" labelOnly="1" outline="0"/>
    </format>
    <format dxfId="322">
      <pivotArea field="6" type="button" dataOnly="0" labelOnly="1" outline="0"/>
    </format>
    <format dxfId="321">
      <pivotArea field="22" type="button" dataOnly="0" labelOnly="1" outline="0"/>
    </format>
    <format dxfId="320">
      <pivotArea dataOnly="0" labelOnly="1" outline="0" axis="axisValues" fieldPosition="0"/>
    </format>
    <format dxfId="319">
      <pivotArea dataOnly="0" labelOnly="1" outline="0" axis="axisValues" fieldPosition="0"/>
    </format>
    <format dxfId="318">
      <pivotArea field="2" type="button" dataOnly="0" labelOnly="1" outline="0"/>
    </format>
    <format dxfId="317">
      <pivotArea field="2" type="button" dataOnly="0" labelOnly="1" outline="0"/>
    </format>
    <format dxfId="316">
      <pivotArea field="11" type="button" dataOnly="0" labelOnly="1" outline="0"/>
    </format>
    <format dxfId="315">
      <pivotArea field="20" type="button" dataOnly="0" labelOnly="1" outline="0"/>
    </format>
    <format dxfId="314">
      <pivotArea field="6" type="button" dataOnly="0" labelOnly="1" outline="0"/>
    </format>
    <format dxfId="313">
      <pivotArea field="22" type="button" dataOnly="0" labelOnly="1" outline="0"/>
    </format>
    <format dxfId="312">
      <pivotArea dataOnly="0" labelOnly="1" outline="0" axis="axisValues" fieldPosition="0"/>
    </format>
    <format dxfId="311">
      <pivotArea dataOnly="0" labelOnly="1" outline="0" axis="axisValues" fieldPosition="0"/>
    </format>
    <format dxfId="310">
      <pivotArea field="2" type="button" dataOnly="0" labelOnly="1" outline="0"/>
    </format>
    <format dxfId="309">
      <pivotArea field="2" type="button" dataOnly="0" labelOnly="1" outline="0"/>
    </format>
    <format dxfId="308">
      <pivotArea field="2" type="button" dataOnly="0" labelOnly="1" outline="0"/>
    </format>
    <format dxfId="307">
      <pivotArea outline="0" fieldPosition="0">
        <references count="1">
          <reference field="4294967294" count="1" selected="0">
            <x v="0"/>
          </reference>
        </references>
      </pivotArea>
    </format>
    <format dxfId="306">
      <pivotArea outline="0" fieldPosition="0">
        <references count="1">
          <reference field="4294967294" count="1" selected="0">
            <x v="0"/>
          </reference>
        </references>
      </pivotArea>
    </format>
    <format dxfId="305">
      <pivotArea outline="0" fieldPosition="0">
        <references count="1">
          <reference field="4294967294" count="1" selected="0">
            <x v="0"/>
          </reference>
        </references>
      </pivotArea>
    </format>
    <format dxfId="304">
      <pivotArea outline="0" fieldPosition="0">
        <references count="1">
          <reference field="4294967294" count="1" selected="0">
            <x v="0"/>
          </reference>
        </references>
      </pivotArea>
    </format>
    <format dxfId="303">
      <pivotArea outline="0" fieldPosition="0">
        <references count="1">
          <reference field="4294967294" count="1" selected="0">
            <x v="0"/>
          </reference>
        </references>
      </pivotArea>
    </format>
    <format dxfId="302">
      <pivotArea outline="0" fieldPosition="0">
        <references count="1">
          <reference field="4294967294" count="1" selected="0">
            <x v="0"/>
          </reference>
        </references>
      </pivotArea>
    </format>
    <format dxfId="301">
      <pivotArea outline="0" fieldPosition="0">
        <references count="1">
          <reference field="4294967294" count="1" selected="0">
            <x v="0"/>
          </reference>
        </references>
      </pivotArea>
    </format>
    <format dxfId="300">
      <pivotArea outline="0" fieldPosition="0">
        <references count="1">
          <reference field="4294967294" count="1" selected="0">
            <x v="0"/>
          </reference>
        </references>
      </pivotArea>
    </format>
    <format dxfId="299">
      <pivotArea field="17" type="button" dataOnly="0" labelOnly="1" outline="0"/>
    </format>
  </formats>
  <pivotTableStyleInfo name="PivotStyleDark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Tabela dinâmica2" cacheId="0" applyNumberFormats="0" applyBorderFormats="0" applyFontFormats="0" applyPatternFormats="0" applyAlignmentFormats="0" applyWidthHeightFormats="1" dataCaption="Valores" updatedVersion="8" minRefreshableVersion="3" rowGrandTotals="0" colGrandTotals="0" itemPrintTitles="1" createdVersion="6" indent="0" compact="0" compactData="0" multipleFieldFilters="0">
  <location ref="B6:J29" firstHeaderRow="1" firstDataRow="1" firstDataCol="8" rowPageCount="1" colPageCount="1"/>
  <pivotFields count="36">
    <pivotField compact="0" outline="0" showAll="0" defaultSubtotal="0"/>
    <pivotField compact="0" outline="0" showAll="0" defaultSubtotal="0"/>
    <pivotField axis="axisRow" compact="0" outline="0" multipleItemSelectionAllowed="1" showAll="0" defaultSubtotal="0">
      <items count="31">
        <item x="5"/>
        <item x="12"/>
        <item x="17"/>
        <item x="16"/>
        <item x="14"/>
        <item x="28"/>
        <item x="2"/>
        <item x="7"/>
        <item x="8"/>
        <item x="0"/>
        <item x="4"/>
        <item x="1"/>
        <item x="6"/>
        <item x="9"/>
        <item x="10"/>
        <item x="3"/>
        <item x="13"/>
        <item x="15"/>
        <item x="18"/>
        <item x="11"/>
        <item x="19"/>
        <item x="20"/>
        <item x="21"/>
        <item x="22"/>
        <item m="1" x="30"/>
        <item x="23"/>
        <item x="24"/>
        <item x="25"/>
        <item x="26"/>
        <item m="1" x="29"/>
        <item x="27"/>
      </items>
      <extLst>
        <ext xmlns:x14="http://schemas.microsoft.com/office/spreadsheetml/2009/9/main" uri="{2946ED86-A175-432a-8AC1-64E0C546D7DE}">
          <x14:pivotField fillDownLabels="1"/>
        </ext>
      </extLst>
    </pivotField>
    <pivotField axis="axisRow" compact="0" outline="0" subtotalTop="0" showAll="0" defaultSubtotal="0">
      <items count="141">
        <item x="51"/>
        <item x="52"/>
        <item x="56"/>
        <item x="55"/>
        <item x="54"/>
        <item x="57"/>
        <item x="53"/>
        <item x="36"/>
        <item x="38"/>
        <item x="44"/>
        <item x="39"/>
        <item x="30"/>
        <item x="108"/>
        <item x="43"/>
        <item x="41"/>
        <item x="50"/>
        <item x="35"/>
        <item x="47"/>
        <item x="31"/>
        <item x="61"/>
        <item x="42"/>
        <item x="8"/>
        <item x="40"/>
        <item x="27"/>
        <item x="96"/>
        <item x="32"/>
        <item x="15"/>
        <item x="49"/>
        <item x="2"/>
        <item x="33"/>
        <item x="34"/>
        <item x="9"/>
        <item x="0"/>
        <item x="4"/>
        <item x="1"/>
        <item x="28"/>
        <item x="29"/>
        <item x="14"/>
        <item x="46"/>
        <item x="37"/>
        <item x="5"/>
        <item x="3"/>
        <item x="45"/>
        <item x="48"/>
        <item x="6"/>
        <item x="11"/>
        <item x="7"/>
        <item x="10"/>
        <item x="100"/>
        <item x="83"/>
        <item x="13"/>
        <item x="12"/>
        <item x="88"/>
        <item x="20"/>
        <item x="98"/>
        <item x="85"/>
        <item x="84"/>
        <item x="19"/>
        <item x="18"/>
        <item x="16"/>
        <item x="59"/>
        <item x="86"/>
        <item x="62"/>
        <item x="17"/>
        <item x="64"/>
        <item x="21"/>
        <item x="58"/>
        <item x="22"/>
        <item x="67"/>
        <item x="63"/>
        <item x="25"/>
        <item x="89"/>
        <item x="23"/>
        <item x="104"/>
        <item x="111"/>
        <item x="24"/>
        <item x="92"/>
        <item x="60"/>
        <item x="26"/>
        <item x="68"/>
        <item x="90"/>
        <item x="115"/>
        <item x="65"/>
        <item x="69"/>
        <item x="94"/>
        <item x="70"/>
        <item x="72"/>
        <item x="73"/>
        <item x="71"/>
        <item x="74"/>
        <item x="75"/>
        <item x="76"/>
        <item x="82"/>
        <item x="78"/>
        <item x="79"/>
        <item x="81"/>
        <item x="77"/>
        <item x="80"/>
        <item x="93"/>
        <item x="66"/>
        <item x="102"/>
        <item x="114"/>
        <item x="105"/>
        <item x="97"/>
        <item x="87"/>
        <item x="110"/>
        <item x="122"/>
        <item x="116"/>
        <item x="91"/>
        <item x="109"/>
        <item x="106"/>
        <item x="95"/>
        <item x="117"/>
        <item x="99"/>
        <item x="103"/>
        <item x="101"/>
        <item x="112"/>
        <item x="113"/>
        <item x="107"/>
        <item x="121"/>
        <item x="118"/>
        <item x="119"/>
        <item x="120"/>
        <item x="140"/>
        <item x="123"/>
        <item x="124"/>
        <item x="125"/>
        <item x="126"/>
        <item x="127"/>
        <item x="128"/>
        <item x="129"/>
        <item x="130"/>
        <item x="131"/>
        <item x="132"/>
        <item x="133"/>
        <item x="134"/>
        <item x="135"/>
        <item x="136"/>
        <item x="137"/>
        <item x="138"/>
        <item x="139"/>
      </items>
      <extLst>
        <ext xmlns:x14="http://schemas.microsoft.com/office/spreadsheetml/2009/9/main" uri="{2946ED86-A175-432a-8AC1-64E0C546D7DE}">
          <x14:pivotField fillDownLabels="1"/>
        </ext>
      </extLst>
    </pivotField>
    <pivotField axis="axisRow" compact="0" outline="0" showAll="0" defaultSubtotal="0">
      <items count="6">
        <item x="3"/>
        <item x="1"/>
        <item x="0"/>
        <item x="2"/>
        <item x="4"/>
        <item x="5"/>
      </items>
      <extLst>
        <ext xmlns:x14="http://schemas.microsoft.com/office/spreadsheetml/2009/9/main" uri="{2946ED86-A175-432a-8AC1-64E0C546D7DE}">
          <x14:pivotField fillDownLabels="1"/>
        </ext>
      </extLst>
    </pivotField>
    <pivotField compact="0" outline="0" showAll="0" defaultSubtotal="0"/>
    <pivotField compact="0" outline="0" showAll="0" defaultSubtotal="0">
      <items count="132">
        <item x="10"/>
        <item x="30"/>
        <item x="28"/>
        <item x="25"/>
        <item m="1" x="130"/>
        <item m="1" x="131"/>
        <item x="29"/>
        <item x="3"/>
        <item x="2"/>
        <item x="1"/>
        <item x="4"/>
        <item x="27"/>
        <item x="26"/>
        <item x="32"/>
        <item x="8"/>
        <item x="9"/>
        <item x="6"/>
        <item x="5"/>
        <item x="7"/>
        <item x="31"/>
        <item x="33"/>
        <item x="34"/>
        <item x="36"/>
        <item x="37"/>
        <item x="39"/>
        <item x="35"/>
        <item x="12"/>
        <item x="38"/>
        <item x="40"/>
        <item x="42"/>
        <item x="41"/>
        <item m="1" x="128"/>
        <item x="0"/>
        <item x="43"/>
        <item x="45"/>
        <item x="14"/>
        <item x="11"/>
        <item x="13"/>
        <item x="15"/>
        <item x="47"/>
        <item x="44"/>
        <item x="46"/>
        <item x="17"/>
        <item x="16"/>
        <item x="19"/>
        <item x="18"/>
        <item x="21"/>
        <item x="20"/>
        <item x="22"/>
        <item x="23"/>
        <item x="48"/>
        <item x="24"/>
        <item x="49"/>
        <item x="50"/>
        <item x="51"/>
        <item x="52"/>
        <item x="53"/>
        <item x="54"/>
        <item x="55"/>
        <item x="71"/>
        <item x="56"/>
        <item x="57"/>
        <item x="58"/>
        <item x="59"/>
        <item x="60"/>
        <item x="61"/>
        <item x="62"/>
        <item x="63"/>
        <item x="64"/>
        <item x="65"/>
        <item x="66"/>
        <item x="67"/>
        <item x="68"/>
        <item x="69"/>
        <item x="70"/>
        <item x="72"/>
        <item x="73"/>
        <item m="1" x="127"/>
        <item m="1" x="129"/>
        <item x="74"/>
        <item x="75"/>
        <item x="76"/>
        <item x="77"/>
        <item x="78"/>
        <item x="79"/>
        <item x="80"/>
        <item x="81"/>
        <item x="82"/>
        <item x="83"/>
        <item x="84"/>
        <item x="85"/>
        <item x="86"/>
        <item x="87"/>
        <item x="88"/>
        <item x="89"/>
        <item x="90"/>
        <item x="91"/>
        <item x="92"/>
        <item x="93"/>
        <item x="94"/>
        <item x="95"/>
        <item x="96"/>
        <item x="97"/>
        <item x="99"/>
        <item x="98"/>
        <item x="100"/>
        <item x="101"/>
        <item x="102"/>
        <item x="103"/>
        <item x="104"/>
        <item x="105"/>
        <item x="106"/>
        <item x="107"/>
        <item x="108"/>
        <item x="109"/>
        <item x="110"/>
        <item x="111"/>
        <item x="112"/>
        <item x="113"/>
        <item x="114"/>
        <item x="115"/>
        <item x="116"/>
        <item x="117"/>
        <item x="118"/>
        <item x="119"/>
        <item x="120"/>
        <item x="121"/>
        <item x="122"/>
        <item x="123"/>
        <item x="124"/>
        <item x="125"/>
        <item x="126"/>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85">
        <item x="155"/>
        <item x="36"/>
        <item x="34"/>
        <item x="31"/>
        <item m="1" x="165"/>
        <item m="1" x="177"/>
        <item x="0"/>
        <item x="35"/>
        <item x="4"/>
        <item x="3"/>
        <item x="2"/>
        <item x="1"/>
        <item x="5"/>
        <item x="33"/>
        <item m="1" x="175"/>
        <item x="9"/>
        <item x="11"/>
        <item x="10"/>
        <item x="7"/>
        <item x="6"/>
        <item x="8"/>
        <item x="37"/>
        <item x="38"/>
        <item x="40"/>
        <item x="41"/>
        <item x="43"/>
        <item x="44"/>
        <item x="46"/>
        <item x="42"/>
        <item x="14"/>
        <item x="15"/>
        <item x="45"/>
        <item x="47"/>
        <item x="49"/>
        <item x="48"/>
        <item m="1" x="162"/>
        <item x="32"/>
        <item x="50"/>
        <item m="1" x="183"/>
        <item x="51"/>
        <item x="53"/>
        <item x="18"/>
        <item x="19"/>
        <item x="13"/>
        <item x="16"/>
        <item x="20"/>
        <item x="54"/>
        <item x="22"/>
        <item x="21"/>
        <item x="25"/>
        <item x="24"/>
        <item x="23"/>
        <item x="26"/>
        <item x="12"/>
        <item x="17"/>
        <item x="55"/>
        <item x="56"/>
        <item x="57"/>
        <item x="58"/>
        <item x="59"/>
        <item x="60"/>
        <item x="61"/>
        <item x="62"/>
        <item x="27"/>
        <item x="28"/>
        <item x="63"/>
        <item x="29"/>
        <item x="30"/>
        <item m="1" x="180"/>
        <item m="1" x="181"/>
        <item m="1" x="182"/>
        <item m="1" x="166"/>
        <item m="1" x="167"/>
        <item m="1" x="168"/>
        <item m="1" x="170"/>
        <item m="1" x="171"/>
        <item m="1" x="172"/>
        <item m="1" x="173"/>
        <item m="1" x="174"/>
        <item m="1" x="176"/>
        <item m="1" x="163"/>
        <item x="64"/>
        <item x="39"/>
        <item x="52"/>
        <item x="65"/>
        <item x="66"/>
        <item x="67"/>
        <item x="68"/>
        <item x="69"/>
        <item x="70"/>
        <item x="71"/>
        <item x="72"/>
        <item x="73"/>
        <item m="1" x="164"/>
        <item m="1" x="178"/>
        <item x="90"/>
        <item m="1" x="179"/>
        <item x="74"/>
        <item x="75"/>
        <item x="76"/>
        <item x="77"/>
        <item x="78"/>
        <item x="79"/>
        <item x="80"/>
        <item x="81"/>
        <item x="82"/>
        <item x="83"/>
        <item x="84"/>
        <item x="85"/>
        <item x="86"/>
        <item x="87"/>
        <item x="88"/>
        <item x="89"/>
        <item x="91"/>
        <item x="92"/>
        <item m="1" x="184"/>
        <item m="1" x="169"/>
        <item x="93"/>
        <item x="94"/>
        <item x="95"/>
        <item x="96"/>
        <item x="97"/>
        <item x="98"/>
        <item x="127"/>
        <item x="99"/>
        <item x="100"/>
        <item x="101"/>
        <item x="102"/>
        <item x="103"/>
        <item x="104"/>
        <item x="105"/>
        <item x="106"/>
        <item x="110"/>
        <item x="111"/>
        <item x="120"/>
        <item x="121"/>
        <item m="1" x="160"/>
        <item m="1" x="161"/>
        <item x="107"/>
        <item x="108"/>
        <item x="109"/>
        <item x="112"/>
        <item x="113"/>
        <item x="114"/>
        <item x="115"/>
        <item x="116"/>
        <item x="117"/>
        <item x="118"/>
        <item x="119"/>
        <item x="123"/>
        <item x="128"/>
        <item x="122"/>
        <item m="1" x="159"/>
        <item x="124"/>
        <item x="125"/>
        <item x="126"/>
        <item x="129"/>
        <item x="130"/>
        <item x="131"/>
        <item x="132"/>
        <item x="133"/>
        <item x="134"/>
        <item x="135"/>
        <item x="136"/>
        <item x="137"/>
        <item x="138"/>
        <item x="139"/>
        <item x="140"/>
        <item x="141"/>
        <item x="142"/>
        <item x="143"/>
        <item x="144"/>
        <item x="145"/>
        <item x="146"/>
        <item x="147"/>
        <item x="148"/>
        <item x="149"/>
        <item x="150"/>
        <item x="151"/>
        <item x="152"/>
        <item x="153"/>
        <item x="154"/>
        <item x="156"/>
        <item x="157"/>
        <item x="158"/>
      </items>
      <extLst>
        <ext xmlns:x14="http://schemas.microsoft.com/office/spreadsheetml/2009/9/main" uri="{2946ED86-A175-432a-8AC1-64E0C546D7DE}">
          <x14:pivotField fillDownLabels="1"/>
        </ext>
      </extLst>
    </pivotField>
    <pivotField compact="0" outline="0" showAll="0" defaultSubtotal="0"/>
    <pivotField compact="0" outline="0" showAll="0" defaultSubtotal="0"/>
    <pivotField compact="0" outline="0" showAll="0" defaultSubtotal="0"/>
    <pivotField compact="0" outline="0" multipleItemSelectionAllowed="1" showAll="0" defaultSubtotal="0"/>
    <pivotField axis="axisPage" compact="0" multipleItemSelectionAllowed="1" showAll="0" includeNewItemsInFilter="1" defaultSubtotal="0">
      <items count="102">
        <item h="1" x="2"/>
        <item h="1" x="15"/>
        <item h="1" x="7"/>
        <item h="1" x="19"/>
        <item h="1" x="11"/>
        <item h="1" x="23"/>
        <item h="1" x="1"/>
        <item h="1" x="13"/>
        <item x="25"/>
        <item h="1" x="0"/>
        <item h="1" x="12"/>
        <item x="24"/>
        <item h="1" x="6"/>
        <item h="1" x="18"/>
        <item h="1" x="5"/>
        <item h="1" x="17"/>
        <item h="1" x="4"/>
        <item h="1" x="16"/>
        <item h="1" x="3"/>
        <item h="1" x="14"/>
        <item h="1" x="10"/>
        <item h="1" x="22"/>
        <item h="1" x="8"/>
        <item h="1" x="21"/>
        <item h="1" x="9"/>
        <item h="1" x="20"/>
        <item m="1" x="100"/>
        <item m="1" x="101"/>
        <item m="1" x="43"/>
        <item m="1" x="44"/>
        <item m="1" x="45"/>
        <item m="1" x="46"/>
        <item m="1" x="47"/>
        <item m="1" x="48"/>
        <item m="1" x="52"/>
        <item m="1" x="53"/>
        <item m="1" x="49"/>
        <item m="1" x="72"/>
        <item m="1" x="50"/>
        <item m="1" x="61"/>
        <item m="1" x="54"/>
        <item m="1" x="51"/>
        <item m="1" x="55"/>
        <item m="1" x="62"/>
        <item m="1" x="63"/>
        <item m="1" x="64"/>
        <item m="1" x="65"/>
        <item m="1" x="66"/>
        <item m="1" x="67"/>
        <item m="1" x="56"/>
        <item m="1" x="57"/>
        <item m="1" x="58"/>
        <item m="1" x="59"/>
        <item m="1" x="60"/>
        <item m="1" x="68"/>
        <item m="1" x="70"/>
        <item m="1" x="69"/>
        <item m="1" x="71"/>
        <item m="1" x="73"/>
        <item m="1" x="74"/>
        <item m="1" x="90"/>
        <item m="1" x="75"/>
        <item m="1" x="76"/>
        <item m="1" x="77"/>
        <item m="1" x="78"/>
        <item m="1" x="79"/>
        <item m="1" x="81"/>
        <item m="1" x="80"/>
        <item m="1" x="82"/>
        <item m="1" x="84"/>
        <item m="1" x="85"/>
        <item m="1" x="83"/>
        <item m="1" x="88"/>
        <item m="1" x="87"/>
        <item m="1" x="86"/>
        <item m="1" x="89"/>
        <item m="1" x="91"/>
        <item m="1" x="92"/>
        <item m="1" x="99"/>
        <item m="1" x="98"/>
        <item m="1" x="93"/>
        <item m="1" x="94"/>
        <item m="1" x="95"/>
        <item m="1" x="96"/>
        <item m="1" x="97"/>
        <item h="1" x="39"/>
        <item x="26"/>
        <item m="1" x="40"/>
        <item m="1" x="41"/>
        <item m="1" x="42"/>
        <item x="27"/>
        <item x="28"/>
        <item x="29"/>
        <item x="30"/>
        <item x="31"/>
        <item x="32"/>
        <item x="33"/>
        <item x="34"/>
        <item x="35"/>
        <item x="36"/>
        <item x="37"/>
        <item x="38"/>
      </items>
    </pivotField>
    <pivotField axis="axisRow" compact="0" outline="0" showAll="0" defaultSubtotal="0">
      <items count="127">
        <item x="29"/>
        <item x="23"/>
        <item x="73"/>
        <item x="63"/>
        <item x="64"/>
        <item x="65"/>
        <item x="68"/>
        <item x="67"/>
        <item x="72"/>
        <item x="60"/>
        <item x="22"/>
        <item x="54"/>
        <item x="33"/>
        <item x="55"/>
        <item x="56"/>
        <item x="57"/>
        <item x="74"/>
        <item x="66"/>
        <item x="75"/>
        <item x="61"/>
        <item x="58"/>
        <item x="71"/>
        <item x="59"/>
        <item x="62"/>
        <item x="70"/>
        <item x="0"/>
        <item x="26"/>
        <item x="25"/>
        <item x="27"/>
        <item x="1"/>
        <item x="3"/>
        <item x="28"/>
        <item x="4"/>
        <item x="31"/>
        <item x="5"/>
        <item x="24"/>
        <item x="30"/>
        <item x="6"/>
        <item x="7"/>
        <item x="2"/>
        <item x="34"/>
        <item x="8"/>
        <item x="36"/>
        <item x="9"/>
        <item x="32"/>
        <item x="35"/>
        <item x="10"/>
        <item x="37"/>
        <item x="39"/>
        <item x="38"/>
        <item x="11"/>
        <item x="12"/>
        <item x="40"/>
        <item x="42"/>
        <item x="13"/>
        <item x="41"/>
        <item x="43"/>
        <item x="44"/>
        <item x="14"/>
        <item x="15"/>
        <item x="16"/>
        <item x="45"/>
        <item x="46"/>
        <item x="17"/>
        <item x="47"/>
        <item x="18"/>
        <item x="48"/>
        <item x="49"/>
        <item x="50"/>
        <item x="19"/>
        <item x="20"/>
        <item x="21"/>
        <item x="51"/>
        <item x="52"/>
        <item x="53"/>
        <item x="69"/>
        <item x="99"/>
        <item x="76"/>
        <item x="77"/>
        <item x="78"/>
        <item x="79"/>
        <item x="81"/>
        <item x="80"/>
        <item x="85"/>
        <item x="82"/>
        <item x="83"/>
        <item x="84"/>
        <item x="87"/>
        <item x="86"/>
        <item x="88"/>
        <item x="90"/>
        <item x="91"/>
        <item x="89"/>
        <item x="92"/>
        <item x="93"/>
        <item x="95"/>
        <item x="94"/>
        <item x="96"/>
        <item x="100"/>
        <item x="98"/>
        <item x="97"/>
        <item x="101"/>
        <item x="102"/>
        <item x="104"/>
        <item x="103"/>
        <item x="105"/>
        <item x="106"/>
        <item x="107"/>
        <item x="108"/>
        <item x="126"/>
        <item x="109"/>
        <item x="110"/>
        <item x="111"/>
        <item x="112"/>
        <item x="113"/>
        <item x="114"/>
        <item x="115"/>
        <item x="116"/>
        <item x="117"/>
        <item x="118"/>
        <item x="119"/>
        <item x="120"/>
        <item x="121"/>
        <item x="122"/>
        <item x="123"/>
        <item x="124"/>
        <item x="125"/>
      </items>
    </pivotField>
    <pivotField axis="axisRow" compact="0" outline="0" showAll="0" defaultSubtotal="0">
      <items count="113">
        <item x="10"/>
        <item x="12"/>
        <item x="57"/>
        <item x="46"/>
        <item x="47"/>
        <item x="48"/>
        <item x="7"/>
        <item x="52"/>
        <item x="51"/>
        <item x="56"/>
        <item x="43"/>
        <item x="5"/>
        <item x="9"/>
        <item x="37"/>
        <item x="15"/>
        <item x="0"/>
        <item x="59"/>
        <item x="49"/>
        <item x="38"/>
        <item x="39"/>
        <item x="53"/>
        <item x="40"/>
        <item x="58"/>
        <item x="50"/>
        <item x="44"/>
        <item x="41"/>
        <item x="55"/>
        <item x="8"/>
        <item x="42"/>
        <item x="45"/>
        <item x="54"/>
        <item x="1"/>
        <item x="23"/>
        <item x="3"/>
        <item x="30"/>
        <item x="2"/>
        <item x="13"/>
        <item x="16"/>
        <item x="17"/>
        <item x="22"/>
        <item x="26"/>
        <item x="27"/>
        <item x="29"/>
        <item x="32"/>
        <item x="60"/>
        <item x="4"/>
        <item x="66"/>
        <item x="64"/>
        <item x="35"/>
        <item x="68"/>
        <item x="91"/>
        <item x="94"/>
        <item x="20"/>
        <item x="84"/>
        <item x="61"/>
        <item x="88"/>
        <item x="19"/>
        <item x="69"/>
        <item x="71"/>
        <item x="73"/>
        <item x="76"/>
        <item x="74"/>
        <item x="80"/>
        <item x="79"/>
        <item x="34"/>
        <item x="78"/>
        <item x="92"/>
        <item x="31"/>
        <item x="85"/>
        <item x="89"/>
        <item x="11"/>
        <item x="65"/>
        <item x="86"/>
        <item x="83"/>
        <item x="87"/>
        <item x="70"/>
        <item x="18"/>
        <item x="14"/>
        <item x="21"/>
        <item x="24"/>
        <item x="25"/>
        <item x="28"/>
        <item x="33"/>
        <item x="36"/>
        <item x="62"/>
        <item x="63"/>
        <item x="67"/>
        <item x="72"/>
        <item x="77"/>
        <item x="81"/>
        <item x="82"/>
        <item x="75"/>
        <item x="93"/>
        <item x="90"/>
        <item x="6"/>
        <item x="112"/>
        <item x="95"/>
        <item x="96"/>
        <item x="97"/>
        <item x="98"/>
        <item x="99"/>
        <item x="100"/>
        <item x="101"/>
        <item x="102"/>
        <item x="103"/>
        <item x="104"/>
        <item x="105"/>
        <item x="106"/>
        <item x="107"/>
        <item x="108"/>
        <item x="109"/>
        <item x="110"/>
        <item x="111"/>
      </items>
    </pivotField>
    <pivotField compact="0" outline="0" showAll="0" defaultSubtotal="0"/>
    <pivotField axis="axisRow" compact="0" outline="0" showAll="0" defaultSubtotal="0">
      <items count="162">
        <item x="149"/>
        <item x="32"/>
        <item x="30"/>
        <item x="28"/>
        <item x="0"/>
        <item x="31"/>
        <item x="4"/>
        <item x="3"/>
        <item x="2"/>
        <item x="1"/>
        <item x="5"/>
        <item x="29"/>
        <item x="35"/>
        <item x="9"/>
        <item x="10"/>
        <item x="7"/>
        <item x="6"/>
        <item x="8"/>
        <item x="33"/>
        <item x="34"/>
        <item x="36"/>
        <item x="37"/>
        <item x="39"/>
        <item x="40"/>
        <item x="42"/>
        <item x="38"/>
        <item x="13"/>
        <item x="41"/>
        <item x="43"/>
        <item x="45"/>
        <item x="44"/>
        <item m="1" x="158"/>
        <item x="46"/>
        <item x="48"/>
        <item x="47"/>
        <item m="1" x="159"/>
        <item x="16"/>
        <item x="12"/>
        <item x="14"/>
        <item x="17"/>
        <item x="50"/>
        <item x="19"/>
        <item x="18"/>
        <item x="21"/>
        <item x="20"/>
        <item x="23"/>
        <item x="22"/>
        <item x="11"/>
        <item x="15"/>
        <item x="51"/>
        <item x="52"/>
        <item x="53"/>
        <item x="54"/>
        <item x="55"/>
        <item x="56"/>
        <item x="57"/>
        <item m="1" x="160"/>
        <item x="24"/>
        <item x="25"/>
        <item x="59"/>
        <item x="26"/>
        <item x="27"/>
        <item m="1" x="155"/>
        <item m="1" x="152"/>
        <item x="60"/>
        <item x="61"/>
        <item x="62"/>
        <item x="63"/>
        <item x="64"/>
        <item m="1" x="161"/>
        <item m="1" x="157"/>
        <item m="1" x="156"/>
        <item m="1" x="154"/>
        <item x="86"/>
        <item x="70"/>
        <item x="71"/>
        <item x="72"/>
        <item x="73"/>
        <item x="74"/>
        <item x="75"/>
        <item x="76"/>
        <item x="77"/>
        <item x="78"/>
        <item x="79"/>
        <item x="80"/>
        <item x="81"/>
        <item x="82"/>
        <item x="83"/>
        <item x="84"/>
        <item x="85"/>
        <item x="87"/>
        <item x="88"/>
        <item x="96"/>
        <item x="49"/>
        <item x="58"/>
        <item m="1" x="153"/>
        <item x="89"/>
        <item x="90"/>
        <item x="91"/>
        <item x="92"/>
        <item x="65"/>
        <item x="66"/>
        <item x="67"/>
        <item x="68"/>
        <item x="69"/>
        <item x="93"/>
        <item x="94"/>
        <item x="95"/>
        <item x="97"/>
        <item x="98"/>
        <item x="99"/>
        <item x="100"/>
        <item x="101"/>
        <item x="102"/>
        <item x="103"/>
        <item x="104"/>
        <item x="105"/>
        <item x="106"/>
        <item x="107"/>
        <item x="108"/>
        <item x="109"/>
        <item x="110"/>
        <item x="111"/>
        <item x="112"/>
        <item x="113"/>
        <item x="114"/>
        <item x="115"/>
        <item x="117"/>
        <item x="116"/>
        <item x="118"/>
        <item x="119"/>
        <item x="120"/>
        <item m="1" x="150"/>
        <item x="122"/>
        <item x="123"/>
        <item x="124"/>
        <item m="1" x="151"/>
        <item x="126"/>
        <item x="127"/>
        <item x="128"/>
        <item x="129"/>
        <item x="130"/>
        <item x="131"/>
        <item x="121"/>
        <item x="125"/>
        <item x="132"/>
        <item x="133"/>
        <item x="134"/>
        <item x="135"/>
        <item x="136"/>
        <item x="137"/>
        <item x="138"/>
        <item x="139"/>
        <item x="140"/>
        <item x="141"/>
        <item x="142"/>
        <item x="143"/>
        <item x="144"/>
        <item x="145"/>
        <item x="146"/>
        <item x="147"/>
        <item x="148"/>
      </items>
      <extLst>
        <ext xmlns:x14="http://schemas.microsoft.com/office/spreadsheetml/2009/9/main" uri="{2946ED86-A175-432a-8AC1-64E0C546D7DE}">
          <x14:pivotField fillDownLabels="1"/>
        </ext>
      </extLst>
    </pivotField>
    <pivotField compact="0" outline="0" showAll="0" defaultSubtotal="0"/>
    <pivotField axis="axisRow" compact="0" outline="0" showAll="0" defaultSubtotal="0">
      <items count="144">
        <item x="29"/>
        <item x="7"/>
        <item x="137"/>
        <item x="30"/>
        <item x="22"/>
        <item x="33"/>
        <item x="31"/>
        <item m="1" x="143"/>
        <item x="0"/>
        <item x="32"/>
        <item x="4"/>
        <item x="3"/>
        <item x="2"/>
        <item x="1"/>
        <item x="5"/>
        <item x="35"/>
        <item x="9"/>
        <item x="11"/>
        <item x="10"/>
        <item x="6"/>
        <item x="8"/>
        <item x="34"/>
        <item x="36"/>
        <item x="37"/>
        <item x="39"/>
        <item x="40"/>
        <item x="42"/>
        <item x="38"/>
        <item x="14"/>
        <item x="41"/>
        <item x="43"/>
        <item x="45"/>
        <item x="44"/>
        <item m="1" x="142"/>
        <item x="46"/>
        <item x="48"/>
        <item x="47"/>
        <item x="49"/>
        <item x="17"/>
        <item x="18"/>
        <item x="13"/>
        <item x="15"/>
        <item x="19"/>
        <item x="50"/>
        <item x="21"/>
        <item x="27"/>
        <item x="20"/>
        <item x="23"/>
        <item x="25"/>
        <item x="24"/>
        <item x="12"/>
        <item x="16"/>
        <item x="51"/>
        <item x="52"/>
        <item x="53"/>
        <item x="54"/>
        <item x="55"/>
        <item x="56"/>
        <item x="57"/>
        <item x="58"/>
        <item x="26"/>
        <item x="59"/>
        <item x="28"/>
        <item m="1" x="141"/>
        <item x="60"/>
        <item x="61"/>
        <item x="62"/>
        <item x="63"/>
        <item x="64"/>
        <item x="65"/>
        <item x="66"/>
        <item x="67"/>
        <item x="68"/>
        <item x="82"/>
        <item x="69"/>
        <item x="70"/>
        <item x="71"/>
        <item x="72"/>
        <item x="73"/>
        <item x="74"/>
        <item x="75"/>
        <item x="76"/>
        <item x="77"/>
        <item x="78"/>
        <item x="79"/>
        <item x="80"/>
        <item x="81"/>
        <item x="83"/>
        <item x="84"/>
        <item x="91"/>
        <item x="85"/>
        <item x="86"/>
        <item x="87"/>
        <item x="88"/>
        <item x="89"/>
        <item x="90"/>
        <item x="92"/>
        <item x="93"/>
        <item x="94"/>
        <item x="95"/>
        <item x="96"/>
        <item x="97"/>
        <item x="98"/>
        <item x="99"/>
        <item x="100"/>
        <item x="101"/>
        <item x="102"/>
        <item x="103"/>
        <item x="104"/>
        <item x="105"/>
        <item x="106"/>
        <item x="107"/>
        <item x="108"/>
        <item x="109"/>
        <item x="110"/>
        <item m="1" x="140"/>
        <item x="112"/>
        <item x="113"/>
        <item x="114"/>
        <item x="111"/>
        <item x="116"/>
        <item x="117"/>
        <item m="1" x="139"/>
        <item x="119"/>
        <item x="120"/>
        <item x="121"/>
        <item x="115"/>
        <item x="122"/>
        <item x="118"/>
        <item x="123"/>
        <item x="124"/>
        <item x="125"/>
        <item x="126"/>
        <item x="127"/>
        <item x="128"/>
        <item x="129"/>
        <item m="1" x="138"/>
        <item x="131"/>
        <item x="130"/>
        <item x="132"/>
        <item x="133"/>
        <item x="134"/>
        <item x="135"/>
        <item x="136"/>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8">
    <field x="2"/>
    <field x="3"/>
    <field x="4"/>
    <field x="11"/>
    <field x="22"/>
    <field x="20"/>
    <field x="17"/>
    <field x="18"/>
  </rowFields>
  <rowItems count="23">
    <i>
      <x v="1"/>
      <x v="121"/>
      <x v="4"/>
      <x v="159"/>
      <x v="121"/>
      <x v="138"/>
      <x v="104"/>
      <x v="69"/>
    </i>
    <i>
      <x v="6"/>
      <x v="56"/>
      <x v="3"/>
      <x v="164"/>
      <x v="127"/>
      <x v="90"/>
      <x v="108"/>
      <x v="51"/>
    </i>
    <i r="1">
      <x v="117"/>
      <x v="3"/>
      <x v="163"/>
      <x v="125"/>
      <x v="142"/>
      <x v="107"/>
      <x v="92"/>
    </i>
    <i r="1">
      <x v="124"/>
      <x v="4"/>
      <x v="165"/>
      <x v="129"/>
      <x v="145"/>
      <x v="110"/>
      <x v="96"/>
    </i>
    <i r="1">
      <x v="129"/>
      <x v="3"/>
      <x v="170"/>
      <x v="133"/>
      <x v="150"/>
      <x v="115"/>
      <x v="101"/>
    </i>
    <i>
      <x v="7"/>
      <x v="138"/>
      <x v="3"/>
      <x v="179"/>
      <x v="143"/>
      <x v="159"/>
      <x v="124"/>
      <x v="110"/>
    </i>
    <i>
      <x v="10"/>
      <x v="134"/>
      <x v="3"/>
      <x v="175"/>
      <x v="139"/>
      <x v="155"/>
      <x v="120"/>
      <x v="106"/>
    </i>
    <i r="1">
      <x v="137"/>
      <x v="3"/>
      <x v="178"/>
      <x v="142"/>
      <x v="158"/>
      <x v="123"/>
      <x v="109"/>
    </i>
    <i>
      <x v="12"/>
      <x v="132"/>
      <x v="1"/>
      <x v="173"/>
      <x v="138"/>
      <x v="153"/>
      <x v="118"/>
      <x v="104"/>
    </i>
    <i r="1">
      <x v="136"/>
      <x v="3"/>
      <x v="177"/>
      <x v="141"/>
      <x v="157"/>
      <x v="122"/>
      <x v="108"/>
    </i>
    <i>
      <x v="13"/>
      <x v="106"/>
      <x v="2"/>
      <x v="162"/>
      <x v="124"/>
      <x v="141"/>
      <x v="106"/>
      <x v="66"/>
    </i>
    <i r="1">
      <x v="127"/>
      <x/>
      <x v="168"/>
      <x v="22"/>
      <x v="148"/>
      <x v="113"/>
      <x v="99"/>
    </i>
    <i r="1">
      <x v="130"/>
      <x/>
      <x v="171"/>
      <x v="134"/>
      <x v="151"/>
      <x v="116"/>
      <x v="102"/>
    </i>
    <i r="1">
      <x v="131"/>
      <x v="2"/>
      <x v="172"/>
      <x v="135"/>
      <x v="152"/>
      <x v="117"/>
      <x v="103"/>
    </i>
    <i r="1">
      <x v="135"/>
      <x v="1"/>
      <x v="176"/>
      <x v="140"/>
      <x v="156"/>
      <x v="121"/>
      <x v="107"/>
    </i>
    <i>
      <x v="17"/>
      <x v="122"/>
      <x v="4"/>
      <x v="160"/>
      <x v="128"/>
      <x v="139"/>
      <x v="103"/>
      <x v="93"/>
    </i>
    <i r="1">
      <x v="126"/>
      <x v="2"/>
      <x v="167"/>
      <x v="131"/>
      <x v="147"/>
      <x v="112"/>
      <x v="98"/>
    </i>
    <i>
      <x v="19"/>
      <x v="133"/>
      <x v="4"/>
      <x v="174"/>
      <x v="137"/>
      <x v="154"/>
      <x v="119"/>
      <x v="105"/>
    </i>
    <i r="1">
      <x v="139"/>
      <x v="4"/>
      <x v="180"/>
      <x v="137"/>
      <x v="160"/>
      <x v="125"/>
      <x v="111"/>
    </i>
    <i r="1">
      <x v="140"/>
      <x v="4"/>
      <x v="181"/>
      <x v="137"/>
      <x v="161"/>
      <x v="126"/>
      <x v="112"/>
    </i>
    <i>
      <x v="25"/>
      <x v="125"/>
      <x v="1"/>
      <x v="166"/>
      <x v="130"/>
      <x v="146"/>
      <x v="111"/>
      <x v="97"/>
    </i>
    <i r="1">
      <x v="128"/>
      <x v="3"/>
      <x v="169"/>
      <x v="132"/>
      <x v="149"/>
      <x v="114"/>
      <x v="100"/>
    </i>
    <i>
      <x v="30"/>
      <x v="119"/>
      <x v="1"/>
      <x v="161"/>
      <x v="123"/>
      <x v="140"/>
      <x v="105"/>
      <x v="50"/>
    </i>
  </rowItems>
  <colItems count="1">
    <i/>
  </colItems>
  <pageFields count="1">
    <pageField fld="16" hier="-1"/>
  </pageFields>
  <dataFields count="1">
    <dataField name="Soma de VALOR CONTRATO" fld="26" baseField="0" baseItem="0" numFmtId="4"/>
  </dataFields>
  <formats count="36">
    <format dxfId="298">
      <pivotArea dataOnly="0" labelOnly="1" outline="0" axis="axisValues" fieldPosition="0"/>
    </format>
    <format dxfId="297">
      <pivotArea dataOnly="0" labelOnly="1" outline="0" axis="axisValues" fieldPosition="0"/>
    </format>
    <format dxfId="296">
      <pivotArea field="2" type="button" dataOnly="0" labelOnly="1" outline="0" axis="axisRow" fieldPosition="0"/>
    </format>
    <format dxfId="295">
      <pivotArea field="11" type="button" dataOnly="0" labelOnly="1" outline="0" axis="axisRow" fieldPosition="3"/>
    </format>
    <format dxfId="294">
      <pivotArea field="20" type="button" dataOnly="0" labelOnly="1" outline="0" axis="axisRow" fieldPosition="5"/>
    </format>
    <format dxfId="293">
      <pivotArea field="6" type="button" dataOnly="0" labelOnly="1" outline="0"/>
    </format>
    <format dxfId="292">
      <pivotArea field="22" type="button" dataOnly="0" labelOnly="1" outline="0" axis="axisRow" fieldPosition="4"/>
    </format>
    <format dxfId="291">
      <pivotArea dataOnly="0" labelOnly="1" outline="0" axis="axisValues" fieldPosition="0"/>
    </format>
    <format dxfId="290">
      <pivotArea dataOnly="0" labelOnly="1" outline="0" axis="axisValues" fieldPosition="0"/>
    </format>
    <format dxfId="289">
      <pivotArea field="2" type="button" dataOnly="0" labelOnly="1" outline="0" axis="axisRow" fieldPosition="0"/>
    </format>
    <format dxfId="288">
      <pivotArea field="2" type="button" dataOnly="0" labelOnly="1" outline="0" axis="axisRow" fieldPosition="0"/>
    </format>
    <format dxfId="287">
      <pivotArea field="11" type="button" dataOnly="0" labelOnly="1" outline="0" axis="axisRow" fieldPosition="3"/>
    </format>
    <format dxfId="286">
      <pivotArea field="20" type="button" dataOnly="0" labelOnly="1" outline="0" axis="axisRow" fieldPosition="5"/>
    </format>
    <format dxfId="285">
      <pivotArea field="6" type="button" dataOnly="0" labelOnly="1" outline="0"/>
    </format>
    <format dxfId="284">
      <pivotArea field="22" type="button" dataOnly="0" labelOnly="1" outline="0" axis="axisRow" fieldPosition="4"/>
    </format>
    <format dxfId="283">
      <pivotArea dataOnly="0" labelOnly="1" outline="0" axis="axisValues" fieldPosition="0"/>
    </format>
    <format dxfId="282">
      <pivotArea dataOnly="0" labelOnly="1" outline="0" axis="axisValues" fieldPosition="0"/>
    </format>
    <format dxfId="281">
      <pivotArea field="2" type="button" dataOnly="0" labelOnly="1" outline="0" axis="axisRow" fieldPosition="0"/>
    </format>
    <format dxfId="280">
      <pivotArea dataOnly="0" labelOnly="1" outline="0" fieldPosition="0">
        <references count="1">
          <reference field="2" count="0"/>
        </references>
      </pivotArea>
    </format>
    <format dxfId="279">
      <pivotArea field="2" type="button" dataOnly="0" labelOnly="1" outline="0" axis="axisRow" fieldPosition="0"/>
    </format>
    <format dxfId="278">
      <pivotArea dataOnly="0" labelOnly="1" outline="0" fieldPosition="0">
        <references count="1">
          <reference field="2" count="0"/>
        </references>
      </pivotArea>
    </format>
    <format dxfId="277">
      <pivotArea field="2" type="button" dataOnly="0" labelOnly="1" outline="0" axis="axisRow" fieldPosition="0"/>
    </format>
    <format dxfId="276">
      <pivotArea dataOnly="0" labelOnly="1" outline="0" fieldPosition="0">
        <references count="1">
          <reference field="2" count="0"/>
        </references>
      </pivotArea>
    </format>
    <format dxfId="275">
      <pivotArea dataOnly="0" labelOnly="1" outline="0" fieldPosition="0">
        <references count="1">
          <reference field="2" count="0"/>
        </references>
      </pivotArea>
    </format>
    <format dxfId="274">
      <pivotArea field="6" type="button" dataOnly="0" labelOnly="1" outline="0"/>
    </format>
    <format dxfId="273">
      <pivotArea field="2" type="button" dataOnly="0" labelOnly="1" outline="0" axis="axisRow" fieldPosition="0"/>
    </format>
    <format dxfId="272">
      <pivotArea field="11" type="button" dataOnly="0" labelOnly="1" outline="0" axis="axisRow" fieldPosition="3"/>
    </format>
    <format dxfId="271">
      <pivotArea field="20" type="button" dataOnly="0" labelOnly="1" outline="0" axis="axisRow" fieldPosition="5"/>
    </format>
    <format dxfId="270">
      <pivotArea field="6" type="button" dataOnly="0" labelOnly="1" outline="0"/>
    </format>
    <format dxfId="269">
      <pivotArea field="22" type="button" dataOnly="0" labelOnly="1" outline="0" axis="axisRow" fieldPosition="4"/>
    </format>
    <format dxfId="268">
      <pivotArea dataOnly="0" labelOnly="1" outline="0" axis="axisValues" fieldPosition="0"/>
    </format>
    <format dxfId="267">
      <pivotArea dataOnly="0" labelOnly="1" outline="0" axis="axisValues" fieldPosition="0"/>
    </format>
    <format dxfId="266">
      <pivotArea grandRow="1" outline="0" collapsedLevelsAreSubtotals="1" fieldPosition="0"/>
    </format>
    <format dxfId="265">
      <pivotArea dataOnly="0" labelOnly="1" grandRow="1" outline="0" fieldPosition="0"/>
    </format>
    <format dxfId="264">
      <pivotArea field="20" type="button" dataOnly="0" labelOnly="1" outline="0" axis="axisRow" fieldPosition="5"/>
    </format>
    <format dxfId="263">
      <pivotArea outline="0" fieldPosition="0">
        <references count="1">
          <reference field="4294967294" count="1">
            <x v="0"/>
          </reference>
        </references>
      </pivotArea>
    </format>
  </formats>
  <pivotTableStyleInfo name="PivotStyleDark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600-000007000000}" name="Tabela dinâmica3" cacheId="0" applyNumberFormats="0" applyBorderFormats="0" applyFontFormats="0" applyPatternFormats="0" applyAlignmentFormats="0" applyWidthHeightFormats="1" dataCaption="Valores" updatedVersion="8" minRefreshableVersion="3" useAutoFormatting="1" colGrandTotals="0" itemPrintTitles="1" createdVersion="6" indent="0" compact="0" compactData="0" multipleFieldFilters="0" chartFormat="2">
  <location ref="B5" firstHeaderRow="0" firstDataRow="0" firstDataCol="0" rowPageCount="2" colPageCount="1"/>
  <pivotFields count="36">
    <pivotField compact="0" outline="0" showAll="0" defaultSubtotal="0"/>
    <pivotField compact="0" outline="0" showAll="0" defaultSubtotal="0"/>
    <pivotField compact="0" outline="0" multipleItemSelectionAllowed="1" showAll="0" defaultSubtotal="0">
      <items count="31">
        <item x="5"/>
        <item x="12"/>
        <item x="17"/>
        <item x="7"/>
        <item x="16"/>
        <item x="2"/>
        <item x="14"/>
        <item x="28"/>
        <item x="8"/>
        <item x="0"/>
        <item x="4"/>
        <item x="1"/>
        <item x="6"/>
        <item x="9"/>
        <item x="10"/>
        <item x="3"/>
        <item x="13"/>
        <item x="15"/>
        <item x="18"/>
        <item x="11"/>
        <item x="19"/>
        <item x="20"/>
        <item x="21"/>
        <item x="22"/>
        <item m="1" x="30"/>
        <item x="23"/>
        <item x="24"/>
        <item x="25"/>
        <item x="26"/>
        <item m="1" x="29"/>
        <item x="27"/>
      </items>
    </pivotField>
    <pivotField compact="0" outline="0" showAll="0"/>
    <pivotField compact="0" outline="0" showAll="0"/>
    <pivotField compact="0" outline="0" showAll="0" defaultSubtotal="0"/>
    <pivotField compact="0" outline="0" showAll="0" defaultSubtotal="0">
      <items count="132">
        <item x="10"/>
        <item x="30"/>
        <item x="28"/>
        <item x="25"/>
        <item m="1" x="130"/>
        <item m="1" x="131"/>
        <item x="29"/>
        <item x="3"/>
        <item x="2"/>
        <item x="1"/>
        <item x="4"/>
        <item x="27"/>
        <item x="26"/>
        <item x="32"/>
        <item x="8"/>
        <item x="9"/>
        <item x="6"/>
        <item x="5"/>
        <item x="7"/>
        <item x="31"/>
        <item x="33"/>
        <item x="34"/>
        <item x="36"/>
        <item x="37"/>
        <item x="39"/>
        <item x="35"/>
        <item x="12"/>
        <item x="38"/>
        <item x="40"/>
        <item x="42"/>
        <item x="41"/>
        <item m="1" x="128"/>
        <item x="0"/>
        <item x="43"/>
        <item x="45"/>
        <item x="14"/>
        <item x="11"/>
        <item x="13"/>
        <item x="15"/>
        <item x="47"/>
        <item x="44"/>
        <item x="46"/>
        <item x="17"/>
        <item x="16"/>
        <item x="19"/>
        <item x="18"/>
        <item x="21"/>
        <item x="20"/>
        <item x="22"/>
        <item x="23"/>
        <item x="48"/>
        <item x="24"/>
        <item x="49"/>
        <item x="50"/>
        <item x="51"/>
        <item x="52"/>
        <item x="53"/>
        <item x="54"/>
        <item x="55"/>
        <item x="71"/>
        <item x="56"/>
        <item x="57"/>
        <item x="58"/>
        <item x="59"/>
        <item x="60"/>
        <item x="61"/>
        <item x="62"/>
        <item x="63"/>
        <item x="64"/>
        <item x="65"/>
        <item x="66"/>
        <item x="67"/>
        <item x="68"/>
        <item x="69"/>
        <item x="70"/>
        <item x="72"/>
        <item x="73"/>
        <item m="1" x="127"/>
        <item m="1" x="129"/>
        <item x="74"/>
        <item x="75"/>
        <item x="76"/>
        <item x="77"/>
        <item x="78"/>
        <item x="79"/>
        <item x="80"/>
        <item x="81"/>
        <item x="82"/>
        <item x="83"/>
        <item x="84"/>
        <item x="85"/>
        <item x="86"/>
        <item x="87"/>
        <item x="88"/>
        <item x="89"/>
        <item x="90"/>
        <item x="91"/>
        <item x="92"/>
        <item x="93"/>
        <item x="94"/>
        <item x="95"/>
        <item x="96"/>
        <item x="97"/>
        <item x="99"/>
        <item x="98"/>
        <item x="100"/>
        <item x="101"/>
        <item x="102"/>
        <item x="103"/>
        <item x="104"/>
        <item x="105"/>
        <item x="106"/>
        <item x="107"/>
        <item x="108"/>
        <item x="109"/>
        <item x="110"/>
        <item x="111"/>
        <item x="112"/>
        <item x="113"/>
        <item x="114"/>
        <item x="115"/>
        <item x="116"/>
        <item x="117"/>
        <item x="118"/>
        <item x="119"/>
        <item x="120"/>
        <item x="121"/>
        <item x="122"/>
        <item x="123"/>
        <item x="124"/>
        <item x="125"/>
        <item x="126"/>
      </items>
    </pivotField>
    <pivotField compact="0" outline="0" showAll="0" defaultSubtotal="0"/>
    <pivotField compact="0" outline="0" showAll="0" defaultSubtotal="0"/>
    <pivotField compact="0" outline="0" showAll="0"/>
    <pivotField compact="0" outline="0" showAll="0"/>
    <pivotField compact="0" outline="0" showAll="0" defaultSubtotal="0">
      <items count="185">
        <item x="155"/>
        <item x="36"/>
        <item x="34"/>
        <item x="31"/>
        <item m="1" x="165"/>
        <item m="1" x="177"/>
        <item x="0"/>
        <item x="35"/>
        <item x="4"/>
        <item x="3"/>
        <item x="2"/>
        <item x="1"/>
        <item x="5"/>
        <item x="33"/>
        <item m="1" x="175"/>
        <item x="9"/>
        <item x="11"/>
        <item x="10"/>
        <item x="7"/>
        <item x="6"/>
        <item x="8"/>
        <item x="37"/>
        <item x="38"/>
        <item x="40"/>
        <item x="41"/>
        <item x="43"/>
        <item x="44"/>
        <item x="46"/>
        <item x="42"/>
        <item x="14"/>
        <item x="15"/>
        <item x="45"/>
        <item x="47"/>
        <item x="49"/>
        <item x="48"/>
        <item m="1" x="162"/>
        <item x="32"/>
        <item x="50"/>
        <item m="1" x="183"/>
        <item x="51"/>
        <item x="53"/>
        <item x="18"/>
        <item x="19"/>
        <item x="13"/>
        <item x="16"/>
        <item x="20"/>
        <item x="54"/>
        <item x="22"/>
        <item x="25"/>
        <item x="21"/>
        <item x="24"/>
        <item x="23"/>
        <item x="26"/>
        <item x="12"/>
        <item x="17"/>
        <item x="55"/>
        <item x="56"/>
        <item x="57"/>
        <item x="58"/>
        <item x="59"/>
        <item x="60"/>
        <item x="61"/>
        <item x="62"/>
        <item x="27"/>
        <item x="28"/>
        <item x="63"/>
        <item x="29"/>
        <item x="30"/>
        <item m="1" x="180"/>
        <item m="1" x="181"/>
        <item m="1" x="182"/>
        <item m="1" x="166"/>
        <item m="1" x="167"/>
        <item m="1" x="168"/>
        <item m="1" x="170"/>
        <item m="1" x="171"/>
        <item m="1" x="172"/>
        <item m="1" x="173"/>
        <item m="1" x="174"/>
        <item m="1" x="176"/>
        <item m="1" x="163"/>
        <item x="64"/>
        <item x="39"/>
        <item x="52"/>
        <item x="65"/>
        <item x="66"/>
        <item x="67"/>
        <item x="68"/>
        <item x="69"/>
        <item x="70"/>
        <item x="71"/>
        <item x="72"/>
        <item x="73"/>
        <item m="1" x="164"/>
        <item m="1" x="178"/>
        <item x="90"/>
        <item m="1" x="179"/>
        <item x="74"/>
        <item x="75"/>
        <item x="76"/>
        <item x="77"/>
        <item x="78"/>
        <item x="79"/>
        <item x="80"/>
        <item x="81"/>
        <item x="82"/>
        <item x="83"/>
        <item x="84"/>
        <item x="85"/>
        <item x="86"/>
        <item x="87"/>
        <item x="88"/>
        <item x="89"/>
        <item x="91"/>
        <item x="92"/>
        <item m="1" x="184"/>
        <item m="1" x="169"/>
        <item x="93"/>
        <item x="94"/>
        <item x="95"/>
        <item x="96"/>
        <item x="97"/>
        <item x="98"/>
        <item x="127"/>
        <item x="99"/>
        <item x="100"/>
        <item x="101"/>
        <item x="102"/>
        <item x="103"/>
        <item x="104"/>
        <item x="105"/>
        <item x="106"/>
        <item x="110"/>
        <item x="111"/>
        <item x="120"/>
        <item x="121"/>
        <item m="1" x="160"/>
        <item m="1" x="161"/>
        <item x="107"/>
        <item x="108"/>
        <item x="109"/>
        <item x="112"/>
        <item x="113"/>
        <item x="114"/>
        <item x="115"/>
        <item x="116"/>
        <item x="117"/>
        <item x="118"/>
        <item x="119"/>
        <item x="123"/>
        <item x="128"/>
        <item x="122"/>
        <item m="1" x="159"/>
        <item x="124"/>
        <item x="125"/>
        <item x="126"/>
        <item x="129"/>
        <item x="130"/>
        <item x="131"/>
        <item x="132"/>
        <item x="133"/>
        <item x="134"/>
        <item x="135"/>
        <item x="136"/>
        <item x="137"/>
        <item x="138"/>
        <item x="139"/>
        <item x="140"/>
        <item x="141"/>
        <item x="142"/>
        <item x="143"/>
        <item x="144"/>
        <item x="145"/>
        <item x="146"/>
        <item x="147"/>
        <item x="148"/>
        <item x="149"/>
        <item x="150"/>
        <item x="151"/>
        <item x="152"/>
        <item x="153"/>
        <item x="154"/>
        <item x="156"/>
        <item x="157"/>
        <item x="158"/>
      </items>
    </pivotField>
    <pivotField compact="0" outline="0" showAll="0"/>
    <pivotField compact="0" outline="0" showAll="0"/>
    <pivotField compact="0" outline="0" showAll="0" defaultSubtotal="0"/>
    <pivotField axis="axisPage" compact="0" outline="0" multipleItemSelectionAllowed="1" showAll="0" defaultSubtotal="0">
      <items count="4">
        <item x="0"/>
        <item x="1"/>
        <item x="2"/>
        <item x="3"/>
      </items>
    </pivotField>
    <pivotField axis="axisPage" compact="0" outline="0" multipleItemSelectionAllowed="1" showAll="0" defaultSubtotal="0">
      <items count="102">
        <item h="1" m="1" x="43"/>
        <item h="1" m="1" x="44"/>
        <item h="1" m="1" x="45"/>
        <item h="1" m="1" x="46"/>
        <item h="1" m="1" x="47"/>
        <item h="1" m="1" x="48"/>
        <item h="1" m="1" x="49"/>
        <item h="1" m="1" x="50"/>
        <item h="1" m="1" x="51"/>
        <item h="1" m="1" x="52"/>
        <item h="1" m="1" x="53"/>
        <item h="1" m="1" x="54"/>
        <item h="1" m="1" x="55"/>
        <item h="1" m="1" x="56"/>
        <item h="1" m="1" x="57"/>
        <item h="1" m="1" x="58"/>
        <item h="1" m="1" x="59"/>
        <item h="1" m="1" x="60"/>
        <item h="1" m="1" x="61"/>
        <item h="1" m="1" x="62"/>
        <item h="1" m="1" x="63"/>
        <item h="1" m="1" x="64"/>
        <item h="1" m="1" x="65"/>
        <item h="1" m="1" x="66"/>
        <item h="1" m="1" x="67"/>
        <item m="1" x="68"/>
        <item m="1" x="69"/>
        <item m="1" x="70"/>
        <item m="1" x="71"/>
        <item h="1" m="1" x="72"/>
        <item m="1" x="73"/>
        <item m="1" x="74"/>
        <item m="1" x="75"/>
        <item m="1" x="76"/>
        <item h="1" m="1" x="101"/>
        <item h="1" x="39"/>
        <item m="1" x="77"/>
        <item m="1" x="100"/>
        <item m="1" x="79"/>
        <item h="1" m="1" x="83"/>
        <item h="1" m="1" x="78"/>
        <item h="1" m="1" x="80"/>
        <item h="1" m="1" x="81"/>
        <item h="1" m="1" x="82"/>
        <item h="1" m="1" x="84"/>
        <item h="1" m="1" x="85"/>
        <item h="1" m="1" x="86"/>
        <item h="1" m="1" x="88"/>
        <item h="1" m="1" x="87"/>
        <item h="1" m="1" x="89"/>
        <item h="1" m="1" x="90"/>
        <item h="1" m="1" x="91"/>
        <item h="1" m="1" x="92"/>
        <item h="1" m="1" x="99"/>
        <item h="1" m="1" x="98"/>
        <item h="1" m="1" x="93"/>
        <item h="1" m="1" x="94"/>
        <item h="1" m="1" x="95"/>
        <item h="1" m="1" x="96"/>
        <item h="1" m="1" x="97"/>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m="1" x="40"/>
        <item h="1" m="1" x="41"/>
        <item h="1" m="1" x="42"/>
        <item h="1" x="27"/>
        <item h="1" x="28"/>
        <item h="1" x="29"/>
        <item h="1" x="30"/>
        <item h="1" x="31"/>
        <item h="1" x="32"/>
        <item h="1" x="33"/>
        <item h="1" x="34"/>
        <item h="1" x="35"/>
        <item h="1" x="36"/>
        <item h="1" x="37"/>
        <item h="1" x="38"/>
      </items>
    </pivotField>
    <pivotField compact="0" outline="0" showAll="0"/>
    <pivotField compact="0" outline="0" showAll="0"/>
    <pivotField compact="0" outline="0" showAll="0" defaultSubtotal="0"/>
    <pivotField compact="0" outline="0" showAll="0" defaultSubtotal="0">
      <items count="162">
        <item x="149"/>
        <item x="32"/>
        <item x="30"/>
        <item x="28"/>
        <item x="0"/>
        <item x="31"/>
        <item x="4"/>
        <item x="3"/>
        <item x="2"/>
        <item x="1"/>
        <item x="5"/>
        <item x="29"/>
        <item x="35"/>
        <item x="9"/>
        <item x="10"/>
        <item x="7"/>
        <item x="6"/>
        <item x="8"/>
        <item x="33"/>
        <item x="34"/>
        <item x="36"/>
        <item x="37"/>
        <item x="39"/>
        <item x="40"/>
        <item x="42"/>
        <item x="38"/>
        <item x="13"/>
        <item x="41"/>
        <item x="43"/>
        <item x="45"/>
        <item x="44"/>
        <item m="1" x="158"/>
        <item x="46"/>
        <item x="48"/>
        <item x="47"/>
        <item m="1" x="159"/>
        <item x="16"/>
        <item x="12"/>
        <item x="14"/>
        <item x="17"/>
        <item x="50"/>
        <item x="19"/>
        <item x="18"/>
        <item x="21"/>
        <item x="20"/>
        <item x="23"/>
        <item x="22"/>
        <item x="11"/>
        <item x="15"/>
        <item x="51"/>
        <item x="52"/>
        <item x="53"/>
        <item x="54"/>
        <item x="55"/>
        <item x="56"/>
        <item x="57"/>
        <item m="1" x="160"/>
        <item x="24"/>
        <item x="25"/>
        <item x="59"/>
        <item x="26"/>
        <item x="27"/>
        <item m="1" x="155"/>
        <item m="1" x="152"/>
        <item x="60"/>
        <item x="61"/>
        <item x="62"/>
        <item x="63"/>
        <item x="64"/>
        <item m="1" x="161"/>
        <item m="1" x="157"/>
        <item m="1" x="156"/>
        <item m="1" x="154"/>
        <item x="86"/>
        <item x="70"/>
        <item x="71"/>
        <item x="72"/>
        <item x="73"/>
        <item x="74"/>
        <item x="75"/>
        <item x="76"/>
        <item x="77"/>
        <item x="78"/>
        <item x="79"/>
        <item x="80"/>
        <item x="81"/>
        <item x="82"/>
        <item x="83"/>
        <item x="84"/>
        <item x="85"/>
        <item x="87"/>
        <item x="88"/>
        <item x="96"/>
        <item x="49"/>
        <item x="58"/>
        <item m="1" x="153"/>
        <item x="89"/>
        <item x="90"/>
        <item x="91"/>
        <item x="92"/>
        <item x="65"/>
        <item x="66"/>
        <item x="67"/>
        <item x="68"/>
        <item x="69"/>
        <item x="93"/>
        <item x="94"/>
        <item x="95"/>
        <item x="97"/>
        <item x="98"/>
        <item x="99"/>
        <item x="100"/>
        <item x="101"/>
        <item x="102"/>
        <item x="103"/>
        <item x="104"/>
        <item x="105"/>
        <item x="106"/>
        <item x="107"/>
        <item x="108"/>
        <item x="109"/>
        <item x="110"/>
        <item x="111"/>
        <item x="112"/>
        <item x="113"/>
        <item x="114"/>
        <item x="115"/>
        <item x="117"/>
        <item x="116"/>
        <item x="118"/>
        <item x="119"/>
        <item x="120"/>
        <item m="1" x="150"/>
        <item x="122"/>
        <item x="123"/>
        <item x="124"/>
        <item m="1" x="151"/>
        <item x="126"/>
        <item x="127"/>
        <item x="128"/>
        <item x="129"/>
        <item x="130"/>
        <item x="131"/>
        <item x="121"/>
        <item x="125"/>
        <item x="132"/>
        <item x="133"/>
        <item x="134"/>
        <item x="135"/>
        <item x="136"/>
        <item x="137"/>
        <item x="138"/>
        <item x="139"/>
        <item x="140"/>
        <item x="141"/>
        <item x="142"/>
        <item x="143"/>
        <item x="144"/>
        <item x="145"/>
        <item x="146"/>
        <item x="147"/>
        <item x="148"/>
      </items>
    </pivotField>
    <pivotField compact="0" outline="0" showAll="0" defaultSubtotal="0"/>
    <pivotField compact="0" outline="0" showAll="0" defaultSubtotal="0">
      <items count="144">
        <item x="29"/>
        <item x="7"/>
        <item x="137"/>
        <item x="30"/>
        <item x="22"/>
        <item x="33"/>
        <item x="31"/>
        <item m="1" x="143"/>
        <item x="0"/>
        <item x="32"/>
        <item x="4"/>
        <item x="3"/>
        <item x="2"/>
        <item x="1"/>
        <item x="5"/>
        <item x="35"/>
        <item x="9"/>
        <item x="11"/>
        <item x="10"/>
        <item x="6"/>
        <item x="8"/>
        <item x="34"/>
        <item x="36"/>
        <item x="37"/>
        <item x="39"/>
        <item x="40"/>
        <item x="42"/>
        <item x="38"/>
        <item x="14"/>
        <item x="41"/>
        <item x="43"/>
        <item x="45"/>
        <item x="44"/>
        <item m="1" x="142"/>
        <item x="46"/>
        <item x="48"/>
        <item x="47"/>
        <item x="49"/>
        <item x="17"/>
        <item x="18"/>
        <item x="13"/>
        <item x="15"/>
        <item x="19"/>
        <item x="50"/>
        <item x="21"/>
        <item x="27"/>
        <item x="20"/>
        <item x="23"/>
        <item x="25"/>
        <item x="24"/>
        <item x="12"/>
        <item x="16"/>
        <item x="51"/>
        <item x="52"/>
        <item x="53"/>
        <item x="54"/>
        <item x="55"/>
        <item x="56"/>
        <item x="57"/>
        <item x="58"/>
        <item x="26"/>
        <item x="59"/>
        <item x="28"/>
        <item m="1" x="141"/>
        <item x="60"/>
        <item x="61"/>
        <item x="62"/>
        <item x="63"/>
        <item x="64"/>
        <item x="65"/>
        <item x="66"/>
        <item x="67"/>
        <item x="68"/>
        <item x="82"/>
        <item x="69"/>
        <item x="70"/>
        <item x="71"/>
        <item x="72"/>
        <item x="73"/>
        <item x="74"/>
        <item x="75"/>
        <item x="76"/>
        <item x="77"/>
        <item x="78"/>
        <item x="79"/>
        <item x="80"/>
        <item x="81"/>
        <item x="83"/>
        <item x="84"/>
        <item x="91"/>
        <item x="85"/>
        <item x="86"/>
        <item x="87"/>
        <item x="88"/>
        <item x="89"/>
        <item x="90"/>
        <item x="92"/>
        <item x="93"/>
        <item x="94"/>
        <item x="95"/>
        <item x="96"/>
        <item x="97"/>
        <item x="98"/>
        <item x="99"/>
        <item x="100"/>
        <item x="101"/>
        <item x="102"/>
        <item x="103"/>
        <item x="104"/>
        <item x="105"/>
        <item x="106"/>
        <item x="107"/>
        <item x="108"/>
        <item x="109"/>
        <item x="110"/>
        <item m="1" x="140"/>
        <item x="112"/>
        <item x="113"/>
        <item x="114"/>
        <item x="111"/>
        <item x="116"/>
        <item x="117"/>
        <item m="1" x="139"/>
        <item x="119"/>
        <item x="120"/>
        <item x="121"/>
        <item x="115"/>
        <item x="122"/>
        <item x="118"/>
        <item x="123"/>
        <item x="124"/>
        <item x="125"/>
        <item x="126"/>
        <item x="127"/>
        <item x="128"/>
        <item x="129"/>
        <item m="1" x="138"/>
        <item x="131"/>
        <item x="130"/>
        <item x="132"/>
        <item x="133"/>
        <item x="134"/>
        <item x="135"/>
        <item x="136"/>
      </items>
    </pivotField>
    <pivotField compact="0" outline="0" showAll="0"/>
    <pivotField compact="0" outline="0" showAll="0" defaultSubtotal="0"/>
    <pivotField compact="0" outline="0" showAll="0" defaultSubtota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s>
  <pageFields count="2">
    <pageField fld="15" hier="-1"/>
    <pageField fld="16" hier="-1"/>
  </pageFields>
  <formats count="20">
    <format dxfId="262">
      <pivotArea dataOnly="0" labelOnly="1" outline="0" axis="axisValues" fieldPosition="0"/>
    </format>
    <format dxfId="261">
      <pivotArea dataOnly="0" labelOnly="1" outline="0" axis="axisValues" fieldPosition="0"/>
    </format>
    <format dxfId="260">
      <pivotArea field="2" type="button" dataOnly="0" labelOnly="1" outline="0"/>
    </format>
    <format dxfId="259">
      <pivotArea field="11" type="button" dataOnly="0" labelOnly="1" outline="0"/>
    </format>
    <format dxfId="258">
      <pivotArea field="20" type="button" dataOnly="0" labelOnly="1" outline="0"/>
    </format>
    <format dxfId="257">
      <pivotArea field="6" type="button" dataOnly="0" labelOnly="1" outline="0"/>
    </format>
    <format dxfId="256">
      <pivotArea field="22" type="button" dataOnly="0" labelOnly="1" outline="0"/>
    </format>
    <format dxfId="255">
      <pivotArea dataOnly="0" labelOnly="1" outline="0" axis="axisValues" fieldPosition="0"/>
    </format>
    <format dxfId="254">
      <pivotArea dataOnly="0" labelOnly="1" outline="0" axis="axisValues" fieldPosition="0"/>
    </format>
    <format dxfId="253">
      <pivotArea field="2" type="button" dataOnly="0" labelOnly="1" outline="0"/>
    </format>
    <format dxfId="252">
      <pivotArea field="2" type="button" dataOnly="0" labelOnly="1" outline="0"/>
    </format>
    <format dxfId="251">
      <pivotArea field="11" type="button" dataOnly="0" labelOnly="1" outline="0"/>
    </format>
    <format dxfId="250">
      <pivotArea field="20" type="button" dataOnly="0" labelOnly="1" outline="0"/>
    </format>
    <format dxfId="249">
      <pivotArea field="6" type="button" dataOnly="0" labelOnly="1" outline="0"/>
    </format>
    <format dxfId="248">
      <pivotArea field="22" type="button" dataOnly="0" labelOnly="1" outline="0"/>
    </format>
    <format dxfId="247">
      <pivotArea dataOnly="0" labelOnly="1" outline="0" axis="axisValues" fieldPosition="0"/>
    </format>
    <format dxfId="246">
      <pivotArea dataOnly="0" labelOnly="1" outline="0" axis="axisValues" fieldPosition="0"/>
    </format>
    <format dxfId="245">
      <pivotArea field="2" type="button" dataOnly="0" labelOnly="1" outline="0"/>
    </format>
    <format dxfId="244">
      <pivotArea field="2" type="button" dataOnly="0" labelOnly="1" outline="0"/>
    </format>
    <format dxfId="243">
      <pivotArea field="2" type="button" dataOnly="0" labelOnly="1" outline="0"/>
    </format>
  </formats>
  <pivotTableStyleInfo name="PivotStyleDark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4999D2F-BEAE-4C52-A591-B3CFD132A05B}" name="Tabela dinâmica5" cacheId="0" applyNumberFormats="0" applyBorderFormats="0" applyFontFormats="0" applyPatternFormats="0" applyAlignmentFormats="0" applyWidthHeightFormats="1" dataCaption="Valores" updatedVersion="8" minRefreshableVersion="3" rowGrandTotals="0" colGrandTotals="0" itemPrintTitles="1" createdVersion="6" indent="0" compact="0" compactData="0" multipleFieldFilters="0">
  <location ref="B8:F140" firstHeaderRow="1" firstDataRow="1" firstDataCol="5" rowPageCount="2" colPageCount="1"/>
  <pivotFields count="36">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 axis="axisRow" compact="0" outline="0" showAll="0" defaultSubtotal="0">
      <items count="185">
        <item m="1" x="175"/>
        <item x="0"/>
        <item x="1"/>
        <item x="2"/>
        <item x="3"/>
        <item x="4"/>
        <item x="5"/>
        <item x="6"/>
        <item x="7"/>
        <item x="8"/>
        <item x="9"/>
        <item x="10"/>
        <item x="11"/>
        <item m="1" x="165"/>
        <item m="1" x="177"/>
        <item x="31"/>
        <item x="34"/>
        <item x="35"/>
        <item x="36"/>
        <item x="155"/>
        <item x="33"/>
        <item x="37"/>
        <item x="38"/>
        <item x="40"/>
        <item x="41"/>
        <item x="43"/>
        <item x="44"/>
        <item x="46"/>
        <item x="42"/>
        <item x="14"/>
        <item x="15"/>
        <item x="45"/>
        <item x="47"/>
        <item x="49"/>
        <item x="48"/>
        <item m="1" x="162"/>
        <item x="32"/>
        <item x="50"/>
        <item m="1" x="183"/>
        <item x="51"/>
        <item x="53"/>
        <item x="18"/>
        <item x="19"/>
        <item x="13"/>
        <item x="16"/>
        <item x="20"/>
        <item x="54"/>
        <item x="22"/>
        <item x="25"/>
        <item x="21"/>
        <item x="24"/>
        <item x="23"/>
        <item x="26"/>
        <item x="12"/>
        <item x="17"/>
        <item x="55"/>
        <item x="56"/>
        <item x="57"/>
        <item x="58"/>
        <item x="59"/>
        <item x="60"/>
        <item x="61"/>
        <item x="62"/>
        <item x="27"/>
        <item x="28"/>
        <item x="63"/>
        <item x="29"/>
        <item x="30"/>
        <item m="1" x="180"/>
        <item m="1" x="181"/>
        <item m="1" x="182"/>
        <item m="1" x="166"/>
        <item m="1" x="167"/>
        <item m="1" x="168"/>
        <item m="1" x="170"/>
        <item m="1" x="171"/>
        <item m="1" x="172"/>
        <item m="1" x="173"/>
        <item m="1" x="174"/>
        <item m="1" x="176"/>
        <item m="1" x="163"/>
        <item x="64"/>
        <item sd="0" x="39"/>
        <item x="52"/>
        <item x="65"/>
        <item x="66"/>
        <item x="67"/>
        <item x="68"/>
        <item x="69"/>
        <item x="70"/>
        <item x="71"/>
        <item x="72"/>
        <item x="73"/>
        <item m="1" x="164"/>
        <item m="1" x="178"/>
        <item x="90"/>
        <item m="1" x="179"/>
        <item x="74"/>
        <item x="75"/>
        <item x="76"/>
        <item x="77"/>
        <item x="78"/>
        <item x="79"/>
        <item x="80"/>
        <item x="81"/>
        <item x="82"/>
        <item x="83"/>
        <item x="84"/>
        <item x="85"/>
        <item x="86"/>
        <item x="87"/>
        <item x="88"/>
        <item x="89"/>
        <item x="91"/>
        <item x="92"/>
        <item m="1" x="184"/>
        <item m="1" x="169"/>
        <item x="93"/>
        <item x="94"/>
        <item x="95"/>
        <item x="96"/>
        <item x="97"/>
        <item x="98"/>
        <item x="127"/>
        <item x="99"/>
        <item x="100"/>
        <item x="101"/>
        <item x="102"/>
        <item x="103"/>
        <item x="104"/>
        <item x="105"/>
        <item x="106"/>
        <item x="110"/>
        <item x="111"/>
        <item x="120"/>
        <item x="121"/>
        <item m="1" x="160"/>
        <item m="1" x="161"/>
        <item x="107"/>
        <item x="108"/>
        <item x="109"/>
        <item x="112"/>
        <item x="113"/>
        <item x="114"/>
        <item x="115"/>
        <item x="116"/>
        <item x="117"/>
        <item x="118"/>
        <item x="119"/>
        <item x="123"/>
        <item x="128"/>
        <item x="122"/>
        <item m="1" x="159"/>
        <item x="124"/>
        <item x="125"/>
        <item x="126"/>
        <item x="129"/>
        <item x="130"/>
        <item x="131"/>
        <item x="132"/>
        <item x="133"/>
        <item x="134"/>
        <item x="135"/>
        <item x="136"/>
        <item x="137"/>
        <item x="138"/>
        <item x="139"/>
        <item x="140"/>
        <item x="141"/>
        <item x="142"/>
        <item x="143"/>
        <item x="144"/>
        <item x="145"/>
        <item x="146"/>
        <item x="147"/>
        <item x="148"/>
        <item x="149"/>
        <item x="150"/>
        <item x="151"/>
        <item x="152"/>
        <item x="153"/>
        <item x="154"/>
        <item x="156"/>
        <item x="157"/>
        <item x="158"/>
      </items>
      <extLst>
        <ext xmlns:x14="http://schemas.microsoft.com/office/spreadsheetml/2009/9/main" uri="{2946ED86-A175-432a-8AC1-64E0C546D7DE}">
          <x14:pivotField fillDownLabels="1"/>
        </ext>
      </extLst>
    </pivotField>
    <pivotField compact="0" outline="0" showAll="0"/>
    <pivotField compact="0" outline="0" showAll="0"/>
    <pivotField axis="axisRow" compact="0" outline="0" showAll="0" defaultSubtotal="0">
      <items count="100">
        <item x="1"/>
        <item x="27"/>
        <item x="29"/>
        <item x="34"/>
        <item x="21"/>
        <item x="26"/>
        <item x="5"/>
        <item x="6"/>
        <item x="30"/>
        <item x="3"/>
        <item x="10"/>
        <item x="32"/>
        <item x="28"/>
        <item x="4"/>
        <item x="31"/>
        <item x="20"/>
        <item x="8"/>
        <item x="13"/>
        <item x="23"/>
        <item x="22"/>
        <item x="33"/>
        <item x="2"/>
        <item x="24"/>
        <item x="25"/>
        <item x="0"/>
        <item x="7"/>
        <item x="93"/>
        <item m="1" x="97"/>
        <item x="35"/>
        <item x="12"/>
        <item x="9"/>
        <item x="36"/>
        <item x="38"/>
        <item x="37"/>
        <item x="14"/>
        <item x="15"/>
        <item x="11"/>
        <item x="16"/>
        <item x="39"/>
        <item x="40"/>
        <item x="41"/>
        <item x="42"/>
        <item x="43"/>
        <item x="44"/>
        <item x="45"/>
        <item x="17"/>
        <item x="46"/>
        <item x="18"/>
        <item x="19"/>
        <item x="47"/>
        <item m="1" x="95"/>
        <item x="48"/>
        <item x="49"/>
        <item x="50"/>
        <item m="1" x="98"/>
        <item x="51"/>
        <item x="52"/>
        <item m="1" x="99"/>
        <item x="53"/>
        <item x="54"/>
        <item x="55"/>
        <item x="56"/>
        <item x="57"/>
        <item x="58"/>
        <item x="60"/>
        <item x="59"/>
        <item x="61"/>
        <item x="62"/>
        <item x="63"/>
        <item x="64"/>
        <item x="65"/>
        <item m="1" x="96"/>
        <item x="66"/>
        <item m="1" x="94"/>
        <item x="68"/>
        <item x="69"/>
        <item x="70"/>
        <item x="71"/>
        <item x="72"/>
        <item x="73"/>
        <item x="76"/>
        <item x="77"/>
        <item x="75"/>
        <item x="78"/>
        <item x="79"/>
        <item x="80"/>
        <item x="74"/>
        <item x="81"/>
        <item x="82"/>
        <item x="83"/>
        <item x="84"/>
        <item x="85"/>
        <item x="86"/>
        <item x="87"/>
        <item x="67"/>
        <item x="88"/>
        <item x="89"/>
        <item x="90"/>
        <item x="91"/>
        <item x="92"/>
      </items>
    </pivotField>
    <pivotField axis="axisPage" compact="0" outline="0" multipleItemSelectionAllowed="1" showAll="0" defaultSubtotal="0">
      <items count="4">
        <item x="0"/>
        <item x="1"/>
        <item h="1" x="2"/>
        <item h="1" x="3"/>
      </items>
    </pivotField>
    <pivotField compact="0" outline="0" showAll="0" defaultSubtotal="0"/>
    <pivotField compact="0" outline="0" showAll="0"/>
    <pivotField compact="0" outline="0" showAll="0"/>
    <pivotField compact="0" outline="0" showAll="0" defaultSubtotal="0"/>
    <pivotField axis="axisRow" compact="0" outline="0" showAll="0" defaultSubtotal="0">
      <items count="162">
        <item x="3"/>
        <item x="9"/>
        <item x="35"/>
        <item x="2"/>
        <item x="10"/>
        <item x="32"/>
        <item x="0"/>
        <item x="8"/>
        <item x="7"/>
        <item x="31"/>
        <item x="30"/>
        <item x="4"/>
        <item x="1"/>
        <item x="6"/>
        <item x="28"/>
        <item x="29"/>
        <item x="5"/>
        <item x="149"/>
        <item x="33"/>
        <item x="34"/>
        <item x="36"/>
        <item x="37"/>
        <item x="39"/>
        <item x="40"/>
        <item x="42"/>
        <item x="38"/>
        <item x="13"/>
        <item x="41"/>
        <item x="43"/>
        <item x="45"/>
        <item x="44"/>
        <item m="1" x="158"/>
        <item x="46"/>
        <item x="48"/>
        <item x="47"/>
        <item m="1" x="159"/>
        <item x="16"/>
        <item x="12"/>
        <item x="14"/>
        <item x="17"/>
        <item x="50"/>
        <item x="19"/>
        <item x="18"/>
        <item x="21"/>
        <item x="20"/>
        <item x="23"/>
        <item x="22"/>
        <item x="11"/>
        <item x="15"/>
        <item x="51"/>
        <item x="52"/>
        <item x="53"/>
        <item x="54"/>
        <item x="55"/>
        <item x="56"/>
        <item x="57"/>
        <item m="1" x="160"/>
        <item x="24"/>
        <item x="25"/>
        <item x="59"/>
        <item x="26"/>
        <item x="27"/>
        <item m="1" x="155"/>
        <item m="1" x="152"/>
        <item x="60"/>
        <item x="61"/>
        <item x="62"/>
        <item x="63"/>
        <item x="64"/>
        <item m="1" x="161"/>
        <item m="1" x="157"/>
        <item m="1" x="156"/>
        <item m="1" x="154"/>
        <item x="86"/>
        <item x="70"/>
        <item x="71"/>
        <item x="72"/>
        <item x="73"/>
        <item x="74"/>
        <item x="75"/>
        <item x="76"/>
        <item x="77"/>
        <item x="78"/>
        <item x="79"/>
        <item x="80"/>
        <item x="81"/>
        <item x="82"/>
        <item x="83"/>
        <item x="84"/>
        <item x="85"/>
        <item x="87"/>
        <item x="88"/>
        <item x="96"/>
        <item x="49"/>
        <item x="58"/>
        <item m="1" x="153"/>
        <item x="89"/>
        <item x="90"/>
        <item n="O presente contrato tem por objeto a contratação de  empresa  especializada  para  a  prestação  de serviços continuados de transporte, com fornecimento de veículos e mão de obra de motoristas habilitados, para o  transporte  de  pessoas  para  atender  " x="91"/>
        <item x="92"/>
        <item x="65"/>
        <item x="66"/>
        <item x="67"/>
        <item x="68"/>
        <item x="69"/>
        <item x="93"/>
        <item x="94"/>
        <item x="95"/>
        <item x="97"/>
        <item x="98"/>
        <item x="99"/>
        <item x="100"/>
        <item x="101"/>
        <item x="102"/>
        <item x="103"/>
        <item x="104"/>
        <item x="105"/>
        <item x="106"/>
        <item x="107"/>
        <item x="108"/>
        <item x="109"/>
        <item x="110"/>
        <item x="111"/>
        <item x="112"/>
        <item x="113"/>
        <item x="114"/>
        <item x="115"/>
        <item x="117"/>
        <item x="116"/>
        <item x="118"/>
        <item x="119"/>
        <item x="120"/>
        <item m="1" x="150"/>
        <item x="122"/>
        <item x="123"/>
        <item x="124"/>
        <item m="1" x="151"/>
        <item x="126"/>
        <item x="127"/>
        <item x="128"/>
        <item x="129"/>
        <item x="130"/>
        <item x="131"/>
        <item x="121"/>
        <item x="125"/>
        <item x="132"/>
        <item x="133"/>
        <item x="134"/>
        <item x="135"/>
        <item x="136"/>
        <item x="137"/>
        <item x="138"/>
        <item x="139"/>
        <item x="140"/>
        <item x="141"/>
        <item x="142"/>
        <item x="143"/>
        <item x="144"/>
        <item x="145"/>
        <item x="146"/>
        <item x="147"/>
        <item x="148"/>
      </items>
    </pivotField>
    <pivotField axis="axisRow" compact="0" outline="0" showAll="0" defaultSubtotal="0">
      <items count="7">
        <item x="0"/>
        <item x="2"/>
        <item x="3"/>
        <item m="1" x="6"/>
        <item x="1"/>
        <item x="5"/>
        <item x="4"/>
      </items>
    </pivotField>
    <pivotField axis="axisRow" compact="0" outline="0" showAll="0" defaultSubtotal="0">
      <items count="144">
        <item x="1"/>
        <item x="6"/>
        <item x="11"/>
        <item x="30"/>
        <item x="8"/>
        <item x="35"/>
        <item m="1" x="143"/>
        <item x="0"/>
        <item x="10"/>
        <item x="33"/>
        <item x="4"/>
        <item x="2"/>
        <item x="31"/>
        <item x="29"/>
        <item x="3"/>
        <item x="5"/>
        <item x="9"/>
        <item x="32"/>
        <item x="7"/>
        <item x="137"/>
        <item x="34"/>
        <item x="36"/>
        <item x="37"/>
        <item x="39"/>
        <item x="40"/>
        <item x="42"/>
        <item x="38"/>
        <item x="14"/>
        <item x="41"/>
        <item x="43"/>
        <item x="45"/>
        <item x="44"/>
        <item m="1" x="142"/>
        <item x="46"/>
        <item x="48"/>
        <item x="47"/>
        <item x="49"/>
        <item x="17"/>
        <item x="18"/>
        <item x="13"/>
        <item x="15"/>
        <item x="19"/>
        <item x="50"/>
        <item x="21"/>
        <item x="27"/>
        <item x="20"/>
        <item x="23"/>
        <item x="22"/>
        <item x="25"/>
        <item x="24"/>
        <item x="12"/>
        <item x="16"/>
        <item x="51"/>
        <item x="52"/>
        <item x="53"/>
        <item x="54"/>
        <item x="55"/>
        <item x="56"/>
        <item x="57"/>
        <item x="58"/>
        <item x="26"/>
        <item x="59"/>
        <item x="28"/>
        <item m="1" x="141"/>
        <item x="60"/>
        <item x="61"/>
        <item x="62"/>
        <item x="63"/>
        <item x="64"/>
        <item x="65"/>
        <item x="66"/>
        <item x="67"/>
        <item x="68"/>
        <item x="82"/>
        <item x="69"/>
        <item x="70"/>
        <item x="71"/>
        <item x="72"/>
        <item x="73"/>
        <item x="74"/>
        <item x="75"/>
        <item x="76"/>
        <item x="77"/>
        <item x="78"/>
        <item x="79"/>
        <item x="80"/>
        <item x="81"/>
        <item x="83"/>
        <item x="84"/>
        <item x="91"/>
        <item x="85"/>
        <item x="86"/>
        <item x="87"/>
        <item x="88"/>
        <item x="89"/>
        <item x="90"/>
        <item x="92"/>
        <item x="93"/>
        <item x="94"/>
        <item x="95"/>
        <item x="96"/>
        <item x="97"/>
        <item x="98"/>
        <item x="99"/>
        <item x="100"/>
        <item x="101"/>
        <item x="102"/>
        <item x="103"/>
        <item x="104"/>
        <item x="105"/>
        <item x="106"/>
        <item x="107"/>
        <item x="108"/>
        <item x="109"/>
        <item x="110"/>
        <item m="1" x="140"/>
        <item x="112"/>
        <item x="113"/>
        <item x="114"/>
        <item x="111"/>
        <item x="116"/>
        <item x="117"/>
        <item m="1" x="139"/>
        <item x="119"/>
        <item x="120"/>
        <item x="121"/>
        <item x="115"/>
        <item x="122"/>
        <item x="118"/>
        <item x="123"/>
        <item x="124"/>
        <item x="125"/>
        <item x="126"/>
        <item x="127"/>
        <item x="128"/>
        <item x="129"/>
        <item m="1" x="138"/>
        <item x="131"/>
        <item x="130"/>
        <item x="132"/>
        <item x="133"/>
        <item x="134"/>
        <item x="135"/>
        <item x="136"/>
      </items>
    </pivotField>
    <pivotField compact="0" outline="0" showAll="0"/>
    <pivotField compact="0" outline="0" showAll="0" defaultSubtotal="0"/>
    <pivotField compact="0" outline="0" showAll="0" defaultSubtotal="0"/>
    <pivotField compact="0" outline="0" showAll="0"/>
    <pivotField compact="0" outline="0" showAll="0" defaultSubtotal="0"/>
    <pivotField axis="axisPage" compact="0" outline="0" multipleItemSelectionAllowed="1" showAll="0" defaultSubtotal="0">
      <items count="4">
        <item x="0"/>
        <item m="1" x="3"/>
        <item x="1"/>
        <item h="1" m="1"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s>
  <rowFields count="5">
    <field x="11"/>
    <field x="14"/>
    <field x="21"/>
    <field x="20"/>
    <field x="22"/>
  </rowFields>
  <rowItems count="132">
    <i>
      <x v="1"/>
      <x v="24"/>
      <x/>
      <x v="6"/>
      <x v="7"/>
    </i>
    <i>
      <x v="2"/>
      <x/>
      <x v="4"/>
      <x v="12"/>
      <x/>
    </i>
    <i>
      <x v="3"/>
      <x v="21"/>
      <x v="1"/>
      <x v="3"/>
      <x v="11"/>
    </i>
    <i>
      <x v="4"/>
      <x v="21"/>
      <x v="1"/>
      <x/>
      <x v="14"/>
    </i>
    <i>
      <x v="5"/>
      <x/>
      <x v="4"/>
      <x v="11"/>
      <x v="10"/>
    </i>
    <i>
      <x v="6"/>
      <x v="9"/>
      <x v="4"/>
      <x v="16"/>
      <x v="15"/>
    </i>
    <i>
      <x v="7"/>
      <x v="13"/>
      <x v="4"/>
      <x v="13"/>
      <x v="1"/>
    </i>
    <i>
      <x v="8"/>
      <x v="6"/>
      <x v="4"/>
      <x v="8"/>
      <x v="18"/>
    </i>
    <i>
      <x v="9"/>
      <x v="7"/>
      <x v="4"/>
      <x v="7"/>
      <x v="4"/>
    </i>
    <i>
      <x v="10"/>
      <x v="25"/>
      <x v="1"/>
      <x v="1"/>
      <x v="16"/>
    </i>
    <i>
      <x v="11"/>
      <x v="16"/>
      <x v="1"/>
      <x v="4"/>
      <x v="8"/>
    </i>
    <i>
      <x v="12"/>
      <x v="16"/>
      <x v="1"/>
      <x v="4"/>
      <x v="2"/>
    </i>
    <i>
      <x v="15"/>
      <x v="15"/>
      <x v="4"/>
      <x v="14"/>
      <x v="13"/>
    </i>
    <i>
      <x v="16"/>
      <x v="4"/>
      <x v="6"/>
      <x v="10"/>
      <x v="12"/>
    </i>
    <i>
      <x v="17"/>
      <x v="19"/>
      <x v="4"/>
      <x v="9"/>
      <x v="17"/>
    </i>
    <i>
      <x v="18"/>
      <x v="18"/>
      <x v="1"/>
      <x v="5"/>
      <x v="9"/>
    </i>
    <i>
      <x v="20"/>
      <x v="10"/>
      <x v="4"/>
      <x v="15"/>
      <x v="3"/>
    </i>
    <i>
      <x v="21"/>
      <x v="22"/>
      <x v="6"/>
      <x v="18"/>
      <x v="20"/>
    </i>
    <i>
      <x v="22"/>
      <x v="22"/>
      <x v="6"/>
      <x v="19"/>
      <x v="20"/>
    </i>
    <i>
      <x v="23"/>
      <x v="17"/>
      <x v="1"/>
      <x v="20"/>
      <x v="21"/>
    </i>
    <i>
      <x v="24"/>
      <x v="5"/>
      <x v="1"/>
      <x v="21"/>
      <x v="22"/>
    </i>
    <i>
      <x v="25"/>
      <x v="12"/>
      <x v="1"/>
      <x v="22"/>
      <x v="23"/>
    </i>
    <i>
      <x v="26"/>
      <x v="2"/>
      <x v="4"/>
      <x v="23"/>
      <x v="24"/>
    </i>
    <i>
      <x v="27"/>
      <x v="14"/>
      <x v="4"/>
      <x v="24"/>
      <x v="25"/>
    </i>
    <i>
      <x v="28"/>
      <x v="1"/>
      <x v="4"/>
      <x v="25"/>
      <x v="26"/>
    </i>
    <i>
      <x v="29"/>
      <x v="10"/>
      <x v="4"/>
      <x v="26"/>
      <x v="27"/>
    </i>
    <i>
      <x v="30"/>
      <x v="10"/>
      <x v="4"/>
      <x v="26"/>
      <x v="27"/>
    </i>
    <i>
      <x v="31"/>
      <x v="8"/>
      <x v="4"/>
      <x v="27"/>
      <x v="28"/>
    </i>
    <i>
      <x v="32"/>
      <x v="11"/>
      <x v="4"/>
      <x v="28"/>
      <x v="29"/>
    </i>
    <i>
      <x v="33"/>
      <x v="3"/>
      <x v="4"/>
      <x v="29"/>
      <x v="30"/>
    </i>
    <i>
      <x v="34"/>
      <x v="20"/>
      <x v="4"/>
      <x v="30"/>
      <x v="31"/>
    </i>
    <i>
      <x v="36"/>
      <x v="10"/>
      <x v="4"/>
      <x v="15"/>
      <x v="3"/>
    </i>
    <i>
      <x v="37"/>
      <x v="28"/>
      <x v="4"/>
      <x v="32"/>
      <x v="33"/>
    </i>
    <i>
      <x v="39"/>
      <x v="31"/>
      <x v="6"/>
      <x v="34"/>
      <x v="35"/>
    </i>
    <i>
      <x v="40"/>
      <x v="32"/>
      <x v="4"/>
      <x v="93"/>
      <x v="36"/>
    </i>
    <i>
      <x v="41"/>
      <x v="29"/>
      <x v="2"/>
      <x v="36"/>
      <x v="37"/>
    </i>
    <i>
      <x v="42"/>
      <x v="29"/>
      <x v="2"/>
      <x v="36"/>
      <x v="38"/>
    </i>
    <i>
      <x v="43"/>
      <x v="30"/>
      <x v="4"/>
      <x v="37"/>
      <x v="39"/>
    </i>
    <i>
      <x v="44"/>
      <x v="30"/>
      <x v="4"/>
      <x v="38"/>
      <x v="40"/>
    </i>
    <i>
      <x v="45"/>
      <x v="17"/>
      <x v="1"/>
      <x v="39"/>
      <x v="41"/>
    </i>
    <i>
      <x v="46"/>
      <x v="21"/>
      <x v="4"/>
      <x v="40"/>
      <x v="42"/>
    </i>
    <i>
      <x v="47"/>
      <x v="34"/>
      <x v="4"/>
      <x v="41"/>
      <x v="43"/>
    </i>
    <i>
      <x v="48"/>
      <x v="35"/>
      <x v="4"/>
      <x v="46"/>
      <x v="49"/>
    </i>
    <i>
      <x v="49"/>
      <x v="25"/>
      <x v="4"/>
      <x v="42"/>
      <x v="45"/>
    </i>
    <i>
      <x v="50"/>
      <x v="36"/>
      <x v="4"/>
      <x v="43"/>
      <x v="46"/>
    </i>
    <i>
      <x v="51"/>
      <x v="30"/>
      <x v="4"/>
      <x v="44"/>
      <x v="47"/>
    </i>
    <i>
      <x v="52"/>
      <x v="37"/>
      <x v="4"/>
      <x v="45"/>
      <x v="48"/>
    </i>
    <i>
      <x v="53"/>
      <x v="21"/>
      <x v="1"/>
      <x v="47"/>
      <x v="50"/>
    </i>
    <i>
      <x v="54"/>
      <x v="36"/>
      <x v="1"/>
      <x v="48"/>
      <x v="51"/>
    </i>
    <i>
      <x v="55"/>
      <x v="38"/>
      <x v="1"/>
      <x v="49"/>
      <x v="52"/>
    </i>
    <i>
      <x v="56"/>
      <x v="39"/>
      <x v="4"/>
      <x v="50"/>
      <x v="53"/>
    </i>
    <i>
      <x v="57"/>
      <x v="36"/>
      <x v="4"/>
      <x v="51"/>
      <x v="54"/>
    </i>
    <i>
      <x v="58"/>
      <x v="40"/>
      <x v="4"/>
      <x v="52"/>
      <x v="55"/>
    </i>
    <i>
      <x v="59"/>
      <x v="41"/>
      <x v="4"/>
      <x v="53"/>
      <x v="56"/>
    </i>
    <i>
      <x v="60"/>
      <x v="42"/>
      <x v="6"/>
      <x v="54"/>
      <x v="57"/>
    </i>
    <i>
      <x v="61"/>
      <x v="43"/>
      <x v="4"/>
      <x v="55"/>
      <x v="58"/>
    </i>
    <i>
      <x v="62"/>
      <x v="44"/>
      <x v="4"/>
      <x v="94"/>
      <x v="59"/>
    </i>
    <i>
      <x v="63"/>
      <x v="45"/>
      <x v="4"/>
      <x v="57"/>
      <x v="60"/>
    </i>
    <i>
      <x v="64"/>
      <x v="30"/>
      <x v="4"/>
      <x v="58"/>
      <x v="48"/>
    </i>
    <i>
      <x v="65"/>
      <x v="46"/>
      <x v="4"/>
      <x v="59"/>
      <x v="61"/>
    </i>
    <i>
      <x v="66"/>
      <x v="47"/>
      <x v="4"/>
      <x v="60"/>
      <x v="44"/>
    </i>
    <i>
      <x v="67"/>
      <x v="48"/>
      <x v="4"/>
      <x v="61"/>
      <x v="62"/>
    </i>
    <i>
      <x v="81"/>
      <x v="49"/>
      <x v="4"/>
      <x v="64"/>
      <x v="64"/>
    </i>
    <i>
      <x v="82"/>
    </i>
    <i>
      <x v="83"/>
      <x v="33"/>
      <x v="4"/>
      <x v="33"/>
      <x v="34"/>
    </i>
    <i>
      <x v="84"/>
      <x v="51"/>
      <x v="1"/>
      <x v="65"/>
      <x v="65"/>
    </i>
    <i>
      <x v="85"/>
      <x v="52"/>
      <x v="4"/>
      <x v="66"/>
      <x v="66"/>
    </i>
    <i>
      <x v="86"/>
      <x v="16"/>
      <x v="4"/>
      <x v="67"/>
      <x v="67"/>
    </i>
    <i>
      <x v="87"/>
      <x v="53"/>
      <x v="4"/>
      <x v="68"/>
      <x v="68"/>
    </i>
    <i>
      <x v="88"/>
      <x v="10"/>
      <x v="6"/>
      <x v="100"/>
      <x v="69"/>
    </i>
    <i>
      <x v="89"/>
      <x v="55"/>
      <x v="6"/>
      <x v="101"/>
      <x v="70"/>
    </i>
    <i>
      <x v="90"/>
      <x v="55"/>
      <x v="6"/>
      <x v="102"/>
      <x v="71"/>
    </i>
    <i>
      <x v="91"/>
      <x v="56"/>
      <x v="6"/>
      <x v="103"/>
      <x v="70"/>
    </i>
    <i>
      <x v="92"/>
      <x v="56"/>
      <x v="6"/>
      <x v="104"/>
      <x v="72"/>
    </i>
    <i>
      <x v="95"/>
      <x v="59"/>
      <x v="4"/>
      <x v="73"/>
      <x v="73"/>
    </i>
    <i>
      <x v="97"/>
      <x v="45"/>
      <x v="4"/>
      <x v="74"/>
      <x v="74"/>
    </i>
    <i>
      <x v="98"/>
      <x v="35"/>
      <x v="4"/>
      <x v="75"/>
      <x v="75"/>
    </i>
    <i>
      <x v="99"/>
      <x v="48"/>
      <x v="4"/>
      <x v="76"/>
      <x v="18"/>
    </i>
    <i>
      <x v="100"/>
      <x v="30"/>
      <x v="4"/>
      <x v="77"/>
      <x v="76"/>
    </i>
    <i>
      <x v="101"/>
      <x v="30"/>
      <x v="4"/>
      <x v="78"/>
      <x v="77"/>
    </i>
    <i>
      <x v="102"/>
      <x v="58"/>
      <x v="4"/>
      <x v="79"/>
      <x v="78"/>
    </i>
    <i>
      <x v="103"/>
      <x v="28"/>
      <x v="4"/>
      <x v="80"/>
      <x v="79"/>
    </i>
    <i>
      <x v="104"/>
      <x v="30"/>
      <x v="4"/>
      <x v="81"/>
      <x v="80"/>
    </i>
    <i>
      <x v="105"/>
      <x v="30"/>
      <x v="4"/>
      <x v="82"/>
      <x v="81"/>
    </i>
    <i>
      <x v="106"/>
      <x v="30"/>
      <x v="4"/>
      <x v="83"/>
      <x v="82"/>
    </i>
    <i>
      <x v="107"/>
      <x v="30"/>
      <x v="4"/>
      <x v="84"/>
      <x v="83"/>
    </i>
    <i>
      <x v="108"/>
      <x v="30"/>
      <x v="4"/>
      <x v="85"/>
      <x v="82"/>
    </i>
    <i>
      <x v="109"/>
      <x v="30"/>
      <x v="4"/>
      <x v="86"/>
      <x v="82"/>
    </i>
    <i>
      <x v="110"/>
      <x v="30"/>
      <x v="4"/>
      <x v="87"/>
      <x v="84"/>
    </i>
    <i>
      <x v="111"/>
      <x v="30"/>
      <x v="4"/>
      <x v="88"/>
      <x v="85"/>
    </i>
    <i>
      <x v="112"/>
      <x v="30"/>
      <x v="4"/>
      <x v="89"/>
      <x v="86"/>
    </i>
    <i>
      <x v="113"/>
      <x v="14"/>
      <x v="4"/>
      <x v="90"/>
      <x v="87"/>
    </i>
    <i>
      <x v="114"/>
      <x v="60"/>
      <x v="6"/>
      <x v="91"/>
      <x v="88"/>
    </i>
    <i>
      <x v="117"/>
      <x v="56"/>
      <x v="6"/>
      <x v="96"/>
      <x v="90"/>
    </i>
    <i>
      <x v="118"/>
      <x v="61"/>
      <x v="4"/>
      <x v="97"/>
      <x v="91"/>
    </i>
    <i>
      <x v="119"/>
      <x v="53"/>
      <x v="4"/>
      <x v="98"/>
      <x v="92"/>
    </i>
    <i>
      <x v="120"/>
      <x v="62"/>
      <x v="4"/>
      <x v="99"/>
      <x v="93"/>
    </i>
    <i>
      <x v="121"/>
      <x v="63"/>
      <x v="4"/>
      <x v="105"/>
      <x v="94"/>
    </i>
    <i>
      <x v="122"/>
      <x v="59"/>
      <x v="4"/>
      <x v="106"/>
      <x v="95"/>
    </i>
    <i>
      <x v="123"/>
      <x v="33"/>
      <x v="4"/>
      <x v="133"/>
      <x v="116"/>
    </i>
    <i>
      <x v="124"/>
      <x v="65"/>
      <x v="4"/>
      <x v="107"/>
      <x v="89"/>
    </i>
    <i>
      <x v="125"/>
      <x v="65"/>
      <x v="4"/>
      <x v="92"/>
      <x v="89"/>
    </i>
    <i>
      <x v="126"/>
      <x v="64"/>
      <x v="4"/>
      <x v="108"/>
      <x v="96"/>
    </i>
    <i>
      <x v="127"/>
      <x v="66"/>
      <x v="4"/>
      <x v="109"/>
      <x v="97"/>
    </i>
    <i>
      <x v="128"/>
      <x v="62"/>
      <x v="4"/>
      <x v="110"/>
      <x v="98"/>
    </i>
    <i>
      <x v="129"/>
      <x v="67"/>
      <x v="4"/>
      <x v="111"/>
      <x v="99"/>
    </i>
    <i>
      <x v="130"/>
      <x v="68"/>
      <x v="4"/>
      <x v="112"/>
      <x v="100"/>
    </i>
    <i>
      <x v="131"/>
      <x v="69"/>
      <x v="1"/>
      <x v="113"/>
      <x v="101"/>
    </i>
    <i>
      <x v="132"/>
      <x v="72"/>
      <x v="6"/>
      <x v="117"/>
      <x v="72"/>
    </i>
    <i>
      <x v="133"/>
      <x v="56"/>
      <x v="6"/>
      <x v="118"/>
      <x v="72"/>
    </i>
    <i>
      <x v="134"/>
      <x v="60"/>
      <x v="6"/>
      <x v="128"/>
      <x v="112"/>
    </i>
    <i>
      <x v="135"/>
      <x v="78"/>
      <x v="6"/>
      <x v="127"/>
      <x v="112"/>
    </i>
    <i>
      <x v="138"/>
      <x v="70"/>
      <x v="4"/>
      <x v="114"/>
      <x v="102"/>
    </i>
    <i>
      <x v="139"/>
      <x v="36"/>
      <x v="4"/>
      <x v="115"/>
      <x v="103"/>
    </i>
    <i>
      <x v="140"/>
      <x v="69"/>
      <x v="4"/>
      <x v="116"/>
      <x v="104"/>
    </i>
    <i>
      <x v="141"/>
      <x v="16"/>
      <x v="4"/>
      <x v="119"/>
      <x v="105"/>
    </i>
    <i>
      <x v="142"/>
      <x v="94"/>
      <x v="4"/>
      <x v="120"/>
      <x v="106"/>
    </i>
    <i>
      <x v="143"/>
      <x v="74"/>
      <x v="4"/>
      <x v="121"/>
      <x v="53"/>
    </i>
    <i>
      <x v="144"/>
      <x v="60"/>
      <x v="1"/>
      <x v="122"/>
      <x v="107"/>
    </i>
    <i>
      <x v="145"/>
      <x v="65"/>
      <x v="2"/>
      <x v="123"/>
      <x v="108"/>
    </i>
    <i>
      <x v="146"/>
      <x v="75"/>
      <x v="1"/>
      <x v="124"/>
      <x v="109"/>
    </i>
    <i>
      <x v="147"/>
      <x v="76"/>
      <x v="2"/>
      <x v="125"/>
      <x v="110"/>
    </i>
    <i>
      <x v="148"/>
      <x v="77"/>
      <x v="4"/>
      <x v="126"/>
      <x v="111"/>
    </i>
    <i>
      <x v="149"/>
      <x v="2"/>
      <x v="6"/>
      <x v="129"/>
      <x v="109"/>
    </i>
    <i>
      <x v="150"/>
      <x v="80"/>
      <x v="1"/>
      <x v="134"/>
      <x v="117"/>
    </i>
    <i>
      <x v="151"/>
      <x v="2"/>
      <x v="6"/>
      <x v="129"/>
      <x v="24"/>
    </i>
    <i>
      <x v="153"/>
      <x v="79"/>
      <x v="4"/>
      <x v="130"/>
      <x v="113"/>
    </i>
    <i>
      <x v="154"/>
      <x v="86"/>
      <x v="4"/>
      <x v="131"/>
      <x v="114"/>
    </i>
    <i>
      <x v="155"/>
      <x v="82"/>
      <x v="2"/>
      <x v="143"/>
      <x v="119"/>
    </i>
    <i>
      <x v="157"/>
      <x v="82"/>
      <x v="2"/>
      <x v="144"/>
      <x v="126"/>
    </i>
    <i>
      <x v="158"/>
      <x v="83"/>
      <x v="4"/>
      <x v="137"/>
      <x v="120"/>
    </i>
    <i>
      <x v="163"/>
      <x v="86"/>
      <x v="4"/>
      <x v="142"/>
      <x v="125"/>
    </i>
  </rowItems>
  <colItems count="1">
    <i/>
  </colItems>
  <pageFields count="2">
    <pageField fld="15" hier="-1"/>
    <pageField fld="28" hier="-1"/>
  </pageFields>
  <formats count="16">
    <format dxfId="227">
      <pivotArea outline="0" collapsedLevelsAreSubtotals="1" fieldPosition="0"/>
    </format>
    <format dxfId="226">
      <pivotArea outline="0" collapsedLevelsAreSubtotals="1" fieldPosition="0"/>
    </format>
    <format dxfId="225">
      <pivotArea outline="0" collapsedLevelsAreSubtotals="1" fieldPosition="0"/>
    </format>
    <format dxfId="224">
      <pivotArea outline="0" collapsedLevelsAreSubtotals="1" fieldPosition="0"/>
    </format>
    <format dxfId="223">
      <pivotArea field="11" type="button" dataOnly="0" labelOnly="1" outline="0" axis="axisRow" fieldPosition="0"/>
    </format>
    <format dxfId="222">
      <pivotArea field="20" type="button" dataOnly="0" labelOnly="1" outline="0" axis="axisRow" fieldPosition="3"/>
    </format>
    <format dxfId="221">
      <pivotArea field="22" type="button" dataOnly="0" labelOnly="1" outline="0" axis="axisRow" fieldPosition="4"/>
    </format>
    <format dxfId="220">
      <pivotArea dataOnly="0" labelOnly="1" outline="0" axis="axisValues" fieldPosition="0"/>
    </format>
    <format dxfId="219">
      <pivotArea dataOnly="0" labelOnly="1" outline="0" axis="axisValues" fieldPosition="0"/>
    </format>
    <format dxfId="218">
      <pivotArea outline="0" collapsedLevelsAreSubtotals="1" fieldPosition="0"/>
    </format>
    <format dxfId="217">
      <pivotArea field="11" type="button" dataOnly="0" labelOnly="1" outline="0" axis="axisRow" fieldPosition="0"/>
    </format>
    <format dxfId="216">
      <pivotArea field="20" type="button" dataOnly="0" labelOnly="1" outline="0" axis="axisRow" fieldPosition="3"/>
    </format>
    <format dxfId="215">
      <pivotArea field="22" type="button" dataOnly="0" labelOnly="1" outline="0" axis="axisRow" fieldPosition="4"/>
    </format>
    <format dxfId="214">
      <pivotArea dataOnly="0" labelOnly="1" outline="0" axis="axisValues" fieldPosition="0"/>
    </format>
    <format dxfId="213">
      <pivotArea dataOnly="0" labelOnly="1" outline="0" axis="axisValues" fieldPosition="0"/>
    </format>
    <format dxfId="212">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800-000008000000}" name="Tabela dinâmica5" cacheId="0" applyNumberFormats="0" applyBorderFormats="0" applyFontFormats="0" applyPatternFormats="0" applyAlignmentFormats="0" applyWidthHeightFormats="1" dataCaption="Valores" updatedVersion="8" minRefreshableVersion="3" rowGrandTotals="0" colGrandTotals="0" itemPrintTitles="1" createdVersion="6" indent="0" compact="0" compactData="0" multipleFieldFilters="0">
  <location ref="B6:E97" firstHeaderRow="1" firstDataRow="1" firstDataCol="4" rowPageCount="2" colPageCount="1"/>
  <pivotFields count="36">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 axis="axisRow" compact="0" outline="0" showAll="0" defaultSubtotal="0">
      <items count="185">
        <item m="1" x="175"/>
        <item x="0"/>
        <item x="1"/>
        <item x="2"/>
        <item x="3"/>
        <item x="4"/>
        <item x="5"/>
        <item x="6"/>
        <item x="7"/>
        <item x="8"/>
        <item x="9"/>
        <item x="10"/>
        <item x="11"/>
        <item m="1" x="165"/>
        <item m="1" x="177"/>
        <item x="31"/>
        <item x="34"/>
        <item x="35"/>
        <item x="36"/>
        <item x="155"/>
        <item x="33"/>
        <item x="37"/>
        <item x="38"/>
        <item x="40"/>
        <item x="41"/>
        <item x="43"/>
        <item x="44"/>
        <item x="46"/>
        <item x="42"/>
        <item x="14"/>
        <item x="15"/>
        <item x="45"/>
        <item x="47"/>
        <item x="49"/>
        <item x="48"/>
        <item m="1" x="162"/>
        <item x="32"/>
        <item x="50"/>
        <item m="1" x="183"/>
        <item x="51"/>
        <item x="53"/>
        <item x="18"/>
        <item x="19"/>
        <item x="13"/>
        <item x="16"/>
        <item x="20"/>
        <item x="54"/>
        <item x="22"/>
        <item x="25"/>
        <item x="21"/>
        <item x="24"/>
        <item x="23"/>
        <item x="26"/>
        <item x="12"/>
        <item x="17"/>
        <item x="55"/>
        <item x="56"/>
        <item x="57"/>
        <item x="58"/>
        <item x="59"/>
        <item x="60"/>
        <item x="61"/>
        <item x="62"/>
        <item x="27"/>
        <item x="28"/>
        <item x="63"/>
        <item x="29"/>
        <item x="30"/>
        <item m="1" x="180"/>
        <item m="1" x="181"/>
        <item m="1" x="182"/>
        <item m="1" x="166"/>
        <item m="1" x="167"/>
        <item m="1" x="168"/>
        <item m="1" x="170"/>
        <item m="1" x="171"/>
        <item m="1" x="172"/>
        <item m="1" x="173"/>
        <item m="1" x="174"/>
        <item m="1" x="176"/>
        <item m="1" x="163"/>
        <item x="64"/>
        <item x="39"/>
        <item x="52"/>
        <item x="65"/>
        <item x="66"/>
        <item x="67"/>
        <item x="68"/>
        <item x="69"/>
        <item x="70"/>
        <item x="71"/>
        <item x="72"/>
        <item x="73"/>
        <item m="1" x="164"/>
        <item m="1" x="178"/>
        <item x="90"/>
        <item m="1" x="179"/>
        <item x="74"/>
        <item x="75"/>
        <item x="76"/>
        <item x="77"/>
        <item x="78"/>
        <item x="79"/>
        <item x="80"/>
        <item x="81"/>
        <item x="82"/>
        <item x="83"/>
        <item x="84"/>
        <item x="85"/>
        <item x="86"/>
        <item x="87"/>
        <item x="88"/>
        <item x="89"/>
        <item x="91"/>
        <item x="92"/>
        <item m="1" x="184"/>
        <item m="1" x="169"/>
        <item x="93"/>
        <item x="94"/>
        <item x="95"/>
        <item x="96"/>
        <item x="97"/>
        <item x="98"/>
        <item x="127"/>
        <item x="99"/>
        <item x="100"/>
        <item x="101"/>
        <item x="102"/>
        <item x="103"/>
        <item x="104"/>
        <item x="105"/>
        <item x="106"/>
        <item x="110"/>
        <item x="111"/>
        <item x="120"/>
        <item x="121"/>
        <item m="1" x="160"/>
        <item m="1" x="161"/>
        <item x="107"/>
        <item x="108"/>
        <item x="109"/>
        <item x="112"/>
        <item x="113"/>
        <item x="114"/>
        <item x="115"/>
        <item x="116"/>
        <item x="117"/>
        <item x="118"/>
        <item x="119"/>
        <item x="123"/>
        <item x="128"/>
        <item x="122"/>
        <item m="1" x="159"/>
        <item x="124"/>
        <item x="125"/>
        <item x="126"/>
        <item x="129"/>
        <item x="130"/>
        <item x="131"/>
        <item x="132"/>
        <item x="133"/>
        <item x="134"/>
        <item x="135"/>
        <item x="136"/>
        <item x="137"/>
        <item x="138"/>
        <item x="139"/>
        <item x="140"/>
        <item x="141"/>
        <item x="142"/>
        <item x="143"/>
        <item x="144"/>
        <item x="145"/>
        <item x="146"/>
        <item x="147"/>
        <item x="148"/>
        <item x="149"/>
        <item x="150"/>
        <item x="151"/>
        <item x="152"/>
        <item x="153"/>
        <item x="154"/>
        <item x="156"/>
        <item x="157"/>
        <item x="158"/>
      </items>
    </pivotField>
    <pivotField compact="0" outline="0" showAll="0"/>
    <pivotField compact="0" outline="0" showAll="0"/>
    <pivotField axis="axisRow" compact="0" outline="0" showAll="0" defaultSubtotal="0">
      <items count="100">
        <item x="1"/>
        <item x="27"/>
        <item x="29"/>
        <item x="34"/>
        <item x="21"/>
        <item x="26"/>
        <item x="5"/>
        <item x="6"/>
        <item x="30"/>
        <item x="3"/>
        <item x="10"/>
        <item x="32"/>
        <item x="28"/>
        <item x="4"/>
        <item x="31"/>
        <item x="20"/>
        <item x="8"/>
        <item x="13"/>
        <item x="23"/>
        <item x="22"/>
        <item x="33"/>
        <item x="2"/>
        <item x="24"/>
        <item x="25"/>
        <item x="0"/>
        <item x="7"/>
        <item x="93"/>
        <item m="1" x="97"/>
        <item x="35"/>
        <item x="12"/>
        <item x="9"/>
        <item x="36"/>
        <item x="38"/>
        <item x="37"/>
        <item x="14"/>
        <item x="15"/>
        <item x="11"/>
        <item x="16"/>
        <item x="39"/>
        <item x="40"/>
        <item x="41"/>
        <item x="42"/>
        <item x="43"/>
        <item x="44"/>
        <item x="45"/>
        <item x="17"/>
        <item x="46"/>
        <item x="18"/>
        <item x="19"/>
        <item x="47"/>
        <item m="1" x="95"/>
        <item x="48"/>
        <item x="49"/>
        <item x="50"/>
        <item m="1" x="98"/>
        <item x="51"/>
        <item x="52"/>
        <item m="1" x="99"/>
        <item x="53"/>
        <item x="54"/>
        <item x="55"/>
        <item x="56"/>
        <item x="57"/>
        <item x="58"/>
        <item x="60"/>
        <item x="59"/>
        <item x="61"/>
        <item x="62"/>
        <item x="63"/>
        <item x="64"/>
        <item x="65"/>
        <item m="1" x="96"/>
        <item x="66"/>
        <item m="1" x="94"/>
        <item x="68"/>
        <item x="69"/>
        <item x="70"/>
        <item x="71"/>
        <item x="72"/>
        <item x="73"/>
        <item x="76"/>
        <item x="77"/>
        <item x="75"/>
        <item x="78"/>
        <item x="79"/>
        <item x="80"/>
        <item x="74"/>
        <item x="81"/>
        <item x="82"/>
        <item x="83"/>
        <item x="84"/>
        <item x="85"/>
        <item x="86"/>
        <item x="87"/>
        <item x="67"/>
        <item x="88"/>
        <item x="89"/>
        <item x="90"/>
        <item x="91"/>
        <item x="92"/>
      </items>
    </pivotField>
    <pivotField axis="axisPage" compact="0" outline="0" multipleItemSelectionAllowed="1" showAll="0" defaultSubtotal="0">
      <items count="4">
        <item x="0"/>
        <item h="1" x="1"/>
        <item h="1" x="2"/>
        <item h="1" x="3"/>
      </items>
    </pivotField>
    <pivotField compact="0" outline="0" showAll="0" defaultSubtotal="0"/>
    <pivotField compact="0" outline="0" showAll="0"/>
    <pivotField compact="0" outline="0" showAll="0"/>
    <pivotField compact="0" outline="0" showAll="0" defaultSubtotal="0"/>
    <pivotField axis="axisRow" compact="0" outline="0" showAll="0" defaultSubtotal="0">
      <items count="162">
        <item x="3"/>
        <item x="9"/>
        <item x="35"/>
        <item x="2"/>
        <item x="10"/>
        <item x="32"/>
        <item x="0"/>
        <item x="8"/>
        <item x="7"/>
        <item x="31"/>
        <item x="30"/>
        <item x="4"/>
        <item x="1"/>
        <item x="6"/>
        <item x="28"/>
        <item x="29"/>
        <item x="5"/>
        <item x="149"/>
        <item x="33"/>
        <item x="34"/>
        <item x="36"/>
        <item x="37"/>
        <item x="39"/>
        <item x="40"/>
        <item x="42"/>
        <item x="38"/>
        <item x="13"/>
        <item x="41"/>
        <item x="43"/>
        <item x="45"/>
        <item x="44"/>
        <item m="1" x="158"/>
        <item x="46"/>
        <item x="48"/>
        <item x="47"/>
        <item m="1" x="159"/>
        <item x="16"/>
        <item x="12"/>
        <item x="14"/>
        <item x="17"/>
        <item x="50"/>
        <item x="19"/>
        <item x="18"/>
        <item x="21"/>
        <item x="20"/>
        <item x="23"/>
        <item x="22"/>
        <item x="11"/>
        <item x="15"/>
        <item x="51"/>
        <item x="52"/>
        <item x="53"/>
        <item x="54"/>
        <item x="55"/>
        <item x="56"/>
        <item x="57"/>
        <item m="1" x="160"/>
        <item x="24"/>
        <item x="25"/>
        <item x="59"/>
        <item x="26"/>
        <item x="27"/>
        <item m="1" x="155"/>
        <item m="1" x="152"/>
        <item x="60"/>
        <item x="61"/>
        <item x="62"/>
        <item x="63"/>
        <item x="64"/>
        <item m="1" x="161"/>
        <item m="1" x="157"/>
        <item m="1" x="156"/>
        <item m="1" x="154"/>
        <item x="86"/>
        <item x="70"/>
        <item x="71"/>
        <item x="72"/>
        <item x="73"/>
        <item x="74"/>
        <item x="75"/>
        <item x="76"/>
        <item x="77"/>
        <item x="78"/>
        <item x="79"/>
        <item x="80"/>
        <item x="81"/>
        <item x="82"/>
        <item x="83"/>
        <item x="84"/>
        <item x="85"/>
        <item x="87"/>
        <item x="88"/>
        <item x="96"/>
        <item x="49"/>
        <item x="58"/>
        <item m="1" x="153"/>
        <item x="89"/>
        <item x="90"/>
        <item x="91"/>
        <item x="92"/>
        <item x="65"/>
        <item x="66"/>
        <item x="67"/>
        <item x="68"/>
        <item x="69"/>
        <item x="93"/>
        <item x="94"/>
        <item x="95"/>
        <item x="97"/>
        <item x="98"/>
        <item x="99"/>
        <item x="100"/>
        <item x="101"/>
        <item x="102"/>
        <item x="103"/>
        <item x="104"/>
        <item x="105"/>
        <item x="106"/>
        <item x="107"/>
        <item x="108"/>
        <item x="109"/>
        <item x="110"/>
        <item x="111"/>
        <item x="112"/>
        <item x="113"/>
        <item x="114"/>
        <item x="115"/>
        <item x="117"/>
        <item x="116"/>
        <item x="118"/>
        <item x="119"/>
        <item x="120"/>
        <item m="1" x="150"/>
        <item x="122"/>
        <item x="123"/>
        <item x="124"/>
        <item m="1" x="151"/>
        <item x="126"/>
        <item x="127"/>
        <item x="128"/>
        <item x="129"/>
        <item x="130"/>
        <item x="131"/>
        <item x="121"/>
        <item x="125"/>
        <item x="132"/>
        <item x="133"/>
        <item x="134"/>
        <item x="135"/>
        <item x="136"/>
        <item x="137"/>
        <item x="138"/>
        <item x="139"/>
        <item x="140"/>
        <item x="141"/>
        <item x="142"/>
        <item x="143"/>
        <item x="144"/>
        <item x="145"/>
        <item x="146"/>
        <item x="147"/>
        <item x="148"/>
      </items>
    </pivotField>
    <pivotField compact="0" outline="0" showAll="0" defaultSubtotal="0"/>
    <pivotField axis="axisRow" compact="0" outline="0" showAll="0" defaultSubtotal="0">
      <items count="144">
        <item x="1"/>
        <item x="6"/>
        <item x="11"/>
        <item x="30"/>
        <item x="8"/>
        <item x="35"/>
        <item m="1" x="143"/>
        <item x="0"/>
        <item x="10"/>
        <item x="33"/>
        <item x="4"/>
        <item x="2"/>
        <item x="31"/>
        <item x="29"/>
        <item x="3"/>
        <item x="5"/>
        <item x="9"/>
        <item x="32"/>
        <item x="7"/>
        <item x="137"/>
        <item x="34"/>
        <item x="36"/>
        <item x="37"/>
        <item x="39"/>
        <item x="40"/>
        <item x="42"/>
        <item x="38"/>
        <item x="14"/>
        <item x="41"/>
        <item x="43"/>
        <item x="45"/>
        <item x="44"/>
        <item m="1" x="142"/>
        <item x="46"/>
        <item x="48"/>
        <item x="47"/>
        <item x="49"/>
        <item x="17"/>
        <item x="18"/>
        <item x="13"/>
        <item x="15"/>
        <item x="19"/>
        <item x="50"/>
        <item x="21"/>
        <item x="27"/>
        <item x="20"/>
        <item x="23"/>
        <item x="22"/>
        <item x="25"/>
        <item x="24"/>
        <item x="12"/>
        <item x="16"/>
        <item x="51"/>
        <item x="52"/>
        <item x="53"/>
        <item x="54"/>
        <item x="55"/>
        <item x="56"/>
        <item x="57"/>
        <item x="58"/>
        <item x="26"/>
        <item x="59"/>
        <item x="28"/>
        <item m="1" x="141"/>
        <item x="60"/>
        <item x="61"/>
        <item x="62"/>
        <item x="63"/>
        <item x="64"/>
        <item x="65"/>
        <item x="66"/>
        <item x="67"/>
        <item x="68"/>
        <item x="82"/>
        <item x="69"/>
        <item x="70"/>
        <item x="71"/>
        <item x="72"/>
        <item x="73"/>
        <item x="74"/>
        <item x="75"/>
        <item x="76"/>
        <item x="77"/>
        <item x="78"/>
        <item x="79"/>
        <item x="80"/>
        <item x="81"/>
        <item x="83"/>
        <item x="84"/>
        <item x="91"/>
        <item x="85"/>
        <item x="86"/>
        <item x="87"/>
        <item x="88"/>
        <item x="89"/>
        <item x="90"/>
        <item x="92"/>
        <item x="93"/>
        <item x="94"/>
        <item x="95"/>
        <item x="96"/>
        <item x="97"/>
        <item x="98"/>
        <item x="99"/>
        <item x="100"/>
        <item x="101"/>
        <item x="102"/>
        <item x="103"/>
        <item x="104"/>
        <item x="105"/>
        <item x="106"/>
        <item x="107"/>
        <item x="108"/>
        <item x="109"/>
        <item x="110"/>
        <item m="1" x="140"/>
        <item x="112"/>
        <item x="113"/>
        <item x="114"/>
        <item x="111"/>
        <item x="116"/>
        <item x="117"/>
        <item m="1" x="139"/>
        <item x="119"/>
        <item x="120"/>
        <item x="121"/>
        <item x="115"/>
        <item x="122"/>
        <item x="118"/>
        <item x="123"/>
        <item x="124"/>
        <item x="125"/>
        <item x="126"/>
        <item x="127"/>
        <item x="128"/>
        <item x="129"/>
        <item m="1" x="138"/>
        <item x="131"/>
        <item x="130"/>
        <item x="132"/>
        <item x="133"/>
        <item x="134"/>
        <item x="135"/>
        <item x="136"/>
      </items>
    </pivotField>
    <pivotField compact="0" outline="0" showAll="0"/>
    <pivotField compact="0" outline="0" showAll="0" defaultSubtotal="0"/>
    <pivotField compact="0" outline="0" showAll="0" defaultSubtotal="0"/>
    <pivotField compact="0" outline="0" showAll="0"/>
    <pivotField compact="0" outline="0" showAll="0" defaultSubtotal="0"/>
    <pivotField axis="axisPage" compact="0" outline="0" multipleItemSelectionAllowed="1" showAll="0" defaultSubtotal="0">
      <items count="4">
        <item x="0"/>
        <item h="1" m="1" x="3"/>
        <item h="1" x="1"/>
        <item h="1" m="1"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s>
  <rowFields count="4">
    <field x="11"/>
    <field x="14"/>
    <field x="20"/>
    <field x="22"/>
  </rowFields>
  <rowItems count="91">
    <i>
      <x v="1"/>
      <x v="24"/>
      <x v="6"/>
      <x v="7"/>
    </i>
    <i>
      <x v="2"/>
      <x/>
      <x v="12"/>
      <x/>
    </i>
    <i>
      <x v="3"/>
      <x v="21"/>
      <x v="3"/>
      <x v="11"/>
    </i>
    <i>
      <x v="4"/>
      <x v="21"/>
      <x/>
      <x v="14"/>
    </i>
    <i>
      <x v="5"/>
      <x/>
      <x v="11"/>
      <x v="10"/>
    </i>
    <i>
      <x v="6"/>
      <x v="9"/>
      <x v="16"/>
      <x v="15"/>
    </i>
    <i>
      <x v="7"/>
      <x v="13"/>
      <x v="13"/>
      <x v="1"/>
    </i>
    <i>
      <x v="8"/>
      <x v="6"/>
      <x v="8"/>
      <x v="18"/>
    </i>
    <i>
      <x v="9"/>
      <x v="7"/>
      <x v="7"/>
      <x v="4"/>
    </i>
    <i>
      <x v="10"/>
      <x v="25"/>
      <x v="1"/>
      <x v="16"/>
    </i>
    <i>
      <x v="11"/>
      <x v="16"/>
      <x v="4"/>
      <x v="8"/>
    </i>
    <i>
      <x v="12"/>
      <x v="16"/>
      <x v="4"/>
      <x v="2"/>
    </i>
    <i>
      <x v="15"/>
      <x v="15"/>
      <x v="14"/>
      <x v="13"/>
    </i>
    <i>
      <x v="16"/>
      <x v="4"/>
      <x v="10"/>
      <x v="12"/>
    </i>
    <i>
      <x v="17"/>
      <x v="19"/>
      <x v="9"/>
      <x v="17"/>
    </i>
    <i>
      <x v="18"/>
      <x v="18"/>
      <x v="5"/>
      <x v="9"/>
    </i>
    <i>
      <x v="20"/>
      <x v="10"/>
      <x v="15"/>
      <x v="3"/>
    </i>
    <i>
      <x v="21"/>
      <x v="22"/>
      <x v="18"/>
      <x v="20"/>
    </i>
    <i>
      <x v="22"/>
      <x v="22"/>
      <x v="19"/>
      <x v="20"/>
    </i>
    <i>
      <x v="23"/>
      <x v="17"/>
      <x v="20"/>
      <x v="21"/>
    </i>
    <i>
      <x v="24"/>
      <x v="5"/>
      <x v="21"/>
      <x v="22"/>
    </i>
    <i>
      <x v="25"/>
      <x v="12"/>
      <x v="22"/>
      <x v="23"/>
    </i>
    <i>
      <x v="26"/>
      <x v="2"/>
      <x v="23"/>
      <x v="24"/>
    </i>
    <i>
      <x v="27"/>
      <x v="14"/>
      <x v="24"/>
      <x v="25"/>
    </i>
    <i>
      <x v="28"/>
      <x v="1"/>
      <x v="25"/>
      <x v="26"/>
    </i>
    <i>
      <x v="29"/>
      <x v="10"/>
      <x v="26"/>
      <x v="27"/>
    </i>
    <i>
      <x v="30"/>
      <x v="10"/>
      <x v="26"/>
      <x v="27"/>
    </i>
    <i>
      <x v="31"/>
      <x v="8"/>
      <x v="27"/>
      <x v="28"/>
    </i>
    <i>
      <x v="32"/>
      <x v="11"/>
      <x v="28"/>
      <x v="29"/>
    </i>
    <i>
      <x v="33"/>
      <x v="3"/>
      <x v="29"/>
      <x v="30"/>
    </i>
    <i>
      <x v="34"/>
      <x v="20"/>
      <x v="30"/>
      <x v="31"/>
    </i>
    <i>
      <x v="36"/>
      <x v="10"/>
      <x v="15"/>
      <x v="3"/>
    </i>
    <i>
      <x v="37"/>
      <x v="28"/>
      <x v="32"/>
      <x v="33"/>
    </i>
    <i>
      <x v="39"/>
      <x v="31"/>
      <x v="34"/>
      <x v="35"/>
    </i>
    <i>
      <x v="40"/>
      <x v="32"/>
      <x v="93"/>
      <x v="36"/>
    </i>
    <i>
      <x v="41"/>
      <x v="29"/>
      <x v="36"/>
      <x v="37"/>
    </i>
    <i>
      <x v="42"/>
      <x v="29"/>
      <x v="36"/>
      <x v="38"/>
    </i>
    <i>
      <x v="43"/>
      <x v="30"/>
      <x v="37"/>
      <x v="39"/>
    </i>
    <i>
      <x v="44"/>
      <x v="30"/>
      <x v="38"/>
      <x v="40"/>
    </i>
    <i>
      <x v="45"/>
      <x v="17"/>
      <x v="39"/>
      <x v="41"/>
    </i>
    <i>
      <x v="46"/>
      <x v="21"/>
      <x v="40"/>
      <x v="42"/>
    </i>
    <i>
      <x v="47"/>
      <x v="34"/>
      <x v="41"/>
      <x v="43"/>
    </i>
    <i>
      <x v="48"/>
      <x v="35"/>
      <x v="46"/>
      <x v="49"/>
    </i>
    <i>
      <x v="49"/>
      <x v="25"/>
      <x v="42"/>
      <x v="45"/>
    </i>
    <i>
      <x v="50"/>
      <x v="36"/>
      <x v="43"/>
      <x v="46"/>
    </i>
    <i>
      <x v="51"/>
      <x v="30"/>
      <x v="44"/>
      <x v="47"/>
    </i>
    <i>
      <x v="52"/>
      <x v="37"/>
      <x v="45"/>
      <x v="48"/>
    </i>
    <i>
      <x v="53"/>
      <x v="21"/>
      <x v="47"/>
      <x v="50"/>
    </i>
    <i>
      <x v="54"/>
      <x v="36"/>
      <x v="48"/>
      <x v="51"/>
    </i>
    <i>
      <x v="55"/>
      <x v="38"/>
      <x v="49"/>
      <x v="52"/>
    </i>
    <i>
      <x v="56"/>
      <x v="39"/>
      <x v="50"/>
      <x v="53"/>
    </i>
    <i>
      <x v="57"/>
      <x v="36"/>
      <x v="51"/>
      <x v="54"/>
    </i>
    <i>
      <x v="58"/>
      <x v="40"/>
      <x v="52"/>
      <x v="55"/>
    </i>
    <i>
      <x v="59"/>
      <x v="41"/>
      <x v="53"/>
      <x v="56"/>
    </i>
    <i>
      <x v="60"/>
      <x v="42"/>
      <x v="54"/>
      <x v="57"/>
    </i>
    <i>
      <x v="61"/>
      <x v="43"/>
      <x v="55"/>
      <x v="58"/>
    </i>
    <i>
      <x v="62"/>
      <x v="44"/>
      <x v="94"/>
      <x v="59"/>
    </i>
    <i>
      <x v="63"/>
      <x v="45"/>
      <x v="57"/>
      <x v="60"/>
    </i>
    <i>
      <x v="64"/>
      <x v="30"/>
      <x v="58"/>
      <x v="48"/>
    </i>
    <i>
      <x v="65"/>
      <x v="46"/>
      <x v="59"/>
      <x v="61"/>
    </i>
    <i>
      <x v="66"/>
      <x v="47"/>
      <x v="60"/>
      <x v="44"/>
    </i>
    <i>
      <x v="67"/>
      <x v="48"/>
      <x v="61"/>
      <x v="62"/>
    </i>
    <i>
      <x v="81"/>
      <x v="49"/>
      <x v="64"/>
      <x v="64"/>
    </i>
    <i>
      <x v="82"/>
      <x v="23"/>
      <x v="2"/>
      <x v="5"/>
    </i>
    <i>
      <x v="83"/>
      <x v="33"/>
      <x v="33"/>
      <x v="34"/>
    </i>
    <i>
      <x v="84"/>
      <x v="51"/>
      <x v="65"/>
      <x v="65"/>
    </i>
    <i>
      <x v="85"/>
      <x v="52"/>
      <x v="66"/>
      <x v="66"/>
    </i>
    <i>
      <x v="86"/>
      <x v="16"/>
      <x v="67"/>
      <x v="67"/>
    </i>
    <i>
      <x v="87"/>
      <x v="53"/>
      <x v="68"/>
      <x v="68"/>
    </i>
    <i>
      <x v="88"/>
      <x v="10"/>
      <x v="100"/>
      <x v="69"/>
    </i>
    <i>
      <x v="89"/>
      <x v="55"/>
      <x v="101"/>
      <x v="70"/>
    </i>
    <i>
      <x v="90"/>
      <x v="55"/>
      <x v="102"/>
      <x v="71"/>
    </i>
    <i>
      <x v="91"/>
      <x v="56"/>
      <x v="103"/>
      <x v="70"/>
    </i>
    <i>
      <x v="92"/>
      <x v="56"/>
      <x v="104"/>
      <x v="72"/>
    </i>
    <i>
      <x v="97"/>
      <x v="45"/>
      <x v="74"/>
      <x v="74"/>
    </i>
    <i>
      <x v="98"/>
      <x v="35"/>
      <x v="75"/>
      <x v="75"/>
    </i>
    <i>
      <x v="99"/>
      <x v="48"/>
      <x v="76"/>
      <x v="18"/>
    </i>
    <i>
      <x v="100"/>
      <x v="30"/>
      <x v="77"/>
      <x v="76"/>
    </i>
    <i>
      <x v="101"/>
      <x v="30"/>
      <x v="78"/>
      <x v="77"/>
    </i>
    <i>
      <x v="102"/>
      <x v="58"/>
      <x v="79"/>
      <x v="78"/>
    </i>
    <i>
      <x v="103"/>
      <x v="28"/>
      <x v="80"/>
      <x v="79"/>
    </i>
    <i>
      <x v="104"/>
      <x v="30"/>
      <x v="81"/>
      <x v="80"/>
    </i>
    <i>
      <x v="105"/>
      <x v="30"/>
      <x v="82"/>
      <x v="81"/>
    </i>
    <i>
      <x v="106"/>
      <x v="30"/>
      <x v="83"/>
      <x v="82"/>
    </i>
    <i>
      <x v="107"/>
      <x v="30"/>
      <x v="84"/>
      <x v="83"/>
    </i>
    <i>
      <x v="108"/>
      <x v="30"/>
      <x v="85"/>
      <x v="82"/>
    </i>
    <i>
      <x v="109"/>
      <x v="30"/>
      <x v="86"/>
      <x v="82"/>
    </i>
    <i>
      <x v="110"/>
      <x v="30"/>
      <x v="87"/>
      <x v="84"/>
    </i>
    <i>
      <x v="111"/>
      <x v="30"/>
      <x v="88"/>
      <x v="85"/>
    </i>
    <i>
      <x v="112"/>
      <x v="30"/>
      <x v="89"/>
      <x v="86"/>
    </i>
    <i>
      <x v="118"/>
      <x v="61"/>
      <x v="97"/>
      <x v="91"/>
    </i>
  </rowItems>
  <colItems count="1">
    <i/>
  </colItems>
  <pageFields count="2">
    <pageField fld="15" hier="-1"/>
    <pageField fld="28" hier="-1"/>
  </pageFields>
  <formats count="17">
    <format dxfId="211">
      <pivotArea outline="0" collapsedLevelsAreSubtotals="1" fieldPosition="0"/>
    </format>
    <format dxfId="210">
      <pivotArea outline="0" collapsedLevelsAreSubtotals="1" fieldPosition="0"/>
    </format>
    <format dxfId="209">
      <pivotArea outline="0" collapsedLevelsAreSubtotals="1" fieldPosition="0"/>
    </format>
    <format dxfId="208">
      <pivotArea outline="0" collapsedLevelsAreSubtotals="1" fieldPosition="0"/>
    </format>
    <format dxfId="207">
      <pivotArea field="11" type="button" dataOnly="0" labelOnly="1" outline="0" axis="axisRow" fieldPosition="0"/>
    </format>
    <format dxfId="206">
      <pivotArea field="20" type="button" dataOnly="0" labelOnly="1" outline="0" axis="axisRow" fieldPosition="2"/>
    </format>
    <format dxfId="205">
      <pivotArea field="22" type="button" dataOnly="0" labelOnly="1" outline="0" axis="axisRow" fieldPosition="3"/>
    </format>
    <format dxfId="204">
      <pivotArea dataOnly="0" labelOnly="1" outline="0" axis="axisValues" fieldPosition="0"/>
    </format>
    <format dxfId="203">
      <pivotArea dataOnly="0" labelOnly="1" outline="0" axis="axisValues" fieldPosition="0"/>
    </format>
    <format dxfId="202">
      <pivotArea outline="0" collapsedLevelsAreSubtotals="1" fieldPosition="0"/>
    </format>
    <format dxfId="201">
      <pivotArea field="11" type="button" dataOnly="0" labelOnly="1" outline="0" axis="axisRow" fieldPosition="0"/>
    </format>
    <format dxfId="200">
      <pivotArea field="20" type="button" dataOnly="0" labelOnly="1" outline="0" axis="axisRow" fieldPosition="2"/>
    </format>
    <format dxfId="199">
      <pivotArea field="22" type="button" dataOnly="0" labelOnly="1" outline="0" axis="axisRow" fieldPosition="3"/>
    </format>
    <format dxfId="198">
      <pivotArea dataOnly="0" labelOnly="1" outline="0" axis="axisValues" fieldPosition="0"/>
    </format>
    <format dxfId="197">
      <pivotArea dataOnly="0" labelOnly="1" outline="0" axis="axisValues" fieldPosition="0"/>
    </format>
    <format dxfId="196">
      <pivotArea outline="0" collapsedLevelsAreSubtotals="1" fieldPosition="0"/>
    </format>
    <format dxfId="195">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1000-00000D000000}" name="Tabela dinâmica7" cacheId="0" applyNumberFormats="0" applyBorderFormats="0" applyFontFormats="0" applyPatternFormats="0" applyAlignmentFormats="0" applyWidthHeightFormats="1" dataCaption="Valores" updatedVersion="8" minRefreshableVersion="3" showDrill="0" rowGrandTotals="0" colGrandTotals="0" itemPrintTitles="1" createdVersion="6" indent="0" compact="0" compactData="0" multipleFieldFilters="0">
  <location ref="B4:H9" firstHeaderRow="1" firstDataRow="1" firstDataCol="6" rowPageCount="2" colPageCount="1"/>
  <pivotFields count="36">
    <pivotField compact="0" outline="0" showAll="0" defaultSubtotal="0"/>
    <pivotField compact="0" outline="0" showAll="0" defaultSubtotal="0"/>
    <pivotField compact="0" outline="0" showAll="0" defaultSubtotal="0"/>
    <pivotField axis="axisRow" compact="0" outline="0" showAll="0" defaultSubtotal="0">
      <items count="141">
        <item x="51"/>
        <item x="52"/>
        <item x="56"/>
        <item x="55"/>
        <item x="54"/>
        <item x="57"/>
        <item x="53"/>
        <item x="36"/>
        <item x="124"/>
        <item x="38"/>
        <item x="44"/>
        <item x="39"/>
        <item x="30"/>
        <item x="108"/>
        <item x="43"/>
        <item x="41"/>
        <item x="50"/>
        <item x="35"/>
        <item x="47"/>
        <item x="31"/>
        <item x="61"/>
        <item x="42"/>
        <item x="8"/>
        <item x="40"/>
        <item x="27"/>
        <item x="96"/>
        <item x="32"/>
        <item x="15"/>
        <item x="49"/>
        <item x="2"/>
        <item x="33"/>
        <item x="34"/>
        <item x="9"/>
        <item x="0"/>
        <item x="4"/>
        <item x="1"/>
        <item x="28"/>
        <item x="29"/>
        <item x="14"/>
        <item x="46"/>
        <item x="37"/>
        <item x="5"/>
        <item x="3"/>
        <item x="45"/>
        <item x="48"/>
        <item x="6"/>
        <item x="11"/>
        <item x="7"/>
        <item x="10"/>
        <item x="100"/>
        <item x="83"/>
        <item x="13"/>
        <item x="12"/>
        <item x="88"/>
        <item x="20"/>
        <item x="98"/>
        <item x="85"/>
        <item x="84"/>
        <item x="19"/>
        <item x="18"/>
        <item x="16"/>
        <item x="59"/>
        <item x="86"/>
        <item x="62"/>
        <item x="17"/>
        <item x="64"/>
        <item x="21"/>
        <item x="58"/>
        <item x="22"/>
        <item x="67"/>
        <item x="63"/>
        <item x="25"/>
        <item x="89"/>
        <item x="23"/>
        <item x="104"/>
        <item x="111"/>
        <item x="24"/>
        <item x="92"/>
        <item x="60"/>
        <item x="26"/>
        <item x="68"/>
        <item x="130"/>
        <item x="90"/>
        <item x="115"/>
        <item x="65"/>
        <item x="69"/>
        <item x="94"/>
        <item x="70"/>
        <item x="72"/>
        <item x="73"/>
        <item x="71"/>
        <item x="74"/>
        <item x="75"/>
        <item x="76"/>
        <item x="82"/>
        <item x="78"/>
        <item x="79"/>
        <item x="81"/>
        <item x="77"/>
        <item x="80"/>
        <item x="93"/>
        <item x="66"/>
        <item x="102"/>
        <item x="114"/>
        <item x="105"/>
        <item x="125"/>
        <item x="97"/>
        <item x="126"/>
        <item x="129"/>
        <item x="87"/>
        <item x="110"/>
        <item x="122"/>
        <item x="116"/>
        <item x="91"/>
        <item x="109"/>
        <item x="106"/>
        <item x="95"/>
        <item x="117"/>
        <item x="99"/>
        <item x="103"/>
        <item x="101"/>
        <item x="112"/>
        <item x="113"/>
        <item x="128"/>
        <item x="127"/>
        <item x="107"/>
        <item x="121"/>
        <item x="135"/>
        <item x="118"/>
        <item x="119"/>
        <item x="120"/>
        <item x="136"/>
        <item x="123"/>
        <item x="133"/>
        <item x="134"/>
        <item x="137"/>
        <item x="131"/>
        <item x="132"/>
        <item x="138"/>
        <item x="139"/>
        <item x="140"/>
      </items>
    </pivotField>
    <pivotField compact="0" outline="0" showAll="0" defaultSubtotal="0"/>
    <pivotField compact="0" outline="0" showAll="0" defaultSubtotal="0"/>
    <pivotField compact="0" outline="0" showAll="0" defaultSubtotal="0"/>
    <pivotField compact="0" outline="0" showAll="0" defaultSubtotal="0">
      <items count="121">
        <item x="10"/>
        <item x="0"/>
        <item x="29"/>
        <item x="30"/>
        <item x="3"/>
        <item x="2"/>
        <item x="1"/>
        <item x="4"/>
        <item x="28"/>
        <item x="27"/>
        <item x="33"/>
        <item x="8"/>
        <item x="9"/>
        <item x="6"/>
        <item x="5"/>
        <item x="7"/>
        <item x="31"/>
        <item x="32"/>
        <item x="34"/>
        <item x="35"/>
        <item x="37"/>
        <item x="26"/>
        <item x="38"/>
        <item x="40"/>
        <item x="36"/>
        <item x="12"/>
        <item x="39"/>
        <item x="41"/>
        <item x="43"/>
        <item x="42"/>
        <item x="44"/>
        <item x="45"/>
        <item x="14"/>
        <item x="11"/>
        <item x="13"/>
        <item x="15"/>
        <item x="47"/>
        <item x="46"/>
        <item x="17"/>
        <item x="20"/>
        <item x="16"/>
        <item x="19"/>
        <item x="18"/>
        <item x="21"/>
        <item x="48"/>
        <item x="49"/>
        <item x="50"/>
        <item x="51"/>
        <item x="52"/>
        <item x="53"/>
        <item x="54"/>
        <item x="22"/>
        <item x="23"/>
        <item x="55"/>
        <item x="24"/>
        <item x="25"/>
        <item x="56"/>
        <item x="57"/>
        <item x="58"/>
        <item x="59"/>
        <item x="60"/>
        <item x="61"/>
        <item x="62"/>
        <item x="79"/>
        <item x="63"/>
        <item x="64"/>
        <item x="65"/>
        <item x="66"/>
        <item x="67"/>
        <item x="68"/>
        <item x="69"/>
        <item x="70"/>
        <item x="71"/>
        <item x="72"/>
        <item x="73"/>
        <item x="74"/>
        <item x="75"/>
        <item x="76"/>
        <item x="77"/>
        <item x="78"/>
        <item x="80"/>
        <item x="81"/>
        <item x="82"/>
        <item x="83"/>
        <item x="84"/>
        <item x="85"/>
        <item x="87"/>
        <item x="88"/>
        <item x="89"/>
        <item x="90"/>
        <item x="91"/>
        <item x="86"/>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s>
    </pivotField>
    <pivotField compact="0" outline="0" showAll="0" defaultSubtotal="0"/>
    <pivotField compact="0" outline="0" showAll="0" defaultSubtotal="0"/>
    <pivotField compact="0" outline="0" showAll="0" defaultSubtotal="0"/>
    <pivotField axis="axisRow" compact="0" outline="0" showAll="0" defaultSubtotal="0">
      <items count="185">
        <item h="1" x="155"/>
        <item h="1" x="36"/>
        <item h="1" x="34"/>
        <item h="1" x="31"/>
        <item h="1" m="1" x="165"/>
        <item h="1" m="1" x="177"/>
        <item h="1" x="0"/>
        <item h="1" x="35"/>
        <item h="1" x="4"/>
        <item h="1" x="3"/>
        <item h="1" x="2"/>
        <item h="1" x="1"/>
        <item h="1" x="5"/>
        <item h="1" x="33"/>
        <item h="1" m="1" x="175"/>
        <item h="1" x="9"/>
        <item h="1" x="11"/>
        <item h="1" x="10"/>
        <item h="1" x="7"/>
        <item h="1" x="6"/>
        <item h="1" x="8"/>
        <item h="1" x="37"/>
        <item h="1" x="38"/>
        <item h="1" x="40"/>
        <item h="1" x="41"/>
        <item h="1" x="43"/>
        <item h="1" x="44"/>
        <item h="1" x="46"/>
        <item h="1" x="42"/>
        <item h="1" x="14"/>
        <item h="1" x="15"/>
        <item h="1" x="45"/>
        <item h="1" x="47"/>
        <item h="1" x="49"/>
        <item h="1" x="48"/>
        <item h="1" m="1" x="162"/>
        <item h="1" x="32"/>
        <item h="1" x="50"/>
        <item h="1" m="1" x="183"/>
        <item h="1" x="51"/>
        <item h="1" x="53"/>
        <item h="1" x="18"/>
        <item h="1" x="19"/>
        <item h="1" x="13"/>
        <item h="1" x="16"/>
        <item h="1" x="20"/>
        <item h="1" x="54"/>
        <item h="1" x="22"/>
        <item h="1" x="25"/>
        <item h="1" x="21"/>
        <item h="1" x="24"/>
        <item h="1" x="23"/>
        <item h="1" x="26"/>
        <item h="1" x="12"/>
        <item h="1" x="17"/>
        <item h="1" x="55"/>
        <item h="1" x="56"/>
        <item h="1" x="57"/>
        <item h="1" x="58"/>
        <item h="1" x="59"/>
        <item h="1" x="60"/>
        <item h="1" x="61"/>
        <item h="1" x="62"/>
        <item h="1" x="27"/>
        <item h="1" x="28"/>
        <item h="1" x="63"/>
        <item h="1" x="29"/>
        <item h="1" x="30"/>
        <item h="1" m="1" x="180"/>
        <item h="1" m="1" x="181"/>
        <item h="1" m="1" x="182"/>
        <item h="1" m="1" x="166"/>
        <item h="1" m="1" x="167"/>
        <item h="1" m="1" x="168"/>
        <item h="1" m="1" x="170"/>
        <item h="1" m="1" x="171"/>
        <item h="1" m="1" x="172"/>
        <item h="1" m="1" x="173"/>
        <item h="1" m="1" x="174"/>
        <item h="1" m="1" x="176"/>
        <item h="1" m="1" x="163"/>
        <item h="1" x="64"/>
        <item h="1" x="39"/>
        <item h="1" x="52"/>
        <item h="1" x="65"/>
        <item h="1" x="66"/>
        <item h="1" x="67"/>
        <item h="1" x="68"/>
        <item h="1" x="69"/>
        <item h="1" x="70"/>
        <item h="1" x="71"/>
        <item h="1" x="72"/>
        <item h="1" x="73"/>
        <item h="1" m="1" x="164"/>
        <item h="1" m="1" x="178"/>
        <item h="1" x="90"/>
        <item h="1" m="1" x="179"/>
        <item h="1" x="74"/>
        <item h="1" x="75"/>
        <item h="1" x="76"/>
        <item h="1" x="77"/>
        <item h="1" x="78"/>
        <item h="1" x="79"/>
        <item h="1" x="80"/>
        <item h="1" x="81"/>
        <item h="1" x="82"/>
        <item h="1" x="83"/>
        <item h="1" x="84"/>
        <item h="1" x="85"/>
        <item h="1" x="86"/>
        <item h="1" x="87"/>
        <item h="1" x="88"/>
        <item h="1" x="89"/>
        <item h="1" x="91"/>
        <item h="1" x="92"/>
        <item h="1" m="1" x="184"/>
        <item h="1" m="1" x="169"/>
        <item h="1" x="93"/>
        <item h="1" x="94"/>
        <item h="1" x="95"/>
        <item h="1" x="96"/>
        <item h="1" x="97"/>
        <item h="1" x="98"/>
        <item h="1" x="127"/>
        <item h="1" x="99"/>
        <item h="1" x="100"/>
        <item h="1" x="101"/>
        <item h="1" x="102"/>
        <item h="1" x="103"/>
        <item h="1" x="104"/>
        <item h="1" x="105"/>
        <item h="1" x="106"/>
        <item h="1" x="110"/>
        <item h="1" x="111"/>
        <item h="1" x="120"/>
        <item h="1" x="121"/>
        <item h="1" m="1" x="160"/>
        <item h="1" m="1" x="161"/>
        <item h="1" x="107"/>
        <item h="1" x="108"/>
        <item h="1" x="109"/>
        <item h="1" x="112"/>
        <item h="1" x="113"/>
        <item h="1" x="114"/>
        <item h="1" x="115"/>
        <item h="1" x="116"/>
        <item h="1" x="117"/>
        <item h="1" x="118"/>
        <item h="1" x="119"/>
        <item h="1" x="123"/>
        <item h="1" x="128"/>
        <item h="1" x="122"/>
        <item h="1" m="1" x="159"/>
        <item h="1" x="124"/>
        <item h="1" x="125"/>
        <item h="1" x="126"/>
        <item h="1" x="129"/>
        <item h="1" x="130"/>
        <item h="1" x="131"/>
        <item h="1" x="132"/>
        <item h="1" x="133"/>
        <item x="134"/>
        <item x="135"/>
        <item x="136"/>
        <item x="137"/>
        <item x="138"/>
        <item x="139"/>
        <item x="140"/>
        <item x="141"/>
        <item x="142"/>
        <item x="143"/>
        <item x="144"/>
        <item x="145"/>
        <item x="146"/>
        <item x="147"/>
        <item x="148"/>
        <item x="149"/>
        <item x="150"/>
        <item x="151"/>
        <item x="152"/>
        <item x="153"/>
        <item x="154"/>
        <item x="156"/>
        <item x="157"/>
        <item x="158"/>
      </items>
    </pivotField>
    <pivotField axis="axisRow" compact="0" outline="0" showAll="0" defaultSubtotal="0">
      <items count="152">
        <item x="0"/>
        <item x="11"/>
        <item x="5"/>
        <item x="1"/>
        <item x="6"/>
        <item x="4"/>
        <item x="7"/>
        <item x="8"/>
        <item x="33"/>
        <item x="34"/>
        <item x="37"/>
        <item x="42"/>
        <item x="43"/>
        <item x="44"/>
        <item x="48"/>
        <item x="16"/>
        <item x="17"/>
        <item x="13"/>
        <item x="14"/>
        <item x="18"/>
        <item x="20"/>
        <item x="23"/>
        <item x="9"/>
        <item x="19"/>
        <item x="22"/>
        <item x="21"/>
        <item x="24"/>
        <item x="12"/>
        <item x="15"/>
        <item x="57"/>
        <item x="25"/>
        <item x="26"/>
        <item x="27"/>
        <item x="28"/>
        <item x="60"/>
        <item x="2"/>
        <item x="3"/>
        <item x="10"/>
        <item x="46"/>
        <item x="63"/>
        <item x="67"/>
        <item x="68"/>
        <item x="69"/>
        <item x="70"/>
        <item x="71"/>
        <item x="72"/>
        <item x="73"/>
        <item x="74"/>
        <item x="75"/>
        <item x="76"/>
        <item x="77"/>
        <item x="78"/>
        <item x="79"/>
        <item x="80"/>
        <item x="81"/>
        <item x="82"/>
        <item x="83"/>
        <item x="84"/>
        <item x="87"/>
        <item x="90"/>
        <item x="89"/>
        <item x="96"/>
        <item x="94"/>
        <item x="97"/>
        <item x="120"/>
        <item x="121"/>
        <item x="126"/>
        <item x="128"/>
        <item x="131"/>
        <item x="129"/>
        <item x="132"/>
        <item x="137"/>
        <item x="138"/>
        <item x="133"/>
        <item x="102"/>
        <item x="143"/>
        <item x="88"/>
        <item x="108"/>
        <item x="93"/>
        <item x="119"/>
        <item x="35"/>
        <item x="64"/>
        <item x="95"/>
        <item x="100"/>
        <item x="49"/>
        <item x="86"/>
        <item x="110"/>
        <item x="142"/>
        <item x="85"/>
        <item x="139"/>
        <item x="58"/>
        <item x="105"/>
        <item x="106"/>
        <item x="98"/>
        <item x="114"/>
        <item x="32"/>
        <item x="36"/>
        <item x="136"/>
        <item x="107"/>
        <item x="52"/>
        <item x="109"/>
        <item x="92"/>
        <item x="101"/>
        <item x="113"/>
        <item x="55"/>
        <item x="104"/>
        <item x="112"/>
        <item x="118"/>
        <item x="47"/>
        <item x="141"/>
        <item x="30"/>
        <item x="117"/>
        <item x="111"/>
        <item x="62"/>
        <item x="140"/>
        <item x="127"/>
        <item x="125"/>
        <item x="134"/>
        <item x="50"/>
        <item x="130"/>
        <item x="91"/>
        <item x="124"/>
        <item x="41"/>
        <item x="61"/>
        <item x="31"/>
        <item x="123"/>
        <item x="29"/>
        <item x="38"/>
        <item x="39"/>
        <item x="40"/>
        <item x="45"/>
        <item x="51"/>
        <item x="53"/>
        <item x="54"/>
        <item x="56"/>
        <item x="59"/>
        <item x="65"/>
        <item x="66"/>
        <item x="122"/>
        <item x="99"/>
        <item x="115"/>
        <item x="116"/>
        <item x="103"/>
        <item x="147"/>
        <item x="149"/>
        <item x="135"/>
        <item x="145"/>
        <item x="144"/>
        <item x="146"/>
        <item x="148"/>
        <item x="151"/>
        <item x="150"/>
      </items>
    </pivotField>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27">
        <item x="29"/>
        <item x="23"/>
        <item x="73"/>
        <item x="63"/>
        <item x="64"/>
        <item x="65"/>
        <item x="68"/>
        <item x="67"/>
        <item x="72"/>
        <item x="60"/>
        <item x="22"/>
        <item x="54"/>
        <item x="33"/>
        <item x="55"/>
        <item x="56"/>
        <item x="57"/>
        <item x="74"/>
        <item x="66"/>
        <item x="75"/>
        <item x="61"/>
        <item x="58"/>
        <item x="71"/>
        <item x="59"/>
        <item x="62"/>
        <item x="70"/>
        <item x="0"/>
        <item x="26"/>
        <item x="25"/>
        <item x="27"/>
        <item x="1"/>
        <item x="3"/>
        <item x="28"/>
        <item x="4"/>
        <item x="31"/>
        <item x="5"/>
        <item x="24"/>
        <item x="30"/>
        <item x="6"/>
        <item x="7"/>
        <item x="2"/>
        <item x="34"/>
        <item x="8"/>
        <item x="36"/>
        <item x="9"/>
        <item x="32"/>
        <item x="35"/>
        <item x="10"/>
        <item x="37"/>
        <item x="39"/>
        <item x="38"/>
        <item x="11"/>
        <item x="12"/>
        <item x="40"/>
        <item x="42"/>
        <item x="13"/>
        <item x="41"/>
        <item x="43"/>
        <item x="44"/>
        <item x="14"/>
        <item x="15"/>
        <item x="16"/>
        <item x="45"/>
        <item x="46"/>
        <item x="17"/>
        <item x="47"/>
        <item x="18"/>
        <item x="48"/>
        <item x="49"/>
        <item x="50"/>
        <item x="19"/>
        <item x="20"/>
        <item x="21"/>
        <item x="51"/>
        <item x="52"/>
        <item x="53"/>
        <item x="69"/>
        <item x="99"/>
        <item x="76"/>
        <item x="77"/>
        <item x="78"/>
        <item x="79"/>
        <item x="81"/>
        <item x="80"/>
        <item x="85"/>
        <item x="82"/>
        <item x="83"/>
        <item x="84"/>
        <item x="87"/>
        <item x="86"/>
        <item x="88"/>
        <item x="90"/>
        <item x="91"/>
        <item x="89"/>
        <item x="92"/>
        <item x="93"/>
        <item x="95"/>
        <item x="94"/>
        <item x="96"/>
        <item x="100"/>
        <item x="98"/>
        <item x="97"/>
        <item x="101"/>
        <item x="102"/>
        <item x="104"/>
        <item x="103"/>
        <item x="105"/>
        <item x="106"/>
        <item x="107"/>
        <item x="108"/>
        <item x="110"/>
        <item x="109"/>
        <item x="111"/>
        <item x="112"/>
        <item x="115"/>
        <item x="114"/>
        <item x="113"/>
        <item x="116"/>
        <item x="117"/>
        <item x="118"/>
        <item x="120"/>
        <item x="121"/>
        <item x="119"/>
        <item x="124"/>
        <item x="123"/>
        <item x="122"/>
        <item x="125"/>
        <item x="126"/>
      </items>
    </pivotField>
    <pivotField compact="0" outline="0" showAll="0" defaultSubtotal="0"/>
    <pivotField compact="0" outline="0" showAll="0" defaultSubtotal="0"/>
    <pivotField axis="axisRow" compact="0" outline="0" showAll="0" defaultSubtotal="0">
      <items count="162">
        <item x="149"/>
        <item x="32"/>
        <item x="30"/>
        <item x="28"/>
        <item x="0"/>
        <item x="31"/>
        <item x="4"/>
        <item x="3"/>
        <item x="2"/>
        <item x="1"/>
        <item x="5"/>
        <item x="29"/>
        <item x="35"/>
        <item x="9"/>
        <item x="10"/>
        <item x="7"/>
        <item x="6"/>
        <item x="8"/>
        <item x="33"/>
        <item x="34"/>
        <item x="36"/>
        <item x="37"/>
        <item x="39"/>
        <item x="40"/>
        <item x="42"/>
        <item x="38"/>
        <item x="13"/>
        <item x="41"/>
        <item x="43"/>
        <item x="45"/>
        <item x="44"/>
        <item m="1" x="158"/>
        <item x="46"/>
        <item x="48"/>
        <item x="47"/>
        <item m="1" x="159"/>
        <item x="16"/>
        <item x="12"/>
        <item x="14"/>
        <item x="17"/>
        <item x="50"/>
        <item x="19"/>
        <item x="18"/>
        <item x="21"/>
        <item x="20"/>
        <item x="23"/>
        <item x="22"/>
        <item x="11"/>
        <item x="15"/>
        <item x="51"/>
        <item x="52"/>
        <item x="53"/>
        <item x="54"/>
        <item x="55"/>
        <item x="56"/>
        <item x="57"/>
        <item m="1" x="160"/>
        <item x="24"/>
        <item x="25"/>
        <item x="59"/>
        <item x="26"/>
        <item x="27"/>
        <item m="1" x="155"/>
        <item m="1" x="152"/>
        <item x="60"/>
        <item x="61"/>
        <item x="62"/>
        <item x="63"/>
        <item x="64"/>
        <item m="1" x="161"/>
        <item m="1" x="157"/>
        <item m="1" x="156"/>
        <item m="1" x="154"/>
        <item x="86"/>
        <item x="70"/>
        <item x="71"/>
        <item x="72"/>
        <item x="73"/>
        <item x="74"/>
        <item x="75"/>
        <item x="76"/>
        <item x="77"/>
        <item x="78"/>
        <item x="79"/>
        <item x="80"/>
        <item x="81"/>
        <item x="82"/>
        <item x="83"/>
        <item x="84"/>
        <item x="85"/>
        <item x="87"/>
        <item x="88"/>
        <item x="96"/>
        <item x="49"/>
        <item x="58"/>
        <item m="1" x="153"/>
        <item x="89"/>
        <item x="90"/>
        <item x="91"/>
        <item x="92"/>
        <item x="65"/>
        <item x="66"/>
        <item x="67"/>
        <item x="68"/>
        <item x="69"/>
        <item x="93"/>
        <item x="94"/>
        <item x="95"/>
        <item x="97"/>
        <item x="98"/>
        <item x="99"/>
        <item x="100"/>
        <item x="101"/>
        <item x="102"/>
        <item x="103"/>
        <item x="104"/>
        <item x="105"/>
        <item x="106"/>
        <item x="107"/>
        <item x="108"/>
        <item x="109"/>
        <item x="110"/>
        <item x="111"/>
        <item x="112"/>
        <item x="113"/>
        <item x="114"/>
        <item x="115"/>
        <item x="117"/>
        <item x="116"/>
        <item x="118"/>
        <item x="119"/>
        <item x="120"/>
        <item m="1" x="150"/>
        <item x="122"/>
        <item x="123"/>
        <item x="124"/>
        <item m="1" x="151"/>
        <item x="126"/>
        <item x="127"/>
        <item x="128"/>
        <item x="129"/>
        <item x="130"/>
        <item x="131"/>
        <item x="121"/>
        <item x="125"/>
        <item x="132"/>
        <item x="133"/>
        <item x="134"/>
        <item x="135"/>
        <item x="136"/>
        <item x="137"/>
        <item x="138"/>
        <item x="139"/>
        <item x="140"/>
        <item x="141"/>
        <item x="142"/>
        <item x="143"/>
        <item x="144"/>
        <item x="145"/>
        <item x="146"/>
        <item x="147"/>
        <item x="148"/>
      </items>
    </pivotField>
    <pivotField compact="0" outline="0" showAll="0" defaultSubtotal="0">
      <items count="7">
        <item x="2"/>
        <item x="1"/>
        <item x="5"/>
        <item x="0"/>
        <item m="1" x="6"/>
        <item x="3"/>
        <item x="4"/>
      </items>
    </pivotField>
    <pivotField axis="axisRow" compact="0" outline="0" showAll="0" defaultSubtotal="0">
      <items count="144">
        <item x="29"/>
        <item x="7"/>
        <item x="137"/>
        <item x="30"/>
        <item x="33"/>
        <item x="31"/>
        <item m="1" x="143"/>
        <item x="0"/>
        <item x="32"/>
        <item x="4"/>
        <item x="3"/>
        <item x="2"/>
        <item x="1"/>
        <item x="5"/>
        <item x="35"/>
        <item x="9"/>
        <item x="11"/>
        <item x="10"/>
        <item x="6"/>
        <item x="8"/>
        <item x="34"/>
        <item x="36"/>
        <item x="37"/>
        <item x="39"/>
        <item x="40"/>
        <item x="42"/>
        <item x="38"/>
        <item x="14"/>
        <item x="41"/>
        <item x="43"/>
        <item x="45"/>
        <item x="44"/>
        <item m="1" x="142"/>
        <item x="46"/>
        <item x="48"/>
        <item x="47"/>
        <item x="49"/>
        <item x="17"/>
        <item x="18"/>
        <item x="13"/>
        <item x="15"/>
        <item x="19"/>
        <item x="50"/>
        <item x="21"/>
        <item x="27"/>
        <item x="20"/>
        <item x="23"/>
        <item x="22"/>
        <item x="25"/>
        <item x="24"/>
        <item x="12"/>
        <item x="16"/>
        <item x="51"/>
        <item x="52"/>
        <item x="53"/>
        <item x="54"/>
        <item x="55"/>
        <item x="56"/>
        <item x="57"/>
        <item x="58"/>
        <item x="26"/>
        <item x="59"/>
        <item x="28"/>
        <item m="1" x="141"/>
        <item x="60"/>
        <item x="61"/>
        <item x="62"/>
        <item x="63"/>
        <item x="64"/>
        <item x="65"/>
        <item x="66"/>
        <item x="67"/>
        <item x="68"/>
        <item x="82"/>
        <item x="69"/>
        <item x="70"/>
        <item x="71"/>
        <item x="72"/>
        <item x="73"/>
        <item x="74"/>
        <item x="75"/>
        <item x="76"/>
        <item x="77"/>
        <item x="78"/>
        <item x="79"/>
        <item x="80"/>
        <item x="81"/>
        <item x="83"/>
        <item x="84"/>
        <item x="91"/>
        <item x="85"/>
        <item x="86"/>
        <item x="87"/>
        <item x="88"/>
        <item x="89"/>
        <item x="90"/>
        <item x="92"/>
        <item x="93"/>
        <item x="94"/>
        <item x="95"/>
        <item x="96"/>
        <item x="97"/>
        <item x="98"/>
        <item x="99"/>
        <item x="100"/>
        <item x="101"/>
        <item x="102"/>
        <item x="103"/>
        <item x="104"/>
        <item x="105"/>
        <item x="106"/>
        <item x="107"/>
        <item x="108"/>
        <item x="109"/>
        <item x="110"/>
        <item m="1" x="140"/>
        <item x="112"/>
        <item x="113"/>
        <item x="114"/>
        <item x="111"/>
        <item x="116"/>
        <item x="117"/>
        <item m="1" x="139"/>
        <item x="119"/>
        <item x="120"/>
        <item x="121"/>
        <item x="115"/>
        <item x="122"/>
        <item x="118"/>
        <item x="123"/>
        <item x="124"/>
        <item x="125"/>
        <item x="126"/>
        <item x="127"/>
        <item x="128"/>
        <item x="129"/>
        <item m="1" x="138"/>
        <item x="131"/>
        <item x="130"/>
        <item x="132"/>
        <item x="133"/>
        <item x="134"/>
        <item x="135"/>
        <item x="136"/>
      </items>
    </pivotField>
    <pivotField compact="0" outline="0" showAll="0" defaultSubtotal="0"/>
    <pivotField compact="0" outline="0" showAll="0" defaultSubtotal="0">
      <items count="25">
        <item x="0"/>
        <item x="21"/>
        <item m="1" x="24"/>
        <item x="11"/>
        <item x="12"/>
        <item x="15"/>
        <item x="16"/>
        <item x="1"/>
        <item x="2"/>
        <item x="3"/>
        <item x="4"/>
        <item x="5"/>
        <item x="6"/>
        <item x="7"/>
        <item x="8"/>
        <item x="9"/>
        <item x="13"/>
        <item x="14"/>
        <item x="17"/>
        <item x="18"/>
        <item x="19"/>
        <item x="20"/>
        <item x="22"/>
        <item x="10"/>
        <item x="23"/>
      </items>
    </pivotField>
    <pivotField compact="0" outline="0" showAll="0" defaultSubtotal="0">
      <items count="241">
        <item x="31"/>
        <item x="38"/>
        <item m="1" x="237"/>
        <item m="1" x="223"/>
        <item x="32"/>
        <item x="0"/>
        <item x="34"/>
        <item m="1" x="171"/>
        <item m="1" x="177"/>
        <item m="1" x="232"/>
        <item m="1" x="239"/>
        <item m="1" x="164"/>
        <item m="1" x="157"/>
        <item m="1" x="189"/>
        <item m="1" x="201"/>
        <item m="1" x="207"/>
        <item m="1" x="184"/>
        <item m="1" x="206"/>
        <item x="36"/>
        <item x="37"/>
        <item m="1" x="222"/>
        <item m="1" x="175"/>
        <item m="1" x="176"/>
        <item x="43"/>
        <item x="44"/>
        <item x="41"/>
        <item m="1" x="214"/>
        <item m="1" x="162"/>
        <item m="1" x="238"/>
        <item x="45"/>
        <item x="47"/>
        <item x="46"/>
        <item m="1" x="168"/>
        <item x="48"/>
        <item m="1" x="178"/>
        <item m="1" x="173"/>
        <item m="1" x="221"/>
        <item m="1" x="231"/>
        <item m="1" x="181"/>
        <item m="1" x="180"/>
        <item m="1" x="229"/>
        <item m="1" x="158"/>
        <item m="1" x="190"/>
        <item m="1" x="203"/>
        <item m="1" x="200"/>
        <item m="1" x="183"/>
        <item m="1" x="193"/>
        <item m="1" x="199"/>
        <item m="1" x="195"/>
        <item m="1" x="161"/>
        <item m="1" x="233"/>
        <item m="1" x="194"/>
        <item m="1" x="216"/>
        <item m="1" x="204"/>
        <item m="1" x="166"/>
        <item m="1" x="224"/>
        <item m="1" x="197"/>
        <item m="1" x="202"/>
        <item m="1" x="172"/>
        <item m="1" x="218"/>
        <item m="1" x="174"/>
        <item m="1" x="191"/>
        <item m="1" x="165"/>
        <item m="1" x="159"/>
        <item x="64"/>
        <item m="1" x="188"/>
        <item m="1" x="235"/>
        <item m="1" x="198"/>
        <item m="1" x="226"/>
        <item m="1" x="186"/>
        <item m="1" x="196"/>
        <item m="1" x="192"/>
        <item m="1" x="213"/>
        <item m="1" x="234"/>
        <item m="1" x="209"/>
        <item m="1" x="240"/>
        <item m="1" x="179"/>
        <item m="1" x="228"/>
        <item m="1" x="167"/>
        <item m="1" x="220"/>
        <item m="1" x="156"/>
        <item m="1" x="170"/>
        <item m="1" x="236"/>
        <item m="1" x="230"/>
        <item m="1" x="205"/>
        <item m="1" x="227"/>
        <item m="1" x="182"/>
        <item m="1" x="210"/>
        <item m="1" x="160"/>
        <item m="1" x="187"/>
        <item m="1" x="163"/>
        <item m="1" x="212"/>
        <item m="1" x="208"/>
        <item m="1" x="219"/>
        <item m="1" x="185"/>
        <item m="1" x="211"/>
        <item m="1" x="169"/>
        <item m="1" x="217"/>
        <item x="1"/>
        <item x="2"/>
        <item x="3"/>
        <item x="4"/>
        <item x="5"/>
        <item x="6"/>
        <item x="7"/>
        <item x="8"/>
        <item x="9"/>
        <item x="10"/>
        <item x="11"/>
        <item x="12"/>
        <item x="13"/>
        <item x="14"/>
        <item x="15"/>
        <item x="16"/>
        <item x="17"/>
        <item x="18"/>
        <item x="19"/>
        <item x="20"/>
        <item x="21"/>
        <item x="22"/>
        <item x="23"/>
        <item x="24"/>
        <item x="25"/>
        <item x="26"/>
        <item x="27"/>
        <item x="28"/>
        <item x="29"/>
        <item x="30"/>
        <item x="33"/>
        <item x="35"/>
        <item x="39"/>
        <item x="40"/>
        <item x="42"/>
        <item x="49"/>
        <item x="50"/>
        <item x="51"/>
        <item x="52"/>
        <item x="53"/>
        <item x="54"/>
        <item x="55"/>
        <item x="56"/>
        <item x="57"/>
        <item x="58"/>
        <item x="59"/>
        <item x="60"/>
        <item x="61"/>
        <item x="62"/>
        <item x="63"/>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m="1" x="225"/>
        <item m="1" x="215"/>
        <item x="99"/>
        <item x="100"/>
        <item x="97"/>
        <item x="98"/>
        <item x="101"/>
        <item x="102"/>
        <item x="103"/>
        <item x="104"/>
        <item x="105"/>
        <item x="106"/>
        <item m="1" x="155"/>
        <item x="107"/>
        <item x="108"/>
        <item x="109"/>
        <item x="110"/>
        <item x="111"/>
        <item x="112"/>
        <item x="113"/>
        <item x="114"/>
        <item x="115"/>
        <item x="116"/>
        <item x="117"/>
        <item x="119"/>
        <item x="118"/>
        <item x="121"/>
        <item x="120"/>
        <item x="122"/>
        <item x="123"/>
        <item x="124"/>
        <item x="125"/>
        <item x="126"/>
        <item x="127"/>
        <item x="129"/>
        <item x="130"/>
        <item x="131"/>
        <item x="132"/>
        <item x="133"/>
        <item x="134"/>
        <item x="128"/>
        <item x="135"/>
        <item x="136"/>
        <item x="137"/>
        <item m="1" x="154"/>
        <item x="139"/>
        <item x="140"/>
        <item x="141"/>
        <item x="142"/>
        <item x="143"/>
        <item x="138"/>
        <item x="144"/>
        <item x="145"/>
        <item x="146"/>
        <item x="153"/>
        <item x="147"/>
        <item x="148"/>
        <item x="149"/>
        <item x="150"/>
        <item x="151"/>
        <item x="152"/>
      </items>
    </pivotField>
    <pivotField dataField="1" compact="0" outline="0" showAll="0" defaultSubtotal="0"/>
    <pivotField axis="axisPage" compact="0" outline="0" multipleItemSelectionAllowed="1" showAll="0" defaultSubtotal="0">
      <items count="6">
        <item x="1"/>
        <item h="1" x="2"/>
        <item h="1" x="0"/>
        <item h="1" x="5"/>
        <item x="3"/>
        <item h="1" x="4"/>
      </items>
    </pivotField>
    <pivotField axis="axisPage" compact="0" outline="0" multipleItemSelectionAllowed="1" showAll="0" defaultSubtotal="0">
      <items count="4">
        <item x="0"/>
        <item m="1" x="3"/>
        <item x="1"/>
        <item m="1" x="2"/>
      </items>
    </pivotField>
    <pivotField compact="0" outline="0" showAll="0" defaultSubtotal="0">
      <items count="62">
        <item m="1" x="61"/>
        <item x="12"/>
        <item x="37"/>
        <item x="29"/>
        <item x="38"/>
        <item x="45"/>
        <item x="30"/>
        <item x="41"/>
        <item x="26"/>
        <item x="34"/>
        <item x="42"/>
        <item x="31"/>
        <item x="32"/>
        <item x="2"/>
        <item x="0"/>
        <item x="9"/>
        <item x="8"/>
        <item x="3"/>
        <item x="36"/>
        <item x="35"/>
        <item x="1"/>
        <item x="39"/>
        <item x="4"/>
        <item x="40"/>
        <item x="33"/>
        <item x="6"/>
        <item x="5"/>
        <item x="27"/>
        <item x="28"/>
        <item x="14"/>
        <item x="7"/>
        <item x="44"/>
        <item x="11"/>
        <item x="13"/>
        <item x="43"/>
        <item x="17"/>
        <item x="15"/>
        <item x="20"/>
        <item x="10"/>
        <item x="16"/>
        <item x="19"/>
        <item x="18"/>
        <item x="21"/>
        <item x="46"/>
        <item x="47"/>
        <item x="48"/>
        <item x="49"/>
        <item x="50"/>
        <item x="51"/>
        <item x="52"/>
        <item x="22"/>
        <item x="23"/>
        <item x="53"/>
        <item x="24"/>
        <item x="25"/>
        <item x="54"/>
        <item x="55"/>
        <item x="56"/>
        <item x="57"/>
        <item x="58"/>
        <item x="59"/>
        <item x="60"/>
      </items>
    </pivotField>
    <pivotField compact="0" outline="0" showAll="0" defaultSubtotal="0">
      <items count="13">
        <item x="3"/>
        <item x="5"/>
        <item x="2"/>
        <item x="0"/>
        <item x="4"/>
        <item x="6"/>
        <item x="7"/>
        <item x="8"/>
        <item x="9"/>
        <item x="10"/>
        <item x="1"/>
        <item x="11"/>
        <item x="1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6">
    <field x="3"/>
    <field x="11"/>
    <field x="17"/>
    <field x="20"/>
    <field x="22"/>
    <field x="12"/>
  </rowFields>
  <rowItems count="5">
    <i>
      <x v="81"/>
      <x v="172"/>
      <x v="116"/>
      <x v="152"/>
      <x v="135"/>
      <x v="114"/>
    </i>
    <i>
      <x v="107"/>
      <x v="168"/>
      <x v="112"/>
      <x v="148"/>
      <x v="21"/>
      <x v="97"/>
    </i>
    <i>
      <x v="108"/>
      <x v="171"/>
      <x v="113"/>
      <x v="151"/>
      <x v="134"/>
      <x v="89"/>
    </i>
    <i>
      <x v="111"/>
      <x v="162"/>
      <x v="106"/>
      <x v="141"/>
      <x v="124"/>
      <x v="119"/>
    </i>
    <i>
      <x v="132"/>
      <x v="165"/>
      <x v="110"/>
      <x v="145"/>
      <x v="129"/>
      <x v="73"/>
    </i>
  </rowItems>
  <colItems count="1">
    <i/>
  </colItems>
  <pageFields count="2">
    <pageField fld="28" hier="-1"/>
    <pageField fld="27" hier="-1"/>
  </pageFields>
  <dataFields count="1">
    <dataField name="Soma de VALOR CONTRATO" fld="26" baseField="0" baseItem="0"/>
  </dataFields>
  <formats count="154">
    <format dxfId="194">
      <pivotArea field="7" type="button" dataOnly="0" labelOnly="1" outline="0"/>
    </format>
    <format dxfId="193">
      <pivotArea field="11" type="button" dataOnly="0" labelOnly="1" outline="0" axis="axisRow" fieldPosition="1"/>
    </format>
    <format dxfId="192">
      <pivotArea field="21" type="button" dataOnly="0" labelOnly="1" outline="0"/>
    </format>
    <format dxfId="191">
      <pivotArea field="24" type="button" dataOnly="0" labelOnly="1" outline="0"/>
    </format>
    <format dxfId="190">
      <pivotArea field="25" type="button" dataOnly="0" labelOnly="1" outline="0"/>
    </format>
    <format dxfId="189">
      <pivotArea dataOnly="0" labelOnly="1" outline="0" axis="axisValues" fieldPosition="0"/>
    </format>
    <format dxfId="188">
      <pivotArea dataOnly="0" labelOnly="1" outline="0" axis="axisValues" fieldPosition="0"/>
    </format>
    <format dxfId="187">
      <pivotArea type="all" dataOnly="0" outline="0" fieldPosition="0"/>
    </format>
    <format dxfId="186">
      <pivotArea outline="0" collapsedLevelsAreSubtotals="1" fieldPosition="0"/>
    </format>
    <format dxfId="185">
      <pivotArea field="7" type="button" dataOnly="0" labelOnly="1" outline="0"/>
    </format>
    <format dxfId="184">
      <pivotArea field="11" type="button" dataOnly="0" labelOnly="1" outline="0" axis="axisRow" fieldPosition="1"/>
    </format>
    <format dxfId="183">
      <pivotArea field="21" type="button" dataOnly="0" labelOnly="1" outline="0"/>
    </format>
    <format dxfId="182">
      <pivotArea field="24" type="button" dataOnly="0" labelOnly="1" outline="0"/>
    </format>
    <format dxfId="181">
      <pivotArea field="25" type="button" dataOnly="0" labelOnly="1" outline="0"/>
    </format>
    <format dxfId="180">
      <pivotArea dataOnly="0" labelOnly="1" outline="0" axis="axisValues" fieldPosition="0"/>
    </format>
    <format dxfId="179">
      <pivotArea dataOnly="0" labelOnly="1" outline="0" axis="axisValues" fieldPosition="0"/>
    </format>
    <format dxfId="178">
      <pivotArea field="7" type="button" dataOnly="0" labelOnly="1" outline="0"/>
    </format>
    <format dxfId="177">
      <pivotArea field="11" type="button" dataOnly="0" labelOnly="1" outline="0" axis="axisRow" fieldPosition="1"/>
    </format>
    <format dxfId="176">
      <pivotArea field="21" type="button" dataOnly="0" labelOnly="1" outline="0"/>
    </format>
    <format dxfId="175">
      <pivotArea field="24" type="button" dataOnly="0" labelOnly="1" outline="0"/>
    </format>
    <format dxfId="174">
      <pivotArea field="25" type="button" dataOnly="0" labelOnly="1" outline="0"/>
    </format>
    <format dxfId="173">
      <pivotArea dataOnly="0" labelOnly="1" outline="0" axis="axisValues" fieldPosition="0"/>
    </format>
    <format dxfId="172">
      <pivotArea dataOnly="0" labelOnly="1" outline="0" axis="axisValues" fieldPosition="0"/>
    </format>
    <format dxfId="171">
      <pivotArea type="all" dataOnly="0" outline="0" fieldPosition="0"/>
    </format>
    <format dxfId="170">
      <pivotArea outline="0" collapsedLevelsAreSubtotals="1" fieldPosition="0"/>
    </format>
    <format dxfId="169">
      <pivotArea field="7" type="button" dataOnly="0" labelOnly="1" outline="0"/>
    </format>
    <format dxfId="168">
      <pivotArea field="11" type="button" dataOnly="0" labelOnly="1" outline="0" axis="axisRow" fieldPosition="1"/>
    </format>
    <format dxfId="167">
      <pivotArea field="21" type="button" dataOnly="0" labelOnly="1" outline="0"/>
    </format>
    <format dxfId="166">
      <pivotArea field="24" type="button" dataOnly="0" labelOnly="1" outline="0"/>
    </format>
    <format dxfId="165">
      <pivotArea field="25" type="button" dataOnly="0" labelOnly="1" outline="0"/>
    </format>
    <format dxfId="164">
      <pivotArea dataOnly="0" labelOnly="1" outline="0" axis="axisValues" fieldPosition="0"/>
    </format>
    <format dxfId="163">
      <pivotArea dataOnly="0" labelOnly="1" outline="0" axis="axisValues" fieldPosition="0"/>
    </format>
    <format dxfId="162">
      <pivotArea type="all" dataOnly="0" outline="0" fieldPosition="0"/>
    </format>
    <format dxfId="161">
      <pivotArea outline="0" collapsedLevelsAreSubtotals="1" fieldPosition="0"/>
    </format>
    <format dxfId="160">
      <pivotArea field="7" type="button" dataOnly="0" labelOnly="1" outline="0"/>
    </format>
    <format dxfId="159">
      <pivotArea field="11" type="button" dataOnly="0" labelOnly="1" outline="0" axis="axisRow" fieldPosition="1"/>
    </format>
    <format dxfId="158">
      <pivotArea field="21" type="button" dataOnly="0" labelOnly="1" outline="0"/>
    </format>
    <format dxfId="157">
      <pivotArea field="24" type="button" dataOnly="0" labelOnly="1" outline="0"/>
    </format>
    <format dxfId="156">
      <pivotArea field="25" type="button" dataOnly="0" labelOnly="1" outline="0"/>
    </format>
    <format dxfId="155">
      <pivotArea dataOnly="0" labelOnly="1" outline="0" axis="axisValues" fieldPosition="0"/>
    </format>
    <format dxfId="154">
      <pivotArea dataOnly="0" labelOnly="1" outline="0" axis="axisValues" fieldPosition="0"/>
    </format>
    <format dxfId="153">
      <pivotArea type="all" dataOnly="0" outline="0" fieldPosition="0"/>
    </format>
    <format dxfId="152">
      <pivotArea outline="0" collapsedLevelsAreSubtotals="1" fieldPosition="0"/>
    </format>
    <format dxfId="151">
      <pivotArea field="7" type="button" dataOnly="0" labelOnly="1" outline="0"/>
    </format>
    <format dxfId="150">
      <pivotArea field="11" type="button" dataOnly="0" labelOnly="1" outline="0" axis="axisRow" fieldPosition="1"/>
    </format>
    <format dxfId="149">
      <pivotArea field="21" type="button" dataOnly="0" labelOnly="1" outline="0"/>
    </format>
    <format dxfId="148">
      <pivotArea field="24" type="button" dataOnly="0" labelOnly="1" outline="0"/>
    </format>
    <format dxfId="147">
      <pivotArea field="25" type="button" dataOnly="0" labelOnly="1" outline="0"/>
    </format>
    <format dxfId="146">
      <pivotArea dataOnly="0" labelOnly="1" outline="0" axis="axisValues" fieldPosition="0"/>
    </format>
    <format dxfId="145">
      <pivotArea dataOnly="0" labelOnly="1" outline="0" axis="axisValues" fieldPosition="0"/>
    </format>
    <format dxfId="144">
      <pivotArea outline="0" collapsedLevelsAreSubtotals="1" fieldPosition="0"/>
    </format>
    <format dxfId="143">
      <pivotArea outline="0" collapsedLevelsAreSubtotals="1" fieldPosition="0"/>
    </format>
    <format dxfId="142">
      <pivotArea outline="0" collapsedLevelsAreSubtotals="1" fieldPosition="0"/>
    </format>
    <format dxfId="141">
      <pivotArea field="25" type="button" dataOnly="0" labelOnly="1" outline="0"/>
    </format>
    <format dxfId="140">
      <pivotArea dataOnly="0" labelOnly="1" outline="0" axis="axisValues" fieldPosition="0"/>
    </format>
    <format dxfId="139">
      <pivotArea dataOnly="0" labelOnly="1" outline="0" axis="axisValues" fieldPosition="0"/>
    </format>
    <format dxfId="138">
      <pivotArea outline="0" collapsedLevelsAreSubtotals="1" fieldPosition="0"/>
    </format>
    <format dxfId="137">
      <pivotArea field="25" type="button" dataOnly="0" labelOnly="1" outline="0"/>
    </format>
    <format dxfId="136">
      <pivotArea dataOnly="0" labelOnly="1" outline="0" axis="axisValues" fieldPosition="0"/>
    </format>
    <format dxfId="135">
      <pivotArea dataOnly="0" labelOnly="1" outline="0" axis="axisValues" fieldPosition="0"/>
    </format>
    <format dxfId="134">
      <pivotArea field="7" type="button" dataOnly="0" labelOnly="1" outline="0"/>
    </format>
    <format dxfId="133">
      <pivotArea field="11" type="button" dataOnly="0" labelOnly="1" outline="0" axis="axisRow" fieldPosition="1"/>
    </format>
    <format dxfId="132">
      <pivotArea field="21" type="button" dataOnly="0" labelOnly="1" outline="0"/>
    </format>
    <format dxfId="131">
      <pivotArea field="24" type="button" dataOnly="0" labelOnly="1" outline="0"/>
    </format>
    <format dxfId="130">
      <pivotArea field="25" type="button" dataOnly="0" labelOnly="1" outline="0"/>
    </format>
    <format dxfId="129">
      <pivotArea dataOnly="0" labelOnly="1" outline="0" axis="axisValues" fieldPosition="0"/>
    </format>
    <format dxfId="128">
      <pivotArea dataOnly="0" labelOnly="1" outline="0" axis="axisValues" fieldPosition="0"/>
    </format>
    <format dxfId="127">
      <pivotArea outline="0" collapsedLevelsAreSubtotals="1" fieldPosition="0"/>
    </format>
    <format dxfId="126">
      <pivotArea outline="0" collapsedLevelsAreSubtotals="1" fieldPosition="0"/>
    </format>
    <format dxfId="125">
      <pivotArea outline="0" collapsedLevelsAreSubtotals="1" fieldPosition="0"/>
    </format>
    <format dxfId="124">
      <pivotArea field="22" type="button" dataOnly="0" labelOnly="1" outline="0" axis="axisRow" fieldPosition="4"/>
    </format>
    <format dxfId="123">
      <pivotArea field="7" type="button" dataOnly="0" labelOnly="1" outline="0"/>
    </format>
    <format dxfId="122">
      <pivotArea field="11" type="button" dataOnly="0" labelOnly="1" outline="0" axis="axisRow" fieldPosition="1"/>
    </format>
    <format dxfId="121">
      <pivotArea field="25" type="button" dataOnly="0" labelOnly="1" outline="0"/>
    </format>
    <format dxfId="120">
      <pivotArea dataOnly="0" labelOnly="1" outline="0" axis="axisValues" fieldPosition="0"/>
    </format>
    <format dxfId="119">
      <pivotArea dataOnly="0" labelOnly="1" outline="0" axis="axisValues" fieldPosition="0"/>
    </format>
    <format dxfId="118">
      <pivotArea field="22" type="button" dataOnly="0" labelOnly="1" outline="0" axis="axisRow" fieldPosition="4"/>
    </format>
    <format dxfId="117">
      <pivotArea field="7" type="button" dataOnly="0" labelOnly="1" outline="0"/>
    </format>
    <format dxfId="116">
      <pivotArea field="11" type="button" dataOnly="0" labelOnly="1" outline="0" axis="axisRow" fieldPosition="1"/>
    </format>
    <format dxfId="115">
      <pivotArea field="25" type="button" dataOnly="0" labelOnly="1" outline="0"/>
    </format>
    <format dxfId="114">
      <pivotArea dataOnly="0" labelOnly="1" outline="0" axis="axisValues" fieldPosition="0"/>
    </format>
    <format dxfId="113">
      <pivotArea dataOnly="0" labelOnly="1" outline="0" axis="axisValues" fieldPosition="0"/>
    </format>
    <format dxfId="112">
      <pivotArea field="22" type="button" dataOnly="0" labelOnly="1" outline="0" axis="axisRow" fieldPosition="4"/>
    </format>
    <format dxfId="111">
      <pivotArea field="7" type="button" dataOnly="0" labelOnly="1" outline="0"/>
    </format>
    <format dxfId="110">
      <pivotArea field="11" type="button" dataOnly="0" labelOnly="1" outline="0" axis="axisRow" fieldPosition="1"/>
    </format>
    <format dxfId="109">
      <pivotArea field="25" type="button" dataOnly="0" labelOnly="1" outline="0"/>
    </format>
    <format dxfId="108">
      <pivotArea dataOnly="0" labelOnly="1" outline="0" axis="axisValues" fieldPosition="0"/>
    </format>
    <format dxfId="107">
      <pivotArea dataOnly="0" labelOnly="1" outline="0" axis="axisValues" fieldPosition="0"/>
    </format>
    <format dxfId="106">
      <pivotArea field="22" type="button" dataOnly="0" labelOnly="1" outline="0" axis="axisRow" fieldPosition="4"/>
    </format>
    <format dxfId="105">
      <pivotArea field="7" type="button" dataOnly="0" labelOnly="1" outline="0"/>
    </format>
    <format dxfId="104">
      <pivotArea field="11" type="button" dataOnly="0" labelOnly="1" outline="0" axis="axisRow" fieldPosition="1"/>
    </format>
    <format dxfId="103">
      <pivotArea field="25" type="button" dataOnly="0" labelOnly="1" outline="0"/>
    </format>
    <format dxfId="102">
      <pivotArea dataOnly="0" labelOnly="1" outline="0" axis="axisValues" fieldPosition="0"/>
    </format>
    <format dxfId="101">
      <pivotArea dataOnly="0" labelOnly="1" outline="0" axis="axisValues" fieldPosition="0"/>
    </format>
    <format dxfId="100">
      <pivotArea field="22" type="button" dataOnly="0" labelOnly="1" outline="0" axis="axisRow" fieldPosition="4"/>
    </format>
    <format dxfId="99">
      <pivotArea field="7" type="button" dataOnly="0" labelOnly="1" outline="0"/>
    </format>
    <format dxfId="98">
      <pivotArea field="11" type="button" dataOnly="0" labelOnly="1" outline="0" axis="axisRow" fieldPosition="1"/>
    </format>
    <format dxfId="97">
      <pivotArea field="25" type="button" dataOnly="0" labelOnly="1" outline="0"/>
    </format>
    <format dxfId="96">
      <pivotArea dataOnly="0" labelOnly="1" outline="0" axis="axisValues" fieldPosition="0"/>
    </format>
    <format dxfId="95">
      <pivotArea dataOnly="0" labelOnly="1" outline="0" axis="axisValues" fieldPosition="0"/>
    </format>
    <format dxfId="94">
      <pivotArea outline="0" collapsedLevelsAreSubtotals="1" fieldPosition="0"/>
    </format>
    <format dxfId="93">
      <pivotArea outline="0" collapsedLevelsAreSubtotals="1" fieldPosition="0"/>
    </format>
    <format dxfId="92">
      <pivotArea field="20" type="button" dataOnly="0" labelOnly="1" outline="0" axis="axisRow" fieldPosition="3"/>
    </format>
    <format dxfId="91">
      <pivotArea outline="0" collapsedLevelsAreSubtotals="1" fieldPosition="0"/>
    </format>
    <format dxfId="90">
      <pivotArea outline="0" collapsedLevelsAreSubtotals="1" fieldPosition="0"/>
    </format>
    <format dxfId="89">
      <pivotArea outline="0" collapsedLevelsAreSubtotals="1" fieldPosition="0"/>
    </format>
    <format dxfId="88">
      <pivotArea outline="0" collapsedLevelsAreSubtotals="1" fieldPosition="0"/>
    </format>
    <format dxfId="87">
      <pivotArea outline="0" collapsedLevelsAreSubtotals="1" fieldPosition="0"/>
    </format>
    <format dxfId="86">
      <pivotArea outline="0" collapsedLevelsAreSubtotals="1" fieldPosition="0"/>
    </format>
    <format dxfId="85">
      <pivotArea outline="0" collapsedLevelsAreSubtotals="1" fieldPosition="0"/>
    </format>
    <format dxfId="84">
      <pivotArea outline="0" collapsedLevelsAreSubtotals="1" fieldPosition="0"/>
    </format>
    <format dxfId="83">
      <pivotArea dataOnly="0" labelOnly="1" outline="0" fieldPosition="0">
        <references count="1">
          <reference field="22" count="0"/>
        </references>
      </pivotArea>
    </format>
    <format dxfId="82">
      <pivotArea dataOnly="0" labelOnly="1" outline="0" fieldPosition="0">
        <references count="1">
          <reference field="22" count="0"/>
        </references>
      </pivotArea>
    </format>
    <format dxfId="81">
      <pivotArea field="11" type="button" dataOnly="0" labelOnly="1" outline="0" axis="axisRow" fieldPosition="1"/>
    </format>
    <format dxfId="80">
      <pivotArea field="20" type="button" dataOnly="0" labelOnly="1" outline="0" axis="axisRow" fieldPosition="3"/>
    </format>
    <format dxfId="79">
      <pivotArea field="22" type="button" dataOnly="0" labelOnly="1" outline="0" axis="axisRow" fieldPosition="4"/>
    </format>
    <format dxfId="78">
      <pivotArea dataOnly="0" labelOnly="1" outline="0" axis="axisValues" fieldPosition="0"/>
    </format>
    <format dxfId="77">
      <pivotArea dataOnly="0" labelOnly="1" outline="0" axis="axisValues" fieldPosition="0"/>
    </format>
    <format dxfId="76">
      <pivotArea field="11" type="button" dataOnly="0" labelOnly="1" outline="0" axis="axisRow" fieldPosition="1"/>
    </format>
    <format dxfId="75">
      <pivotArea field="20" type="button" dataOnly="0" labelOnly="1" outline="0" axis="axisRow" fieldPosition="3"/>
    </format>
    <format dxfId="74">
      <pivotArea field="22" type="button" dataOnly="0" labelOnly="1" outline="0" axis="axisRow" fieldPosition="4"/>
    </format>
    <format dxfId="73">
      <pivotArea dataOnly="0" labelOnly="1" outline="0" axis="axisValues" fieldPosition="0"/>
    </format>
    <format dxfId="72">
      <pivotArea dataOnly="0" labelOnly="1" outline="0" axis="axisValues" fieldPosition="0"/>
    </format>
    <format dxfId="71">
      <pivotArea field="11" type="button" dataOnly="0" labelOnly="1" outline="0" axis="axisRow" fieldPosition="1"/>
    </format>
    <format dxfId="70">
      <pivotArea field="20" type="button" dataOnly="0" labelOnly="1" outline="0" axis="axisRow" fieldPosition="3"/>
    </format>
    <format dxfId="69">
      <pivotArea field="22" type="button" dataOnly="0" labelOnly="1" outline="0" axis="axisRow" fieldPosition="4"/>
    </format>
    <format dxfId="68">
      <pivotArea dataOnly="0" labelOnly="1" outline="0" axis="axisValues" fieldPosition="0"/>
    </format>
    <format dxfId="67">
      <pivotArea dataOnly="0" labelOnly="1" outline="0" axis="axisValues" fieldPosition="0"/>
    </format>
    <format dxfId="66">
      <pivotArea field="11" type="button" dataOnly="0" labelOnly="1" outline="0" axis="axisRow" fieldPosition="1"/>
    </format>
    <format dxfId="65">
      <pivotArea field="20" type="button" dataOnly="0" labelOnly="1" outline="0" axis="axisRow" fieldPosition="3"/>
    </format>
    <format dxfId="64">
      <pivotArea field="22" type="button" dataOnly="0" labelOnly="1" outline="0" axis="axisRow" fieldPosition="4"/>
    </format>
    <format dxfId="63">
      <pivotArea dataOnly="0" labelOnly="1" outline="0" axis="axisValues" fieldPosition="0"/>
    </format>
    <format dxfId="62">
      <pivotArea dataOnly="0" labelOnly="1" outline="0" axis="axisValues" fieldPosition="0"/>
    </format>
    <format dxfId="61">
      <pivotArea field="11" type="button" dataOnly="0" labelOnly="1" outline="0" axis="axisRow" fieldPosition="1"/>
    </format>
    <format dxfId="60">
      <pivotArea field="20" type="button" dataOnly="0" labelOnly="1" outline="0" axis="axisRow" fieldPosition="3"/>
    </format>
    <format dxfId="59">
      <pivotArea field="22" type="button" dataOnly="0" labelOnly="1" outline="0" axis="axisRow" fieldPosition="4"/>
    </format>
    <format dxfId="58">
      <pivotArea dataOnly="0" labelOnly="1" outline="0" axis="axisValues" fieldPosition="0"/>
    </format>
    <format dxfId="57">
      <pivotArea dataOnly="0" labelOnly="1" outline="0" axis="axisValues" fieldPosition="0"/>
    </format>
    <format dxfId="56">
      <pivotArea outline="0" collapsedLevelsAreSubtotals="1" fieldPosition="0"/>
    </format>
    <format dxfId="55">
      <pivotArea outline="0" collapsedLevelsAreSubtotals="1" fieldPosition="0"/>
    </format>
    <format dxfId="54">
      <pivotArea outline="0" collapsedLevelsAreSubtotals="1" fieldPosition="0"/>
    </format>
    <format dxfId="53">
      <pivotArea outline="0" collapsedLevelsAreSubtotals="1" fieldPosition="0"/>
    </format>
    <format dxfId="52">
      <pivotArea outline="0" collapsedLevelsAreSubtotals="1" fieldPosition="0"/>
    </format>
    <format dxfId="51">
      <pivotArea field="11" type="button" dataOnly="0" labelOnly="1" outline="0" axis="axisRow" fieldPosition="1"/>
    </format>
    <format dxfId="50">
      <pivotArea field="20" type="button" dataOnly="0" labelOnly="1" outline="0" axis="axisRow" fieldPosition="3"/>
    </format>
    <format dxfId="49">
      <pivotArea field="22" type="button" dataOnly="0" labelOnly="1" outline="0" axis="axisRow" fieldPosition="4"/>
    </format>
    <format dxfId="48">
      <pivotArea field="29" type="button" dataOnly="0" labelOnly="1" outline="0"/>
    </format>
    <format dxfId="47">
      <pivotArea dataOnly="0" labelOnly="1" outline="0" axis="axisValues" fieldPosition="0"/>
    </format>
    <format dxfId="46">
      <pivotArea dataOnly="0" labelOnly="1" outline="0" axis="axisValues" fieldPosition="0"/>
    </format>
    <format dxfId="45">
      <pivotArea field="29" type="button" dataOnly="0" labelOnly="1" outline="0"/>
    </format>
    <format dxfId="44">
      <pivotArea outline="0" collapsedLevelsAreSubtotals="1" fieldPosition="0"/>
    </format>
    <format dxfId="43">
      <pivotArea outline="0" collapsedLevelsAreSubtotals="1" fieldPosition="0"/>
    </format>
    <format dxfId="42">
      <pivotArea field="30" type="button" dataOnly="0" labelOnly="1" outline="0"/>
    </format>
    <format dxfId="41">
      <pivotArea outline="0" collapsedLevelsAreSubtotals="1" fieldPosition="0"/>
    </format>
  </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1200-00000E000000}" name="Tabela dinâmica1" cacheId="0" applyNumberFormats="0" applyBorderFormats="0" applyFontFormats="0" applyPatternFormats="0" applyAlignmentFormats="0" applyWidthHeightFormats="1" dataCaption="Valores" updatedVersion="8" minRefreshableVersion="3" rowGrandTotals="0" colGrandTotals="0" itemPrintTitles="1" createdVersion="6" indent="0" compact="0" compactData="0" multipleFieldFilters="0">
  <location ref="B9:E168" firstHeaderRow="1" firstDataRow="1" firstDataCol="4" rowPageCount="1" colPageCount="1"/>
  <pivotFields count="36">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 axis="axisRow" compact="0" outline="0" showAll="0" defaultSubtotal="0">
      <items count="185">
        <item m="1" x="175"/>
        <item x="0"/>
        <item x="1"/>
        <item x="2"/>
        <item x="3"/>
        <item x="4"/>
        <item x="5"/>
        <item x="6"/>
        <item x="7"/>
        <item x="8"/>
        <item x="9"/>
        <item x="10"/>
        <item x="11"/>
        <item m="1" x="165"/>
        <item m="1" x="177"/>
        <item x="31"/>
        <item x="34"/>
        <item x="35"/>
        <item x="36"/>
        <item x="155"/>
        <item x="33"/>
        <item x="37"/>
        <item x="38"/>
        <item x="40"/>
        <item x="41"/>
        <item x="43"/>
        <item x="44"/>
        <item x="46"/>
        <item x="42"/>
        <item x="14"/>
        <item x="15"/>
        <item x="45"/>
        <item x="47"/>
        <item x="49"/>
        <item x="48"/>
        <item m="1" x="162"/>
        <item x="32"/>
        <item x="50"/>
        <item m="1" x="183"/>
        <item x="51"/>
        <item x="53"/>
        <item x="18"/>
        <item x="19"/>
        <item x="13"/>
        <item x="16"/>
        <item x="20"/>
        <item x="54"/>
        <item x="22"/>
        <item x="25"/>
        <item x="21"/>
        <item x="24"/>
        <item x="23"/>
        <item x="26"/>
        <item x="12"/>
        <item x="17"/>
        <item x="55"/>
        <item x="56"/>
        <item x="57"/>
        <item x="58"/>
        <item x="59"/>
        <item x="60"/>
        <item x="61"/>
        <item x="62"/>
        <item x="27"/>
        <item x="28"/>
        <item x="63"/>
        <item x="29"/>
        <item x="30"/>
        <item m="1" x="180"/>
        <item m="1" x="181"/>
        <item m="1" x="182"/>
        <item m="1" x="166"/>
        <item m="1" x="167"/>
        <item m="1" x="168"/>
        <item m="1" x="170"/>
        <item m="1" x="171"/>
        <item m="1" x="172"/>
        <item m="1" x="173"/>
        <item m="1" x="174"/>
        <item m="1" x="176"/>
        <item m="1" x="163"/>
        <item x="64"/>
        <item x="39"/>
        <item x="52"/>
        <item x="65"/>
        <item x="66"/>
        <item x="67"/>
        <item x="68"/>
        <item x="69"/>
        <item x="70"/>
        <item x="71"/>
        <item x="72"/>
        <item x="73"/>
        <item m="1" x="164"/>
        <item m="1" x="178"/>
        <item x="90"/>
        <item m="1" x="179"/>
        <item x="74"/>
        <item x="75"/>
        <item x="76"/>
        <item x="77"/>
        <item x="78"/>
        <item x="79"/>
        <item x="80"/>
        <item x="81"/>
        <item x="82"/>
        <item x="83"/>
        <item x="84"/>
        <item x="85"/>
        <item x="86"/>
        <item x="87"/>
        <item x="88"/>
        <item x="89"/>
        <item x="91"/>
        <item x="92"/>
        <item m="1" x="184"/>
        <item m="1" x="169"/>
        <item x="93"/>
        <item x="94"/>
        <item x="95"/>
        <item x="96"/>
        <item x="97"/>
        <item x="98"/>
        <item x="127"/>
        <item x="99"/>
        <item x="100"/>
        <item x="101"/>
        <item x="102"/>
        <item x="103"/>
        <item x="104"/>
        <item x="105"/>
        <item x="106"/>
        <item x="110"/>
        <item x="111"/>
        <item x="120"/>
        <item x="121"/>
        <item m="1" x="160"/>
        <item m="1" x="161"/>
        <item x="107"/>
        <item x="108"/>
        <item x="109"/>
        <item x="112"/>
        <item x="113"/>
        <item x="114"/>
        <item x="115"/>
        <item x="116"/>
        <item x="117"/>
        <item x="118"/>
        <item x="119"/>
        <item x="123"/>
        <item x="128"/>
        <item x="122"/>
        <item m="1" x="159"/>
        <item x="124"/>
        <item x="125"/>
        <item x="126"/>
        <item x="129"/>
        <item x="130"/>
        <item x="131"/>
        <item x="132"/>
        <item x="133"/>
        <item x="134"/>
        <item x="135"/>
        <item x="136"/>
        <item x="137"/>
        <item x="138"/>
        <item x="139"/>
        <item x="140"/>
        <item x="141"/>
        <item x="142"/>
        <item x="143"/>
        <item x="144"/>
        <item x="145"/>
        <item x="146"/>
        <item x="147"/>
        <item x="148"/>
        <item x="149"/>
        <item x="150"/>
        <item x="151"/>
        <item x="152"/>
        <item x="153"/>
        <item x="154"/>
        <item x="156"/>
        <item x="157"/>
        <item x="158"/>
      </items>
    </pivotField>
    <pivotField compact="0" outline="0" showAll="0"/>
    <pivotField compact="0" outline="0" showAll="0"/>
    <pivotField axis="axisRow" compact="0" outline="0" showAll="0" defaultSubtotal="0">
      <items count="100">
        <item x="1"/>
        <item x="27"/>
        <item x="29"/>
        <item x="34"/>
        <item x="21"/>
        <item x="26"/>
        <item x="5"/>
        <item x="6"/>
        <item x="30"/>
        <item x="3"/>
        <item x="10"/>
        <item x="32"/>
        <item x="28"/>
        <item x="4"/>
        <item x="31"/>
        <item x="20"/>
        <item x="8"/>
        <item x="13"/>
        <item x="23"/>
        <item x="22"/>
        <item x="33"/>
        <item x="2"/>
        <item x="24"/>
        <item x="25"/>
        <item x="0"/>
        <item x="7"/>
        <item x="93"/>
        <item m="1" x="97"/>
        <item x="35"/>
        <item x="12"/>
        <item x="9"/>
        <item x="36"/>
        <item x="38"/>
        <item x="37"/>
        <item x="14"/>
        <item x="15"/>
        <item x="11"/>
        <item x="16"/>
        <item x="39"/>
        <item x="40"/>
        <item x="41"/>
        <item x="42"/>
        <item x="43"/>
        <item x="44"/>
        <item x="45"/>
        <item x="17"/>
        <item x="46"/>
        <item x="18"/>
        <item x="19"/>
        <item x="47"/>
        <item m="1" x="95"/>
        <item x="48"/>
        <item x="49"/>
        <item x="50"/>
        <item m="1" x="98"/>
        <item x="51"/>
        <item x="52"/>
        <item m="1" x="99"/>
        <item x="53"/>
        <item x="54"/>
        <item x="55"/>
        <item x="56"/>
        <item x="57"/>
        <item x="58"/>
        <item x="60"/>
        <item x="59"/>
        <item x="61"/>
        <item x="62"/>
        <item x="63"/>
        <item x="64"/>
        <item x="65"/>
        <item m="1" x="96"/>
        <item x="66"/>
        <item m="1" x="94"/>
        <item x="68"/>
        <item x="69"/>
        <item x="70"/>
        <item x="71"/>
        <item x="72"/>
        <item x="73"/>
        <item x="76"/>
        <item x="77"/>
        <item x="75"/>
        <item x="78"/>
        <item x="79"/>
        <item x="80"/>
        <item x="74"/>
        <item x="81"/>
        <item x="82"/>
        <item x="83"/>
        <item x="84"/>
        <item x="85"/>
        <item x="86"/>
        <item x="87"/>
        <item x="67"/>
        <item x="88"/>
        <item x="89"/>
        <item x="90"/>
        <item x="91"/>
        <item x="92"/>
      </items>
      <extLst>
        <ext xmlns:x14="http://schemas.microsoft.com/office/spreadsheetml/2009/9/main" uri="{2946ED86-A175-432a-8AC1-64E0C546D7DE}">
          <x14:pivotField fillDownLabels="1"/>
        </ext>
      </extLst>
    </pivotField>
    <pivotField compact="0" outline="0" showAll="0" defaultSubtotal="0"/>
    <pivotField compact="0" outline="0" showAll="0" defaultSubtotal="0"/>
    <pivotField compact="0" outline="0" showAll="0"/>
    <pivotField compact="0" outline="0" showAll="0"/>
    <pivotField compact="0" outline="0" showAll="0" defaultSubtotal="0"/>
    <pivotField axis="axisRow" compact="0" outline="0" showAll="0" defaultSubtotal="0">
      <items count="162">
        <item x="3"/>
        <item x="9"/>
        <item x="35"/>
        <item x="2"/>
        <item x="10"/>
        <item x="32"/>
        <item x="0"/>
        <item x="8"/>
        <item x="7"/>
        <item x="31"/>
        <item x="30"/>
        <item x="4"/>
        <item x="1"/>
        <item x="6"/>
        <item x="28"/>
        <item x="29"/>
        <item x="5"/>
        <item x="149"/>
        <item x="33"/>
        <item x="34"/>
        <item x="36"/>
        <item x="37"/>
        <item x="39"/>
        <item x="40"/>
        <item x="42"/>
        <item x="38"/>
        <item x="13"/>
        <item x="41"/>
        <item x="43"/>
        <item x="45"/>
        <item x="44"/>
        <item m="1" x="158"/>
        <item x="46"/>
        <item x="48"/>
        <item x="47"/>
        <item m="1" x="159"/>
        <item x="16"/>
        <item x="12"/>
        <item x="14"/>
        <item x="17"/>
        <item x="50"/>
        <item x="19"/>
        <item x="18"/>
        <item x="21"/>
        <item x="20"/>
        <item x="23"/>
        <item x="22"/>
        <item x="11"/>
        <item x="15"/>
        <item x="51"/>
        <item x="52"/>
        <item x="53"/>
        <item x="54"/>
        <item x="55"/>
        <item x="56"/>
        <item x="57"/>
        <item m="1" x="160"/>
        <item x="24"/>
        <item x="25"/>
        <item x="59"/>
        <item x="26"/>
        <item x="27"/>
        <item m="1" x="155"/>
        <item m="1" x="152"/>
        <item x="60"/>
        <item x="61"/>
        <item x="62"/>
        <item x="63"/>
        <item x="64"/>
        <item m="1" x="161"/>
        <item m="1" x="157"/>
        <item m="1" x="156"/>
        <item m="1" x="154"/>
        <item x="86"/>
        <item x="70"/>
        <item x="71"/>
        <item x="72"/>
        <item x="73"/>
        <item x="74"/>
        <item x="75"/>
        <item x="76"/>
        <item x="77"/>
        <item x="78"/>
        <item x="79"/>
        <item x="80"/>
        <item x="81"/>
        <item x="82"/>
        <item x="83"/>
        <item x="84"/>
        <item x="85"/>
        <item x="87"/>
        <item x="88"/>
        <item x="96"/>
        <item x="49"/>
        <item x="58"/>
        <item m="1" x="153"/>
        <item x="89"/>
        <item x="90"/>
        <item x="91"/>
        <item x="92"/>
        <item x="65"/>
        <item x="66"/>
        <item x="67"/>
        <item x="68"/>
        <item x="69"/>
        <item x="93"/>
        <item x="94"/>
        <item x="95"/>
        <item x="97"/>
        <item x="98"/>
        <item x="99"/>
        <item x="100"/>
        <item x="101"/>
        <item x="102"/>
        <item x="103"/>
        <item x="104"/>
        <item x="105"/>
        <item x="106"/>
        <item x="107"/>
        <item x="108"/>
        <item x="109"/>
        <item x="110"/>
        <item x="111"/>
        <item x="112"/>
        <item x="113"/>
        <item x="114"/>
        <item x="115"/>
        <item x="117"/>
        <item x="116"/>
        <item x="118"/>
        <item x="119"/>
        <item x="120"/>
        <item m="1" x="150"/>
        <item x="122"/>
        <item x="123"/>
        <item x="124"/>
        <item m="1" x="151"/>
        <item x="126"/>
        <item x="127"/>
        <item x="128"/>
        <item x="129"/>
        <item x="130"/>
        <item x="131"/>
        <item x="121"/>
        <item x="125"/>
        <item x="132"/>
        <item x="133"/>
        <item x="134"/>
        <item x="135"/>
        <item x="136"/>
        <item x="137"/>
        <item x="138"/>
        <item x="139"/>
        <item x="140"/>
        <item x="141"/>
        <item x="142"/>
        <item x="143"/>
        <item x="144"/>
        <item x="145"/>
        <item x="146"/>
        <item x="147"/>
        <item x="148"/>
      </items>
    </pivotField>
    <pivotField compact="0" outline="0" showAll="0" defaultSubtotal="0"/>
    <pivotField axis="axisRow" compact="0" outline="0" showAll="0" defaultSubtotal="0">
      <items count="144">
        <item x="1"/>
        <item x="6"/>
        <item x="11"/>
        <item x="30"/>
        <item x="8"/>
        <item x="35"/>
        <item m="1" x="143"/>
        <item x="0"/>
        <item x="10"/>
        <item x="33"/>
        <item x="4"/>
        <item x="2"/>
        <item x="31"/>
        <item x="29"/>
        <item x="3"/>
        <item x="5"/>
        <item x="9"/>
        <item x="32"/>
        <item x="7"/>
        <item x="137"/>
        <item x="34"/>
        <item x="36"/>
        <item x="37"/>
        <item x="39"/>
        <item x="40"/>
        <item x="42"/>
        <item x="38"/>
        <item x="14"/>
        <item x="41"/>
        <item x="43"/>
        <item x="45"/>
        <item x="44"/>
        <item m="1" x="142"/>
        <item x="46"/>
        <item x="48"/>
        <item x="47"/>
        <item x="49"/>
        <item x="17"/>
        <item x="18"/>
        <item x="13"/>
        <item x="15"/>
        <item x="19"/>
        <item x="50"/>
        <item x="21"/>
        <item x="27"/>
        <item x="20"/>
        <item x="23"/>
        <item x="22"/>
        <item x="25"/>
        <item x="24"/>
        <item x="12"/>
        <item x="16"/>
        <item x="51"/>
        <item x="52"/>
        <item x="53"/>
        <item x="54"/>
        <item x="55"/>
        <item x="56"/>
        <item x="57"/>
        <item x="58"/>
        <item x="26"/>
        <item x="59"/>
        <item x="28"/>
        <item m="1" x="141"/>
        <item x="60"/>
        <item x="61"/>
        <item x="62"/>
        <item x="63"/>
        <item x="64"/>
        <item x="65"/>
        <item x="66"/>
        <item x="67"/>
        <item x="68"/>
        <item x="82"/>
        <item x="69"/>
        <item x="70"/>
        <item x="71"/>
        <item x="72"/>
        <item x="73"/>
        <item x="74"/>
        <item x="75"/>
        <item x="76"/>
        <item x="77"/>
        <item x="78"/>
        <item x="79"/>
        <item x="80"/>
        <item x="81"/>
        <item x="83"/>
        <item x="84"/>
        <item x="91"/>
        <item x="85"/>
        <item x="86"/>
        <item x="87"/>
        <item x="88"/>
        <item x="89"/>
        <item x="90"/>
        <item x="92"/>
        <item x="93"/>
        <item x="94"/>
        <item x="95"/>
        <item x="96"/>
        <item x="97"/>
        <item x="98"/>
        <item x="99"/>
        <item x="100"/>
        <item x="101"/>
        <item x="102"/>
        <item x="103"/>
        <item x="104"/>
        <item x="105"/>
        <item x="106"/>
        <item x="107"/>
        <item x="108"/>
        <item x="109"/>
        <item x="110"/>
        <item m="1" x="140"/>
        <item x="112"/>
        <item x="113"/>
        <item x="114"/>
        <item x="111"/>
        <item x="116"/>
        <item x="117"/>
        <item m="1" x="139"/>
        <item x="119"/>
        <item x="120"/>
        <item x="121"/>
        <item x="115"/>
        <item x="122"/>
        <item x="118"/>
        <item x="123"/>
        <item x="124"/>
        <item x="125"/>
        <item x="126"/>
        <item x="127"/>
        <item x="128"/>
        <item x="129"/>
        <item m="1" x="138"/>
        <item x="131"/>
        <item x="130"/>
        <item x="132"/>
        <item x="133"/>
        <item x="134"/>
        <item x="135"/>
        <item x="136"/>
      </items>
    </pivotField>
    <pivotField compact="0" outline="0" showAll="0"/>
    <pivotField compact="0" outline="0" showAll="0" defaultSubtotal="0"/>
    <pivotField compact="0" outline="0" showAll="0" defaultSubtotal="0"/>
    <pivotField compact="0" outline="0" showAll="0"/>
    <pivotField compact="0" outline="0" showAll="0" defaultSubtotal="0"/>
    <pivotField axis="axisPage" compact="0" outline="0" multipleItemSelectionAllowed="1" showAll="0" defaultSubtotal="0">
      <items count="4">
        <item x="0"/>
        <item h="1" m="1" x="2"/>
        <item m="1" x="3"/>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s>
  <rowFields count="4">
    <field x="11"/>
    <field x="14"/>
    <field x="20"/>
    <field x="22"/>
  </rowFields>
  <rowItems count="159">
    <i>
      <x v="1"/>
      <x v="24"/>
      <x v="6"/>
      <x v="7"/>
    </i>
    <i>
      <x v="2"/>
      <x/>
      <x v="12"/>
      <x/>
    </i>
    <i>
      <x v="3"/>
      <x v="21"/>
      <x v="3"/>
      <x v="11"/>
    </i>
    <i>
      <x v="4"/>
      <x v="21"/>
      <x/>
      <x v="14"/>
    </i>
    <i>
      <x v="5"/>
      <x/>
      <x v="11"/>
      <x v="10"/>
    </i>
    <i>
      <x v="6"/>
      <x v="9"/>
      <x v="16"/>
      <x v="15"/>
    </i>
    <i>
      <x v="7"/>
      <x v="13"/>
      <x v="13"/>
      <x v="1"/>
    </i>
    <i>
      <x v="8"/>
      <x v="6"/>
      <x v="8"/>
      <x v="18"/>
    </i>
    <i>
      <x v="9"/>
      <x v="7"/>
      <x v="7"/>
      <x v="4"/>
    </i>
    <i>
      <x v="10"/>
      <x v="25"/>
      <x v="1"/>
      <x v="16"/>
    </i>
    <i>
      <x v="11"/>
      <x v="16"/>
      <x v="4"/>
      <x v="8"/>
    </i>
    <i>
      <x v="12"/>
      <x v="16"/>
      <x v="4"/>
      <x v="2"/>
    </i>
    <i>
      <x v="15"/>
      <x v="15"/>
      <x v="14"/>
      <x v="13"/>
    </i>
    <i>
      <x v="16"/>
      <x v="4"/>
      <x v="10"/>
      <x v="12"/>
    </i>
    <i>
      <x v="17"/>
      <x v="19"/>
      <x v="9"/>
      <x v="17"/>
    </i>
    <i>
      <x v="18"/>
      <x v="18"/>
      <x v="5"/>
      <x v="9"/>
    </i>
    <i>
      <x v="19"/>
      <x v="26"/>
      <x v="17"/>
      <x v="19"/>
    </i>
    <i>
      <x v="20"/>
      <x v="10"/>
      <x v="15"/>
      <x v="3"/>
    </i>
    <i>
      <x v="21"/>
      <x v="22"/>
      <x v="18"/>
      <x v="20"/>
    </i>
    <i>
      <x v="22"/>
      <x v="22"/>
      <x v="19"/>
      <x v="20"/>
    </i>
    <i>
      <x v="23"/>
      <x v="17"/>
      <x v="20"/>
      <x v="21"/>
    </i>
    <i>
      <x v="24"/>
      <x v="5"/>
      <x v="21"/>
      <x v="22"/>
    </i>
    <i>
      <x v="25"/>
      <x v="12"/>
      <x v="22"/>
      <x v="23"/>
    </i>
    <i>
      <x v="26"/>
      <x v="2"/>
      <x v="23"/>
      <x v="24"/>
    </i>
    <i>
      <x v="27"/>
      <x v="14"/>
      <x v="24"/>
      <x v="25"/>
    </i>
    <i>
      <x v="28"/>
      <x v="1"/>
      <x v="25"/>
      <x v="26"/>
    </i>
    <i>
      <x v="29"/>
      <x v="10"/>
      <x v="26"/>
      <x v="27"/>
    </i>
    <i>
      <x v="30"/>
      <x v="10"/>
      <x v="26"/>
      <x v="27"/>
    </i>
    <i>
      <x v="31"/>
      <x v="8"/>
      <x v="27"/>
      <x v="28"/>
    </i>
    <i>
      <x v="32"/>
      <x v="11"/>
      <x v="28"/>
      <x v="29"/>
    </i>
    <i>
      <x v="33"/>
      <x v="3"/>
      <x v="29"/>
      <x v="30"/>
    </i>
    <i>
      <x v="34"/>
      <x v="20"/>
      <x v="30"/>
      <x v="31"/>
    </i>
    <i>
      <x v="36"/>
      <x v="10"/>
      <x v="15"/>
      <x v="3"/>
    </i>
    <i>
      <x v="37"/>
      <x v="28"/>
      <x v="32"/>
      <x v="33"/>
    </i>
    <i>
      <x v="39"/>
      <x v="31"/>
      <x v="34"/>
      <x v="35"/>
    </i>
    <i>
      <x v="40"/>
      <x v="32"/>
      <x v="93"/>
      <x v="36"/>
    </i>
    <i>
      <x v="41"/>
      <x v="29"/>
      <x v="36"/>
      <x v="37"/>
    </i>
    <i>
      <x v="42"/>
      <x v="29"/>
      <x v="36"/>
      <x v="38"/>
    </i>
    <i>
      <x v="43"/>
      <x v="30"/>
      <x v="37"/>
      <x v="39"/>
    </i>
    <i>
      <x v="44"/>
      <x v="30"/>
      <x v="38"/>
      <x v="40"/>
    </i>
    <i>
      <x v="45"/>
      <x v="17"/>
      <x v="39"/>
      <x v="41"/>
    </i>
    <i>
      <x v="46"/>
      <x v="21"/>
      <x v="40"/>
      <x v="42"/>
    </i>
    <i>
      <x v="47"/>
      <x v="34"/>
      <x v="41"/>
      <x v="43"/>
    </i>
    <i>
      <x v="48"/>
      <x v="35"/>
      <x v="46"/>
      <x v="49"/>
    </i>
    <i>
      <x v="49"/>
      <x v="25"/>
      <x v="42"/>
      <x v="45"/>
    </i>
    <i>
      <x v="50"/>
      <x v="36"/>
      <x v="43"/>
      <x v="46"/>
    </i>
    <i>
      <x v="51"/>
      <x v="30"/>
      <x v="44"/>
      <x v="47"/>
    </i>
    <i>
      <x v="52"/>
      <x v="37"/>
      <x v="45"/>
      <x v="48"/>
    </i>
    <i>
      <x v="53"/>
      <x v="21"/>
      <x v="47"/>
      <x v="50"/>
    </i>
    <i>
      <x v="54"/>
      <x v="36"/>
      <x v="48"/>
      <x v="51"/>
    </i>
    <i>
      <x v="55"/>
      <x v="38"/>
      <x v="49"/>
      <x v="52"/>
    </i>
    <i>
      <x v="56"/>
      <x v="39"/>
      <x v="50"/>
      <x v="53"/>
    </i>
    <i>
      <x v="57"/>
      <x v="36"/>
      <x v="51"/>
      <x v="54"/>
    </i>
    <i>
      <x v="58"/>
      <x v="40"/>
      <x v="52"/>
      <x v="55"/>
    </i>
    <i>
      <x v="59"/>
      <x v="41"/>
      <x v="53"/>
      <x v="56"/>
    </i>
    <i>
      <x v="60"/>
      <x v="42"/>
      <x v="54"/>
      <x v="57"/>
    </i>
    <i>
      <x v="61"/>
      <x v="43"/>
      <x v="55"/>
      <x v="58"/>
    </i>
    <i>
      <x v="62"/>
      <x v="44"/>
      <x v="94"/>
      <x v="59"/>
    </i>
    <i>
      <x v="63"/>
      <x v="45"/>
      <x v="57"/>
      <x v="60"/>
    </i>
    <i>
      <x v="64"/>
      <x v="30"/>
      <x v="58"/>
      <x v="48"/>
    </i>
    <i>
      <x v="65"/>
      <x v="46"/>
      <x v="59"/>
      <x v="61"/>
    </i>
    <i>
      <x v="66"/>
      <x v="47"/>
      <x v="60"/>
      <x v="44"/>
    </i>
    <i>
      <x v="67"/>
      <x v="48"/>
      <x v="61"/>
      <x v="62"/>
    </i>
    <i>
      <x v="81"/>
      <x v="49"/>
      <x v="64"/>
      <x v="64"/>
    </i>
    <i>
      <x v="82"/>
      <x v="23"/>
      <x v="2"/>
      <x v="5"/>
    </i>
    <i>
      <x v="83"/>
      <x v="33"/>
      <x v="33"/>
      <x v="34"/>
    </i>
    <i>
      <x v="84"/>
      <x v="51"/>
      <x v="65"/>
      <x v="65"/>
    </i>
    <i>
      <x v="85"/>
      <x v="52"/>
      <x v="66"/>
      <x v="66"/>
    </i>
    <i>
      <x v="86"/>
      <x v="16"/>
      <x v="67"/>
      <x v="67"/>
    </i>
    <i>
      <x v="87"/>
      <x v="53"/>
      <x v="68"/>
      <x v="68"/>
    </i>
    <i>
      <x v="88"/>
      <x v="10"/>
      <x v="100"/>
      <x v="69"/>
    </i>
    <i>
      <x v="89"/>
      <x v="55"/>
      <x v="101"/>
      <x v="70"/>
    </i>
    <i>
      <x v="90"/>
      <x v="55"/>
      <x v="102"/>
      <x v="71"/>
    </i>
    <i>
      <x v="91"/>
      <x v="56"/>
      <x v="103"/>
      <x v="70"/>
    </i>
    <i>
      <x v="92"/>
      <x v="56"/>
      <x v="104"/>
      <x v="72"/>
    </i>
    <i>
      <x v="95"/>
      <x v="59"/>
      <x v="73"/>
      <x v="73"/>
    </i>
    <i>
      <x v="97"/>
      <x v="45"/>
      <x v="74"/>
      <x v="74"/>
    </i>
    <i>
      <x v="98"/>
      <x v="35"/>
      <x v="75"/>
      <x v="75"/>
    </i>
    <i>
      <x v="99"/>
      <x v="48"/>
      <x v="76"/>
      <x v="18"/>
    </i>
    <i>
      <x v="100"/>
      <x v="30"/>
      <x v="77"/>
      <x v="76"/>
    </i>
    <i>
      <x v="101"/>
      <x v="30"/>
      <x v="78"/>
      <x v="77"/>
    </i>
    <i>
      <x v="102"/>
      <x v="58"/>
      <x v="79"/>
      <x v="78"/>
    </i>
    <i>
      <x v="103"/>
      <x v="28"/>
      <x v="80"/>
      <x v="79"/>
    </i>
    <i>
      <x v="104"/>
      <x v="30"/>
      <x v="81"/>
      <x v="80"/>
    </i>
    <i>
      <x v="105"/>
      <x v="30"/>
      <x v="82"/>
      <x v="81"/>
    </i>
    <i>
      <x v="106"/>
      <x v="30"/>
      <x v="83"/>
      <x v="82"/>
    </i>
    <i>
      <x v="107"/>
      <x v="30"/>
      <x v="84"/>
      <x v="83"/>
    </i>
    <i>
      <x v="108"/>
      <x v="30"/>
      <x v="85"/>
      <x v="82"/>
    </i>
    <i>
      <x v="109"/>
      <x v="30"/>
      <x v="86"/>
      <x v="82"/>
    </i>
    <i>
      <x v="110"/>
      <x v="30"/>
      <x v="87"/>
      <x v="84"/>
    </i>
    <i>
      <x v="111"/>
      <x v="30"/>
      <x v="88"/>
      <x v="85"/>
    </i>
    <i>
      <x v="112"/>
      <x v="30"/>
      <x v="89"/>
      <x v="86"/>
    </i>
    <i>
      <x v="113"/>
      <x v="14"/>
      <x v="90"/>
      <x v="87"/>
    </i>
    <i>
      <x v="114"/>
      <x v="60"/>
      <x v="91"/>
      <x v="88"/>
    </i>
    <i>
      <x v="117"/>
      <x v="56"/>
      <x v="96"/>
      <x v="90"/>
    </i>
    <i>
      <x v="118"/>
      <x v="61"/>
      <x v="97"/>
      <x v="91"/>
    </i>
    <i>
      <x v="119"/>
      <x v="53"/>
      <x v="98"/>
      <x v="92"/>
    </i>
    <i>
      <x v="120"/>
      <x v="62"/>
      <x v="99"/>
      <x v="93"/>
    </i>
    <i>
      <x v="121"/>
      <x v="63"/>
      <x v="105"/>
      <x v="94"/>
    </i>
    <i>
      <x v="122"/>
      <x v="59"/>
      <x v="106"/>
      <x v="95"/>
    </i>
    <i>
      <x v="123"/>
      <x v="33"/>
      <x v="133"/>
      <x v="116"/>
    </i>
    <i>
      <x v="124"/>
      <x v="65"/>
      <x v="107"/>
      <x v="89"/>
    </i>
    <i>
      <x v="125"/>
      <x v="65"/>
      <x v="92"/>
      <x v="89"/>
    </i>
    <i>
      <x v="126"/>
      <x v="64"/>
      <x v="108"/>
      <x v="96"/>
    </i>
    <i>
      <x v="127"/>
      <x v="66"/>
      <x v="109"/>
      <x v="97"/>
    </i>
    <i>
      <x v="128"/>
      <x v="62"/>
      <x v="110"/>
      <x v="98"/>
    </i>
    <i>
      <x v="129"/>
      <x v="67"/>
      <x v="111"/>
      <x v="99"/>
    </i>
    <i>
      <x v="130"/>
      <x v="68"/>
      <x v="112"/>
      <x v="100"/>
    </i>
    <i>
      <x v="131"/>
      <x v="69"/>
      <x v="113"/>
      <x v="101"/>
    </i>
    <i>
      <x v="132"/>
      <x v="72"/>
      <x v="117"/>
      <x v="72"/>
    </i>
    <i>
      <x v="133"/>
      <x v="56"/>
      <x v="118"/>
      <x v="72"/>
    </i>
    <i>
      <x v="134"/>
      <x v="60"/>
      <x v="128"/>
      <x v="112"/>
    </i>
    <i>
      <x v="135"/>
      <x v="78"/>
      <x v="127"/>
      <x v="112"/>
    </i>
    <i>
      <x v="138"/>
      <x v="70"/>
      <x v="114"/>
      <x v="102"/>
    </i>
    <i>
      <x v="139"/>
      <x v="36"/>
      <x v="115"/>
      <x v="103"/>
    </i>
    <i>
      <x v="140"/>
      <x v="69"/>
      <x v="116"/>
      <x v="104"/>
    </i>
    <i>
      <x v="141"/>
      <x v="16"/>
      <x v="119"/>
      <x v="105"/>
    </i>
    <i>
      <x v="142"/>
      <x v="94"/>
      <x v="120"/>
      <x v="106"/>
    </i>
    <i>
      <x v="143"/>
      <x v="74"/>
      <x v="121"/>
      <x v="53"/>
    </i>
    <i>
      <x v="144"/>
      <x v="60"/>
      <x v="122"/>
      <x v="107"/>
    </i>
    <i>
      <x v="145"/>
      <x v="65"/>
      <x v="123"/>
      <x v="108"/>
    </i>
    <i>
      <x v="146"/>
      <x v="75"/>
      <x v="124"/>
      <x v="109"/>
    </i>
    <i>
      <x v="147"/>
      <x v="76"/>
      <x v="125"/>
      <x v="110"/>
    </i>
    <i>
      <x v="148"/>
      <x v="77"/>
      <x v="126"/>
      <x v="111"/>
    </i>
    <i>
      <x v="149"/>
      <x v="2"/>
      <x v="129"/>
      <x v="109"/>
    </i>
    <i>
      <x v="150"/>
      <x v="80"/>
      <x v="134"/>
      <x v="117"/>
    </i>
    <i>
      <x v="151"/>
      <x v="2"/>
      <x v="129"/>
      <x v="24"/>
    </i>
    <i>
      <x v="153"/>
      <x v="79"/>
      <x v="130"/>
      <x v="113"/>
    </i>
    <i>
      <x v="154"/>
      <x v="86"/>
      <x v="131"/>
      <x v="114"/>
    </i>
    <i>
      <x v="155"/>
      <x v="82"/>
      <x v="143"/>
      <x v="119"/>
    </i>
    <i>
      <x v="156"/>
      <x v="81"/>
      <x v="135"/>
      <x v="118"/>
    </i>
    <i>
      <x v="157"/>
      <x v="82"/>
      <x v="144"/>
      <x v="126"/>
    </i>
    <i>
      <x v="158"/>
      <x v="83"/>
      <x v="137"/>
      <x v="120"/>
    </i>
    <i>
      <x v="159"/>
      <x v="10"/>
      <x v="138"/>
      <x v="121"/>
    </i>
    <i>
      <x v="160"/>
      <x v="65"/>
      <x v="139"/>
      <x v="128"/>
    </i>
    <i>
      <x v="161"/>
      <x v="84"/>
      <x v="140"/>
      <x v="123"/>
    </i>
    <i>
      <x v="162"/>
      <x v="85"/>
      <x v="141"/>
      <x v="124"/>
    </i>
    <i>
      <x v="163"/>
      <x v="86"/>
      <x v="142"/>
      <x v="125"/>
    </i>
    <i>
      <x v="164"/>
      <x v="14"/>
      <x v="90"/>
      <x v="127"/>
    </i>
    <i>
      <x v="165"/>
      <x v="87"/>
      <x v="145"/>
      <x v="129"/>
    </i>
    <i>
      <x v="166"/>
      <x v="88"/>
      <x v="146"/>
      <x v="130"/>
    </i>
    <i>
      <x v="167"/>
      <x v="76"/>
      <x v="147"/>
      <x v="131"/>
    </i>
    <i>
      <x v="168"/>
      <x v="89"/>
      <x v="148"/>
      <x v="21"/>
    </i>
    <i>
      <x v="169"/>
      <x v="88"/>
      <x v="149"/>
      <x v="132"/>
    </i>
    <i>
      <x v="170"/>
      <x v="86"/>
      <x v="150"/>
      <x v="133"/>
    </i>
    <i>
      <x v="171"/>
      <x v="90"/>
      <x v="151"/>
      <x v="134"/>
    </i>
    <i>
      <x v="172"/>
      <x v="91"/>
      <x v="152"/>
      <x v="135"/>
    </i>
    <i>
      <x v="173"/>
      <x v="43"/>
      <x v="153"/>
      <x v="138"/>
    </i>
    <i>
      <x v="174"/>
      <x v="92"/>
      <x v="154"/>
      <x v="137"/>
    </i>
    <i>
      <x v="175"/>
      <x v="93"/>
      <x v="155"/>
      <x v="139"/>
    </i>
    <i>
      <x v="176"/>
      <x v="95"/>
      <x v="156"/>
      <x v="140"/>
    </i>
    <i>
      <x v="177"/>
      <x v="96"/>
      <x v="157"/>
      <x v="141"/>
    </i>
    <i>
      <x v="178"/>
      <x v="97"/>
      <x v="158"/>
      <x v="142"/>
    </i>
    <i>
      <x v="179"/>
      <x v="98"/>
      <x v="159"/>
      <x v="143"/>
    </i>
    <i>
      <x v="180"/>
      <x v="99"/>
      <x v="160"/>
      <x v="137"/>
    </i>
    <i>
      <x v="181"/>
      <x v="99"/>
      <x v="161"/>
      <x v="137"/>
    </i>
    <i>
      <x v="182"/>
      <x v="26"/>
      <x v="17"/>
      <x v="19"/>
    </i>
    <i>
      <x v="183"/>
      <x v="26"/>
      <x v="17"/>
      <x v="19"/>
    </i>
    <i>
      <x v="184"/>
      <x v="26"/>
      <x v="17"/>
      <x v="19"/>
    </i>
  </rowItems>
  <colItems count="1">
    <i/>
  </colItems>
  <pageFields count="1">
    <pageField fld="28" hier="-1"/>
  </pageFields>
  <formats count="41">
    <format dxfId="40">
      <pivotArea outline="0" collapsedLevelsAreSubtotals="1" fieldPosition="0"/>
    </format>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field="11" type="button" dataOnly="0" labelOnly="1" outline="0" axis="axisRow" fieldPosition="0"/>
    </format>
    <format dxfId="35">
      <pivotArea field="20" type="button" dataOnly="0" labelOnly="1" outline="0" axis="axisRow" fieldPosition="2"/>
    </format>
    <format dxfId="34">
      <pivotArea field="22" type="button" dataOnly="0" labelOnly="1" outline="0" axis="axisRow" fieldPosition="3"/>
    </format>
    <format dxfId="33">
      <pivotArea dataOnly="0" labelOnly="1" outline="0" axis="axisValues" fieldPosition="0"/>
    </format>
    <format dxfId="32">
      <pivotArea dataOnly="0" labelOnly="1" outline="0" axis="axisValues" fieldPosition="0"/>
    </format>
    <format dxfId="31">
      <pivotArea outline="0" collapsedLevelsAreSubtotals="1" fieldPosition="0"/>
    </format>
    <format dxfId="30">
      <pivotArea field="11" type="button" dataOnly="0" labelOnly="1" outline="0" axis="axisRow" fieldPosition="0"/>
    </format>
    <format dxfId="29">
      <pivotArea field="20" type="button" dataOnly="0" labelOnly="1" outline="0" axis="axisRow" fieldPosition="2"/>
    </format>
    <format dxfId="28">
      <pivotArea field="22" type="button" dataOnly="0" labelOnly="1" outline="0" axis="axisRow" fieldPosition="3"/>
    </format>
    <format dxfId="27">
      <pivotArea dataOnly="0" labelOnly="1" outline="0" axis="axisValues" fieldPosition="0"/>
    </format>
    <format dxfId="26">
      <pivotArea dataOnly="0" labelOnly="1" outline="0" axis="axisValues" fieldPosition="0"/>
    </format>
    <format dxfId="25">
      <pivotArea outline="0" collapsedLevelsAreSubtotals="1" fieldPosition="0"/>
    </format>
    <format dxfId="24">
      <pivotArea field="11" type="button" dataOnly="0" labelOnly="1" outline="0" axis="axisRow" fieldPosition="0"/>
    </format>
    <format dxfId="23">
      <pivotArea field="14" type="button" dataOnly="0" labelOnly="1" outline="0" axis="axisRow" fieldPosition="1"/>
    </format>
    <format dxfId="22">
      <pivotArea field="20" type="button" dataOnly="0" labelOnly="1" outline="0" axis="axisRow" fieldPosition="2"/>
    </format>
    <format dxfId="21">
      <pivotArea field="22" type="button" dataOnly="0" labelOnly="1" outline="0" axis="axisRow" fieldPosition="3"/>
    </format>
    <format dxfId="20">
      <pivotArea dataOnly="0" labelOnly="1" outline="0" axis="axisValues" fieldPosition="0"/>
    </format>
    <format dxfId="19">
      <pivotArea dataOnly="0" labelOnly="1" outline="0" axis="axisValues" fieldPosition="0"/>
    </format>
    <format dxfId="18">
      <pivotArea outline="0" collapsedLevelsAreSubtotals="1" fieldPosition="0"/>
    </format>
    <format dxfId="17">
      <pivotArea field="11" type="button" dataOnly="0" labelOnly="1" outline="0" axis="axisRow" fieldPosition="0"/>
    </format>
    <format dxfId="16">
      <pivotArea field="14" type="button" dataOnly="0" labelOnly="1" outline="0" axis="axisRow" fieldPosition="1"/>
    </format>
    <format dxfId="15">
      <pivotArea field="20" type="button" dataOnly="0" labelOnly="1" outline="0" axis="axisRow" fieldPosition="2"/>
    </format>
    <format dxfId="14">
      <pivotArea field="22" type="button" dataOnly="0" labelOnly="1" outline="0" axis="axisRow" fieldPosition="3"/>
    </format>
    <format dxfId="13">
      <pivotArea dataOnly="0" labelOnly="1" outline="0" axis="axisValues" fieldPosition="0"/>
    </format>
    <format dxfId="12">
      <pivotArea dataOnly="0" labelOnly="1" outline="0" axis="axisValues" fieldPosition="0"/>
    </format>
    <format dxfId="11">
      <pivotArea field="11" type="button" dataOnly="0" labelOnly="1" outline="0" axis="axisRow" fieldPosition="0"/>
    </format>
    <format dxfId="10">
      <pivotArea field="14" type="button" dataOnly="0" labelOnly="1" outline="0" axis="axisRow" fieldPosition="1"/>
    </format>
    <format dxfId="9">
      <pivotArea field="20" type="button" dataOnly="0" labelOnly="1" outline="0" axis="axisRow" fieldPosition="2"/>
    </format>
    <format dxfId="8">
      <pivotArea field="22" type="button" dataOnly="0" labelOnly="1" outline="0" axis="axisRow" fieldPosition="3"/>
    </format>
    <format dxfId="7">
      <pivotArea dataOnly="0" labelOnly="1" outline="0" axis="axisValues" fieldPosition="0"/>
    </format>
    <format dxfId="6">
      <pivotArea dataOnly="0" labelOnly="1" outline="0" axis="axisValues" fieldPosition="0"/>
    </format>
    <format dxfId="5">
      <pivotArea field="11" type="button" dataOnly="0" labelOnly="1" outline="0" axis="axisRow" fieldPosition="0"/>
    </format>
    <format dxfId="4">
      <pivotArea field="14" type="button" dataOnly="0" labelOnly="1" outline="0" axis="axisRow" fieldPosition="1"/>
    </format>
    <format dxfId="3">
      <pivotArea field="20" type="button" dataOnly="0" labelOnly="1" outline="0" axis="axisRow" fieldPosition="2"/>
    </format>
    <format dxfId="2">
      <pivotArea field="22" type="button" dataOnly="0" labelOnly="1" outline="0" axis="axisRow" fieldPosition="3"/>
    </format>
    <format dxfId="1">
      <pivotArea dataOnly="0" labelOnly="1" outline="0" axis="axisValues" fieldPosition="0"/>
    </format>
    <format dxfId="0">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Base_CTRs_Finalizados" displayName="Base_CTRs_Finalizados" ref="C4:AM165" totalsRowShown="0" headerRowDxfId="951" dataDxfId="950" tableBorderDxfId="949">
  <tableColumns count="37">
    <tableColumn id="32" xr3:uid="{00000000-0010-0000-0000-000020000000}" name="Data inicio processo" dataDxfId="948"/>
    <tableColumn id="37" xr3:uid="{79A1FCEE-B36C-415F-BDD8-BDDCF7AC116D}" name="CÓDIGO VERIFICADOR PLAC " dataDxfId="947"/>
    <tableColumn id="26" xr3:uid="{00000000-0010-0000-0000-00001A000000}" name="DIRETORIA" dataDxfId="946"/>
    <tableColumn id="1" xr3:uid="{00000000-0010-0000-0000-000001000000}" name="ÁREA REQUISITANTE" dataDxfId="945"/>
    <tableColumn id="2" xr3:uid="{00000000-0010-0000-0000-000002000000}" name="Nº PROCESSO SIGA" dataDxfId="944"/>
    <tableColumn id="4" xr3:uid="{00000000-0010-0000-0000-000004000000}" name="MODALIDADE" dataDxfId="943"/>
    <tableColumn id="5" xr3:uid="{00000000-0010-0000-0000-000005000000}" name="FUNDAMENTAÇÃO DA MODALIDADE" dataDxfId="942"/>
    <tableColumn id="6" xr3:uid="{00000000-0010-0000-0000-000006000000}" name="JUSTIFICATIVA  DA CONTRATAÇÃO" dataDxfId="941"/>
    <tableColumn id="7" xr3:uid="{00000000-0010-0000-0000-000007000000}" name="Nº COMPRA _x000a_(RATIFICAÇÃO)" dataDxfId="940"/>
    <tableColumn id="8" xr3:uid="{00000000-0010-0000-0000-000008000000}" name="ANO AUTOR" dataDxfId="939"/>
    <tableColumn id="9" xr3:uid="{00000000-0010-0000-0000-000009000000}" name="TIPO DO CONTRATO" dataDxfId="938"/>
    <tableColumn id="27" xr3:uid="{00000000-0010-0000-0000-00001B000000}" name="NATUREZA DO CONTRATO" dataDxfId="937" dataCellStyle="Normal 2"/>
    <tableColumn id="10" xr3:uid="{00000000-0010-0000-0000-00000A000000}" name="Nº CONTRATO" dataDxfId="936" dataCellStyle="Normal 2"/>
    <tableColumn id="36" xr3:uid="{BE2442B2-61D2-4A5C-BE45-4E2A507CDBFA}" name="Arquivo do contrato" dataDxfId="935" dataCellStyle="Normal 2"/>
    <tableColumn id="30" xr3:uid="{00000000-0010-0000-0000-00001E000000}" name="Nº DEG " dataDxfId="934" dataCellStyle="Normal 2"/>
    <tableColumn id="29" xr3:uid="{00000000-0010-0000-0000-00001D000000}" name="FISCAL DO CONTRATO" dataDxfId="933" dataCellStyle="Normal 2"/>
    <tableColumn id="11" xr3:uid="{00000000-0010-0000-0000-00000B000000}" name="ANO CTR" dataDxfId="932"/>
    <tableColumn id="12" xr3:uid="{00000000-0010-0000-0000-00000C000000}" name="MÊS ASSINATURA" dataDxfId="931"/>
    <tableColumn id="13" xr3:uid="{00000000-0010-0000-0000-00000D000000}" name="INÍCIO VIGÊNCIA" dataDxfId="930"/>
    <tableColumn id="14" xr3:uid="{00000000-0010-0000-0000-00000E000000}" name="FINAL _x000a_VIGÊNCIA" dataDxfId="929"/>
    <tableColumn id="28" xr3:uid="{00000000-0010-0000-0000-00001C000000}" name="ANOS VIG" dataDxfId="928">
      <calculatedColumnFormula>DATEDIF(Base_CTRs_Finalizados[[#This Row],[INÍCIO VIGÊNCIA]],Base_CTRs_Finalizados[[#This Row],[FINAL 
VIGÊNCIA]],"Y")</calculatedColumnFormula>
    </tableColumn>
    <tableColumn id="15" xr3:uid="{00000000-0010-0000-0000-00000F000000}" name="OBJETO" dataDxfId="927"/>
    <tableColumn id="3" xr3:uid="{00000000-0010-0000-0000-000003000000}" name="TIPO DO OBJETO" dataDxfId="926"/>
    <tableColumn id="16" xr3:uid="{00000000-0010-0000-0000-000010000000}" name="FORNECEDOR" dataDxfId="925"/>
    <tableColumn id="17" xr3:uid="{00000000-0010-0000-0000-000011000000}" name="CNPJ/CPF" dataDxfId="924"/>
    <tableColumn id="18" xr3:uid="{00000000-0010-0000-0000-000012000000}" name="Nº PARCELAS" dataDxfId="923" dataCellStyle="Vírgula"/>
    <tableColumn id="19" xr3:uid="{00000000-0010-0000-0000-000013000000}" name="VALOR DA PARCELA" dataDxfId="922" dataCellStyle="Vírgula">
      <calculatedColumnFormula>AD5/AB5</calculatedColumnFormula>
    </tableColumn>
    <tableColumn id="20" xr3:uid="{00000000-0010-0000-0000-000014000000}" name="VALOR CONTRATO" dataDxfId="921" dataCellStyle="Vírgula"/>
    <tableColumn id="21" xr3:uid="{00000000-0010-0000-0000-000015000000}" name="NATUREZA DO OBJETO" dataDxfId="920"/>
    <tableColumn id="22" xr3:uid="{00000000-0010-0000-0000-000016000000}" name="SIGILO" dataDxfId="919"/>
    <tableColumn id="23" xr3:uid="{00000000-0010-0000-0000-000017000000}" name="RC" dataDxfId="918"/>
    <tableColumn id="24" xr3:uid="{00000000-0010-0000-0000-000018000000}" name="Nº CONTRATO SAP" dataDxfId="917"/>
    <tableColumn id="25" xr3:uid="{00000000-0010-0000-0000-000019000000}" name="VALOR EXECUTADO" dataDxfId="916"/>
    <tableColumn id="35" xr3:uid="{00000000-0010-0000-0000-000023000000}" name="DIAS ÚTEIS TMP" dataDxfId="915">
      <calculatedColumnFormula>_xlfn.DAYS(Base_CTRs_Finalizados[[#This Row],[INÍCIO VIGÊNCIA]],Base_CTRs_Finalizados[[#This Row],[Data inicio processo]])</calculatedColumnFormula>
    </tableColumn>
    <tableColumn id="31" xr3:uid="{00000000-0010-0000-0000-00001F000000}" name="Nº  COMPRAS.GOV" dataDxfId="914"/>
    <tableColumn id="33" xr3:uid="{00000000-0010-0000-0000-000021000000}" name="COMPRA GERADA NO DC?" dataDxfId="913"/>
    <tableColumn id="34" xr3:uid="{00000000-0010-0000-0000-000022000000}" name="CONTRATO LANÇADO NO PNCP?" dataDxfId="9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BaseARPs_finalizados" displayName="BaseARPs_finalizados" ref="C4:AA34" totalsRowShown="0" headerRowDxfId="911" dataDxfId="910" tableBorderDxfId="909">
  <sortState xmlns:xlrd2="http://schemas.microsoft.com/office/spreadsheetml/2017/richdata2" ref="C5:AH87">
    <sortCondition ref="K4:K87"/>
  </sortState>
  <tableColumns count="25">
    <tableColumn id="26" xr3:uid="{00000000-0010-0000-0100-00001A000000}" name="DIRETORIA" dataDxfId="908"/>
    <tableColumn id="1" xr3:uid="{00000000-0010-0000-0100-000001000000}" name="ÁREA REQUISITANTE" dataDxfId="907"/>
    <tableColumn id="2" xr3:uid="{00000000-0010-0000-0100-000002000000}" name="Nº PROCESSO " dataDxfId="906"/>
    <tableColumn id="3" xr3:uid="{00000000-0010-0000-0100-000003000000}" name="TIPO DO OBJETO" dataDxfId="905"/>
    <tableColumn id="4" xr3:uid="{00000000-0010-0000-0100-000004000000}" name="MODALID. LICITAÇÃO" dataDxfId="904"/>
    <tableColumn id="31" xr3:uid="{00000000-0010-0000-0100-00001F000000}" name="Nº no COMPRAS.GOV" dataDxfId="903"/>
    <tableColumn id="27" xr3:uid="{00000000-0010-0000-0100-00001B000000}" name="NATUREZA DA ARP (Gestão)" dataDxfId="902" dataCellStyle="Normal 2"/>
    <tableColumn id="7" xr3:uid="{33A50517-C18E-44C3-B944-9A6A8B87001F}" name="Gestor da ARP" dataDxfId="901" dataCellStyle="Normal 2"/>
    <tableColumn id="10" xr3:uid="{00000000-0010-0000-0100-00000A000000}" name="Nº ARP" dataDxfId="900" dataCellStyle="Normal 2"/>
    <tableColumn id="6" xr3:uid="{92A510C7-0786-4709-9983-4888EE38D2FB}" name="Arquivo do contrato" dataDxfId="899" dataCellStyle="Normal 2"/>
    <tableColumn id="15" xr3:uid="{00000000-0010-0000-0100-00000F000000}" name="OBJETO" dataDxfId="898"/>
    <tableColumn id="30" xr3:uid="{00000000-0010-0000-0100-00001E000000}" name="DEG" dataDxfId="897" dataCellStyle="Normal 2"/>
    <tableColumn id="29" xr3:uid="{00000000-0010-0000-0100-00001D000000}" name="FISCAL DO CONTRATO" dataDxfId="896" dataCellStyle="Normal 2"/>
    <tableColumn id="11" xr3:uid="{00000000-0010-0000-0100-00000B000000}" name="ANO ARP" dataDxfId="895"/>
    <tableColumn id="12" xr3:uid="{00000000-0010-0000-0100-00000C000000}" name="MÊS ASSINATURA" dataDxfId="894"/>
    <tableColumn id="13" xr3:uid="{00000000-0010-0000-0100-00000D000000}" name="INÍCIO DA VIGÊNCIA (assinatura)" dataDxfId="893"/>
    <tableColumn id="14" xr3:uid="{00000000-0010-0000-0100-00000E000000}" name="FIM DA VIGÊNCIA" dataDxfId="892"/>
    <tableColumn id="28" xr3:uid="{00000000-0010-0000-0100-00001C000000}" name="ANOS VIG" dataDxfId="891">
      <calculatedColumnFormula>DATEDIF(BaseARPs_finalizados[[#This Row],[INÍCIO DA VIGÊNCIA (assinatura)]],BaseARPs_finalizados[[#This Row],[FIM DA VIGÊNCIA]],"Y")</calculatedColumnFormula>
    </tableColumn>
    <tableColumn id="16" xr3:uid="{00000000-0010-0000-0100-000010000000}" name="FORNECEDOR" dataDxfId="890"/>
    <tableColumn id="17" xr3:uid="{00000000-0010-0000-0100-000011000000}" name="CNPJ" dataDxfId="889"/>
    <tableColumn id="20" xr3:uid="{00000000-0010-0000-0100-000014000000}" name="VALOR DA ARP" dataDxfId="888" dataCellStyle="Vírgula"/>
    <tableColumn id="21" xr3:uid="{00000000-0010-0000-0100-000015000000}" name="NATUREZA DO OBJETO" dataDxfId="887"/>
    <tableColumn id="22" xr3:uid="{00000000-0010-0000-0100-000016000000}" name="SIGILO" dataDxfId="886"/>
    <tableColumn id="9" xr3:uid="{00000000-0010-0000-0100-000009000000}" name="Nº RC ATA" dataDxfId="885"/>
    <tableColumn id="5" xr3:uid="{45213389-0DCD-406D-9D6D-98568C832356}" name="ATA LANÇADA NO PNCP?" dataDxfId="88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ela152" displayName="Tabela152" ref="C5:N12" totalsRowCount="1" headerRowDxfId="588" dataDxfId="586" totalsRowDxfId="585" headerRowBorderDxfId="587">
  <tableColumns count="12">
    <tableColumn id="1" xr3:uid="{00000000-0010-0000-0300-000001000000}" name="Nº PROCESSO " totalsRowLabel="Total" dataDxfId="584" totalsRowDxfId="583"/>
    <tableColumn id="2" xr3:uid="{00000000-0010-0000-0300-000002000000}" name="TIPO DO CONTRATO" dataDxfId="582" totalsRowDxfId="581"/>
    <tableColumn id="4" xr3:uid="{00000000-0010-0000-0300-000004000000}" name="MODALID. LICITAÇÃO" dataDxfId="580" totalsRowDxfId="579"/>
    <tableColumn id="3" xr3:uid="{00000000-0010-0000-0300-000003000000}" name="Nº CONTRATO" totalsRowFunction="count" dataDxfId="578" totalsRowDxfId="577"/>
    <tableColumn id="12" xr3:uid="{AAE2A374-6D3B-4C5F-802F-94D368000525}" name="Nº DEG" dataDxfId="576" totalsRowDxfId="575"/>
    <tableColumn id="10" xr3:uid="{00000000-0010-0000-0300-00000A000000}" name="FISCAL" dataDxfId="574" totalsRowDxfId="573"/>
    <tableColumn id="11" xr3:uid="{00000000-0010-0000-0300-00000B000000}" name="TIPO DO OBJETO" dataDxfId="572" totalsRowDxfId="571"/>
    <tableColumn id="7" xr3:uid="{00000000-0010-0000-0300-000007000000}" name="OBJETO" dataDxfId="570" totalsRowDxfId="569"/>
    <tableColumn id="8" xr3:uid="{00000000-0010-0000-0300-000008000000}" name="FORNECEDOR" dataDxfId="568" totalsRowDxfId="567"/>
    <tableColumn id="5" xr3:uid="{00000000-0010-0000-0300-000005000000}" name="INÍCIO DA VIGÊNCIA" dataDxfId="566" totalsRowDxfId="565"/>
    <tableColumn id="6" xr3:uid="{00000000-0010-0000-0300-000006000000}" name="FIM DA VIGÊNCIA" dataDxfId="564" totalsRowDxfId="563"/>
    <tableColumn id="9" xr3:uid="{00000000-0010-0000-0300-000009000000}" name="VALOR DO CONTRATO" totalsRowFunction="sum" dataDxfId="562" totalsRowDxfId="561" dataCellStyle="Vírgul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ela14" displayName="Tabela14" ref="B5:J14" totalsRowCount="1" headerRowDxfId="517" dataDxfId="515" totalsRowDxfId="514" headerRowBorderDxfId="516">
  <tableColumns count="9">
    <tableColumn id="1" xr3:uid="{00000000-0010-0000-0400-000001000000}" name="Nº PROCESSO " totalsRowLabel="Total" totalsRowDxfId="513"/>
    <tableColumn id="4" xr3:uid="{00000000-0010-0000-0400-000004000000}" name="MODALID. LICITAÇÃO" dataDxfId="512" totalsRowDxfId="511"/>
    <tableColumn id="3" xr3:uid="{00000000-0010-0000-0400-000003000000}" name="Nº ARP" totalsRowFunction="count" totalsRowDxfId="510"/>
    <tableColumn id="8" xr3:uid="{00000000-0010-0000-0400-000008000000}" name="FORNECEDOR" dataDxfId="509" totalsRowDxfId="508"/>
    <tableColumn id="7" xr3:uid="{00000000-0010-0000-0400-000007000000}" name="OBJETO" dataDxfId="507" totalsRowDxfId="506"/>
    <tableColumn id="10" xr3:uid="{00000000-0010-0000-0400-00000A000000}" name="FISCAL" dataDxfId="505" totalsRowDxfId="504"/>
    <tableColumn id="5" xr3:uid="{00000000-0010-0000-0400-000005000000}" name="INÍCIO DA VIGÊNCIA" totalsRowDxfId="503"/>
    <tableColumn id="6" xr3:uid="{00000000-0010-0000-0400-000006000000}" name="FIM DA VIGÊNCIA" totalsRowDxfId="502"/>
    <tableColumn id="9" xr3:uid="{00000000-0010-0000-0400-000009000000}" name="VALOR DA ARP" totalsRowFunction="sum" totalsRowDxfId="50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ela15" displayName="Tabela15" ref="B5:L91" totalsRowCount="1" headerRowDxfId="242" dataDxfId="240" totalsRowDxfId="239" headerRowBorderDxfId="241">
  <tableColumns count="11">
    <tableColumn id="1" xr3:uid="{00000000-0010-0000-0200-000001000000}" name="Nº PROCESSO " totalsRowLabel="Total" dataDxfId="238"/>
    <tableColumn id="2" xr3:uid="{00000000-0010-0000-0200-000002000000}" name="TIPO DO CONTRATO" dataDxfId="237"/>
    <tableColumn id="3" xr3:uid="{00000000-0010-0000-0200-000003000000}" name="Nº CONTRATO" totalsRowFunction="count" dataDxfId="236"/>
    <tableColumn id="10" xr3:uid="{00000000-0010-0000-0200-00000A000000}" name="FISCAL" dataDxfId="235"/>
    <tableColumn id="4" xr3:uid="{00000000-0010-0000-0200-000004000000}" name="MODALID. LICITAÇÃO" dataDxfId="234"/>
    <tableColumn id="5" xr3:uid="{00000000-0010-0000-0200-000005000000}" name="INÍCIO DA VIGÊNCIA" dataDxfId="233"/>
    <tableColumn id="6" xr3:uid="{00000000-0010-0000-0200-000006000000}" name="FIM DA VIGÊNCIA" dataDxfId="232"/>
    <tableColumn id="11" xr3:uid="{00000000-0010-0000-0200-00000B000000}" name="TIPO DO OBJETO" dataDxfId="231"/>
    <tableColumn id="7" xr3:uid="{00000000-0010-0000-0200-000007000000}" name="OBJETO" dataDxfId="230"/>
    <tableColumn id="8" xr3:uid="{00000000-0010-0000-0200-000008000000}" name="FORNECEDOR" dataDxfId="229"/>
    <tableColumn id="9" xr3:uid="{00000000-0010-0000-0200-000009000000}" name="VALOR DO CONTRATO" totalsRowFunction="sum" dataDxfId="228" dataCellStyle="Vírgula"/>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37" dT="2026-03-19T16:11:52.38" personId="{E8595129-FA5F-4B56-90F7-C9D37A600A92}" id="{92C69725-5FEC-42B3-A656-9A01650F3113}">
    <text>Prazo indeterminado</text>
  </threadedComment>
  <threadedComment ref="V38" dT="2026-03-19T16:11:52.38" personId="{E8595129-FA5F-4B56-90F7-C9D37A600A92}" id="{C243F6B5-1F40-49F9-8ACA-F7453A30C321}">
    <text>Prazo indeterminado</text>
  </threadedComment>
  <threadedComment ref="AM142" dT="2026-03-17T15:02:09.87" personId="{E8595129-FA5F-4B56-90F7-C9D37A600A92}" id="{1FBD8542-03F6-4A48-9D36-960935B542F4}">
    <text xml:space="preserve">Não há possibilidade de lançar no PNCP - contratação remanescente. O módulo publicador de contratos é limitado para essa situação, tendo em vista ser Pregão Eletr. </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telebras.com.br/wp-content/uploads/2025/02/71.2024NE001081-INSTITUTO-BRASILEIRO-DE-GOVERNANCA-CORPORATIV_1.pdf" TargetMode="External"/><Relationship Id="rId21" Type="http://schemas.openxmlformats.org/officeDocument/2006/relationships/hyperlink" Target="https://www.telebras.com.br/wp-content/uploads/2026/09/DOCUMENTO_DIGITAL_SERVICOS_EM_TECNOLOGIA_LTDA_LGPD.pdf" TargetMode="External"/><Relationship Id="rId42" Type="http://schemas.openxmlformats.org/officeDocument/2006/relationships/hyperlink" Target="https://www.telebras.com.br/wp-content/uploads/2026/01/36.TLB-CTR-2025.00114-MCR-SISTEMAS-E-CONSULTORIA-LTDA.pdf" TargetMode="External"/><Relationship Id="rId63" Type="http://schemas.openxmlformats.org/officeDocument/2006/relationships/hyperlink" Target="https://www.telebras.com.br/wp-content/uploads/2024/12/16.2024NE000632-ZENITE-INFORMACAO-E-CONSULTORIA-SA.pdf" TargetMode="External"/><Relationship Id="rId84" Type="http://schemas.openxmlformats.org/officeDocument/2006/relationships/hyperlink" Target="https://www.telebras.com.br/wp-content/uploads/2024/12/38.2024NE000893-ROBSON-O-DE-SOUZA.pdf" TargetMode="External"/><Relationship Id="rId138" Type="http://schemas.openxmlformats.org/officeDocument/2006/relationships/hyperlink" Target="https://www.telebras.com.br/wp-content/uploads/2026/09/DOCUMENTO_ALLSEG_SEGURADORA_S-A_LGPD.pdf" TargetMode="External"/><Relationship Id="rId107" Type="http://schemas.openxmlformats.org/officeDocument/2006/relationships/hyperlink" Target="https://www.telebras.com.br/wp-content/uploads/2026/09/DOCUMENTO_OTT_SERVICOES_GRAFICOS_LTDA_LGPD.pdf" TargetMode="External"/><Relationship Id="rId11" Type="http://schemas.openxmlformats.org/officeDocument/2006/relationships/hyperlink" Target="https://www.telebras.com.br/wp-content/uploads/2025/03/5.TLB-CTR-2025.00013-BR-22-ALUGUEL-DE-CARROS.pdf" TargetMode="External"/><Relationship Id="rId32" Type="http://schemas.openxmlformats.org/officeDocument/2006/relationships/hyperlink" Target="https://www.telebras.com.br/wp-content/uploads/2026/09/DOCUMENTO_NTSEC_SOLUCOES_EM_TELEINFORMATICA_LTDA_LGPD.pdf" TargetMode="External"/><Relationship Id="rId53" Type="http://schemas.openxmlformats.org/officeDocument/2006/relationships/hyperlink" Target="https://www.telebras.com.br/wp-content/uploads/2026/09/DOCUMENTO_INFOPLAN_TECNOLOGIA_COMERCIO_E_SERVICOS_-_LTDA_LGPD.pdf" TargetMode="External"/><Relationship Id="rId74" Type="http://schemas.openxmlformats.org/officeDocument/2006/relationships/hyperlink" Target="https://www.telebras.com.br/wp-content/uploads/2024/12/27.TLB-CTR-202400035-CENTRAL-SERVICOS-E-GESTAO-LTDA.pdf" TargetMode="External"/><Relationship Id="rId128" Type="http://schemas.openxmlformats.org/officeDocument/2006/relationships/hyperlink" Target="https://www.telebras.com.br/wp-content/uploads/2025/02/82.2024NE001109-ABTD-ASSOCIACAO-BRASILEIRA-DE-TREINAMENTO_6.pdf" TargetMode="External"/><Relationship Id="rId149" Type="http://schemas.openxmlformats.org/officeDocument/2006/relationships/hyperlink" Target="https://www.telebras.com.br/wp-content/uploads/2026/09/TLB-CTR-2026_00054_FORTE_GR_FICA_LGPD-1.pdf" TargetMode="External"/><Relationship Id="rId5" Type="http://schemas.openxmlformats.org/officeDocument/2006/relationships/hyperlink" Target="https://www.telebras.com.br/wp-content/uploads/2026/03/TLB-CTR-202600005.pdf" TargetMode="External"/><Relationship Id="rId95" Type="http://schemas.openxmlformats.org/officeDocument/2006/relationships/hyperlink" Target="https://www.telebras.com.br/wp-content/uploads/2026/09/TLB-CTR-2024-00056_ASSOCIACAO_BRASILEIRA_DE_ENTIDADES_ESTADUAIS_E_PUBLICAS_DE_TECNOLOGIA_DA_INFORMACAO_E_COMUNICACOES_ABEP_LGPD.pdf" TargetMode="External"/><Relationship Id="rId22" Type="http://schemas.openxmlformats.org/officeDocument/2006/relationships/hyperlink" Target="https://www.telebras.com.br/wp-content/uploads/2026/09/DOCUMENTO_LENDA_INDUSTRIA_DE_AGUA_MINERAL_LTDA_LGPD.pdf" TargetMode="External"/><Relationship Id="rId27" Type="http://schemas.openxmlformats.org/officeDocument/2006/relationships/hyperlink" Target="https://www.telebras.com.br/wp-content/uploads/2026/09/DOCUMENTO_HC_COMUNICACAO_DE_DADOS_LTDA_LGPD-1.pdf" TargetMode="External"/><Relationship Id="rId43" Type="http://schemas.openxmlformats.org/officeDocument/2006/relationships/hyperlink" Target="https://www.telebras.com.br/wp-content/uploads/2026/09/TLB-CTR-2025-00020_INSTITUTO_BRASILEIRO_DE_GOVERNANCA_CORPORATIVA_-IBGC_LGPD.pdf" TargetMode="External"/><Relationship Id="rId48" Type="http://schemas.openxmlformats.org/officeDocument/2006/relationships/hyperlink" Target="https://www.telebras.com.br/wp-content/uploads/2026/09/TLB-AUT-2024-02455_NUCLEO_DE_INFORMACAO_E_COORDENACAO_DO_PONTO_BR_-_NIC.BR_LGPD.pdf" TargetMode="External"/><Relationship Id="rId64" Type="http://schemas.openxmlformats.org/officeDocument/2006/relationships/hyperlink" Target="https://www.telebras.com.br/wp-content/uploads/2024/12/17.2024NE000653-CENOFISCO-CENTRO-DE-CAPACITACAO-PROFISSIONAL-LTDA.pdf" TargetMode="External"/><Relationship Id="rId69" Type="http://schemas.openxmlformats.org/officeDocument/2006/relationships/hyperlink" Target="https://www.telebras.com.br/wp-content/uploads/2026/09/TLB-CTR-2024-00023_NEXVIA_COMERCIO_E_SERVICOS_DE_EQUIPAMENTOS_DE_TELECOMUNICACOES_LTDA_LGPD-1.pdf" TargetMode="External"/><Relationship Id="rId113" Type="http://schemas.openxmlformats.org/officeDocument/2006/relationships/hyperlink" Target="https://www.telebras.com.br/wp-content/uploads/2025/02/67.TLB-CTR-202400096-HC-COMUNICACAO-DE-DADOS-LTDA.pdf" TargetMode="External"/><Relationship Id="rId118" Type="http://schemas.openxmlformats.org/officeDocument/2006/relationships/hyperlink" Target="https://www.telebras.com.br/wp-content/uploads/2025/02/72.2024NE001084-FUNDACAO-INSTITUTO-NACIONAL-DE-TELECOMUNICACO_2.pdf" TargetMode="External"/><Relationship Id="rId134" Type="http://schemas.openxmlformats.org/officeDocument/2006/relationships/hyperlink" Target="https://www.telebras.com.br/wp-content/uploads/2026/05/TLB-CTR-202600029_VIAGENS-BRASIL-TURISMO-LTDA.pdf" TargetMode="External"/><Relationship Id="rId139" Type="http://schemas.openxmlformats.org/officeDocument/2006/relationships/hyperlink" Target="https://www.telebras.com.br/wp-content/uploads/2026/09/DOCUMENTO_METROPOLE_-_AUDITORES_INDEPENDEN-TES_ASSOCIADOS_S-S_LGPD.pdf" TargetMode="External"/><Relationship Id="rId80" Type="http://schemas.openxmlformats.org/officeDocument/2006/relationships/hyperlink" Target="https://www.telebras.com.br/wp-content/uploads/2024/12/34.2024NE000684-IBET-INSTITUTO-BRASILEIRO-DE-ESTUDOS-TRIBUTARIOS.pdf" TargetMode="External"/><Relationship Id="rId85" Type="http://schemas.openxmlformats.org/officeDocument/2006/relationships/hyperlink" Target="https://www.telebras.com.br/wp-content/uploads/2024/12/39.2024NE000909-Bioseg-Brasilia-Solucoes-em-Seguranca-e-Medicina-do-Trabalho-Ltda.pdf" TargetMode="External"/><Relationship Id="rId150" Type="http://schemas.openxmlformats.org/officeDocument/2006/relationships/printerSettings" Target="../printerSettings/printerSettings1.bin"/><Relationship Id="rId12" Type="http://schemas.openxmlformats.org/officeDocument/2006/relationships/hyperlink" Target="https://www.telebras.com.br/wp-content/uploads/2026/09/DOCUMENTO_SAARA_OBRAS_E_SERVICOS_LTDA_LGPD.pdf" TargetMode="External"/><Relationship Id="rId17" Type="http://schemas.openxmlformats.org/officeDocument/2006/relationships/hyperlink" Target="https://www.telebras.com.br/wp-content/uploads/2025/04/11.TLB-CTR-2025.00024-SC-BRASIL-GROUP-SOLUCOES-TECNOLOGICAS-LTDA.pdf" TargetMode="External"/><Relationship Id="rId33" Type="http://schemas.openxmlformats.org/officeDocument/2006/relationships/hyperlink" Target="https://www.telebras.com.br/wp-content/uploads/2026/09/DOCUMENTO_MASTER_SERVICOS_E_COMERCIO_LTDA_LGPD.pdf" TargetMode="External"/><Relationship Id="rId38" Type="http://schemas.openxmlformats.org/officeDocument/2006/relationships/hyperlink" Target="https://www.telebras.com.br/wp-content/uploads/2026/09/DOCUMENTO_NEXVIA_COMERCIO_E_SERVICOS_DE_EQUIPAMENTOS_DE_TELECOMUNICACOES_LTDA_LGPD.pdf" TargetMode="External"/><Relationship Id="rId59" Type="http://schemas.openxmlformats.org/officeDocument/2006/relationships/hyperlink" Target="https://www.telebras.com.br/wp-content/uploads/2024/12/12.2024NE000566-ACCESS-INTELLIGENCE-LLC.pdf" TargetMode="External"/><Relationship Id="rId103" Type="http://schemas.openxmlformats.org/officeDocument/2006/relationships/hyperlink" Target="https://www.telebras.com.br/wp-content/uploads/2026/09/TLB-CTR-2024-00072_AGENCIA_DE_INTEGRACAO_EMPRESA_ESCOLA_-_AGIEL_LGPD-1.pdf" TargetMode="External"/><Relationship Id="rId108" Type="http://schemas.openxmlformats.org/officeDocument/2006/relationships/hyperlink" Target="https://www.telebras.com.br/wp-content/uploads/2025/02/62.TLB-CTR-202400090-PRIME-COMERCIO-E-SERVICOS-DE-EXTINTORES.pdf" TargetMode="External"/><Relationship Id="rId124" Type="http://schemas.openxmlformats.org/officeDocument/2006/relationships/hyperlink" Target="https://www.telebras.com.br/wp-content/uploads/2025/02/78.2024NE001103-FUNDACAO-INSTITUTO-DE-PESQUISAS-CONTABEIS-AT.pdf" TargetMode="External"/><Relationship Id="rId129" Type="http://schemas.openxmlformats.org/officeDocument/2006/relationships/hyperlink" Target="https://www.telebras.com.br/wp-content/uploads/2025/02/83.2024NE001137-KA-SOLUTION-INFORMATICA-LTDA_7.pdf" TargetMode="External"/><Relationship Id="rId54" Type="http://schemas.openxmlformats.org/officeDocument/2006/relationships/hyperlink" Target="https://www.telebras.com.br/wp-content/uploads/2024/12/7.2024NE000575-JMC-PRESTACAO-DE-SERVICOS-DIVERSOS-LTDA.pdf" TargetMode="External"/><Relationship Id="rId70" Type="http://schemas.openxmlformats.org/officeDocument/2006/relationships/hyperlink" Target="https://www.telebras.com.br/wp-content/uploads/2024/12/23.TLB-CTR-202400026-G9-FACILITIES-LTDA.pdf" TargetMode="External"/><Relationship Id="rId75" Type="http://schemas.openxmlformats.org/officeDocument/2006/relationships/hyperlink" Target="https://www.telebras.com.br/wp-content/uploads/2026/09/DOCUMENTO_TECNO2000_INDUSTRIA_E_COMERCIO_LTDA_LGPD.pdf" TargetMode="External"/><Relationship Id="rId91" Type="http://schemas.openxmlformats.org/officeDocument/2006/relationships/hyperlink" Target="https://www.telebras.com.br/wp-content/uploads/2024/12/45.2024NE000817-SUBLIMA-BOLSAS-LTDA.pdf" TargetMode="External"/><Relationship Id="rId96" Type="http://schemas.openxmlformats.org/officeDocument/2006/relationships/hyperlink" Target="https://www.telebras.com.br/wp-content/uploads/2026/09/TLB-CTR-2024-00057_REDE_NACIONAL_DE_APRENDIZAGEM_PROMOCAO_SOCIAL_E_INTEGRACAO_-_RENAPSI_LGPD-2.pdf" TargetMode="External"/><Relationship Id="rId140" Type="http://schemas.openxmlformats.org/officeDocument/2006/relationships/hyperlink" Target="https://www.telebras.com.br/wp-content/uploads/2026/09/TLB-CTR-2026-00023_NTT_DATA_BUSINESS_SOLUTIONS_SER-VICOS_DE_TECNOLOGIA_LTDA_LGPD.pdf" TargetMode="External"/><Relationship Id="rId145" Type="http://schemas.openxmlformats.org/officeDocument/2006/relationships/hyperlink" Target="https://www.telebras.com.br/wp-content/uploads/2026/09/TLB-CTR-2026-00047_MAUFE_TELAS_COMERCIO_E_SERVICOS_LTDA_LGPD-1.pdf" TargetMode="External"/><Relationship Id="rId1" Type="http://schemas.openxmlformats.org/officeDocument/2006/relationships/hyperlink" Target="https://www.telebras.com.br/wp-content/uploads/2026/09/DOCUMENTO_PLANEJE_TECNOLOGIA_E_SERVICOS_LTDA_LGPD.pdf" TargetMode="External"/><Relationship Id="rId6" Type="http://schemas.openxmlformats.org/officeDocument/2006/relationships/hyperlink" Target="https://www.telebras.com.br/wp-content/uploads/2026/03/TLB-CTR-202600015.pdf" TargetMode="External"/><Relationship Id="rId23" Type="http://schemas.openxmlformats.org/officeDocument/2006/relationships/hyperlink" Target="https://www.telebras.com.br/wp-content/uploads/2026/09/DOCUMENTO_3F_LTDA_LGPD.pdf" TargetMode="External"/><Relationship Id="rId28" Type="http://schemas.openxmlformats.org/officeDocument/2006/relationships/hyperlink" Target="https://www.telebras.com.br/wp-content/uploads/2026/09/DOCUMENTO_INVITEC_SERVICO_DE_SEGURANCA_E_TECNOLOGIA_LTDA_LGPD.pdf" TargetMode="External"/><Relationship Id="rId49" Type="http://schemas.openxmlformats.org/officeDocument/2006/relationships/hyperlink" Target="https://www.telebras.com.br/wp-content/uploads/2026/09/DOCUMENTO_MICROTECNICA_INFORMATICA_LTDA_LGPD.pdf" TargetMode="External"/><Relationship Id="rId114" Type="http://schemas.openxmlformats.org/officeDocument/2006/relationships/hyperlink" Target="https://www.telebras.com.br/wp-content/uploads/2025/02/68.2024NE000946-Fundacao-Getulio-Vargas.pdf" TargetMode="External"/><Relationship Id="rId119" Type="http://schemas.openxmlformats.org/officeDocument/2006/relationships/hyperlink" Target="https://www.telebras.com.br/wp-content/uploads/2025/02/73.2024NE001085-AKADEMIA-DE-TRANSFORMACAO-ORGANIZACIONAL-LTDA.pdf" TargetMode="External"/><Relationship Id="rId44" Type="http://schemas.openxmlformats.org/officeDocument/2006/relationships/hyperlink" Target="https://www.telebras.com.br/wp-content/uploads/2026/09/DOCUMENTO_VERTIV_TECNOLOGIA_DO_BRASIL_LTDA_LGPD.pdf" TargetMode="External"/><Relationship Id="rId60" Type="http://schemas.openxmlformats.org/officeDocument/2006/relationships/hyperlink" Target="https://www.telebras.com.br/wp-content/uploads/2024/12/13.2024NE000628-ATP-SPECIALS-BV.pdf" TargetMode="External"/><Relationship Id="rId65" Type="http://schemas.openxmlformats.org/officeDocument/2006/relationships/hyperlink" Target="https://www.telebras.com.br/wp-content/uploads/2024/12/18.TLB-CTR-202400006-HC-COMUNICACAO-DE-DADOS-LTDA.pdf" TargetMode="External"/><Relationship Id="rId81" Type="http://schemas.openxmlformats.org/officeDocument/2006/relationships/hyperlink" Target="https://www.telebras.com.br/wp-content/uploads/2024/12/35.2024NE000711-INTEGRACAO-ESCOLA-DE-NEGOCIOS-LTDA.pdf" TargetMode="External"/><Relationship Id="rId86" Type="http://schemas.openxmlformats.org/officeDocument/2006/relationships/hyperlink" Target="https://www.telebras.com.br/wp-content/uploads/2024/12/40.2024NE000885-PS-Treinamento-Profissional-e-Consultoria-Empresarial-Ltda.pdf" TargetMode="External"/><Relationship Id="rId130" Type="http://schemas.openxmlformats.org/officeDocument/2006/relationships/hyperlink" Target="https://www.telebras.com.br/wp-content/uploads/2025/03/84.TLB-ASS-202411008-Fundacao-Nacional-da-Qualidade-FNQ.pdf" TargetMode="External"/><Relationship Id="rId135" Type="http://schemas.openxmlformats.org/officeDocument/2006/relationships/hyperlink" Target="https://www.telebras.com.br/wp-content/uploads/2026/09/DOCUMENTO_GOIASTEC_COMERCIO_E_SERVICOS_LTDA_LGPD.pdf" TargetMode="External"/><Relationship Id="rId151" Type="http://schemas.openxmlformats.org/officeDocument/2006/relationships/vmlDrawing" Target="../drawings/vmlDrawing1.vml"/><Relationship Id="rId13" Type="http://schemas.openxmlformats.org/officeDocument/2006/relationships/hyperlink" Target="https://www.telebras.com.br/wp-content/uploads/2026/09/DOCUMENTO_LEGIS_JET_LTDA_LGPD.pdf" TargetMode="External"/><Relationship Id="rId18" Type="http://schemas.openxmlformats.org/officeDocument/2006/relationships/hyperlink" Target="https://www.telebras.com.br/wp-content/uploads/2025/05/12.TLB-CTR-2025.00026-SACHA-CALMON-MISABEL-DERZI-CONSULTORES-E-ADVOGADOS.pdf" TargetMode="External"/><Relationship Id="rId39" Type="http://schemas.openxmlformats.org/officeDocument/2006/relationships/hyperlink" Target="https://www.telebras.com.br/wp-content/uploads/2026/09/DOCUMENTO_MASTER_SERVICOS_E_COMERCIO_LTDA_LGPD-1.pdf" TargetMode="External"/><Relationship Id="rId109" Type="http://schemas.openxmlformats.org/officeDocument/2006/relationships/hyperlink" Target="https://www.telebras.com.br/wp-content/uploads/2026/09/DOCUMENTO_CLEMAR_ENGENHARIA_LTDA_LGPD.pdf" TargetMode="External"/><Relationship Id="rId34" Type="http://schemas.openxmlformats.org/officeDocument/2006/relationships/hyperlink" Target="https://www.telebras.com.br/wp-content/uploads/2026/09/DOCUMENTO_LGK_SERVICOS_EM_TECNOLOGIA_DA_INFORMACAO_LTDA_LGPD.pdf" TargetMode="External"/><Relationship Id="rId50" Type="http://schemas.openxmlformats.org/officeDocument/2006/relationships/hyperlink" Target="https://www.telebras.com.br/wp-content/uploads/2026/09/DOCUMENTO_CERTISIGN_CERTIFICADORA_DIGITAL_S.A_LGPD.pdf" TargetMode="External"/><Relationship Id="rId55" Type="http://schemas.openxmlformats.org/officeDocument/2006/relationships/hyperlink" Target="https://www.telebras.com.br/wp-content/uploads/2024/12/8.2024NE000576-PIRES-SANTOS-COMERCIO-LTDA.pdf" TargetMode="External"/><Relationship Id="rId76" Type="http://schemas.openxmlformats.org/officeDocument/2006/relationships/hyperlink" Target="https://www.telebras.com.br/wp-content/uploads/2025/02/28.1.TLB-CTR-202400040-IMPAKT-CONSULTORIA-SS-LIMITADA.pdf" TargetMode="External"/><Relationship Id="rId97" Type="http://schemas.openxmlformats.org/officeDocument/2006/relationships/hyperlink" Target="https://www.telebras.com.br/wp-content/uploads/2026/09/DOCUMENTO_MAPFRE_SEGUROS_GERAIS_S.A_LGPD.pdf" TargetMode="External"/><Relationship Id="rId104" Type="http://schemas.openxmlformats.org/officeDocument/2006/relationships/hyperlink" Target="https://www.telebras.com.br/wp-content/uploads/2024/12/58.2024NE000985-Bioseg-Brasilia-Solucoes-em-Seguranca-e-Medicina-do-Trabalho-Ltda.pdf" TargetMode="External"/><Relationship Id="rId120" Type="http://schemas.openxmlformats.org/officeDocument/2006/relationships/hyperlink" Target="https://www.telebras.com.br/wp-content/uploads/2025/02/74.2024NE001082-MARIANA-RODRIGUES-DE-LIMA_3.pdf" TargetMode="External"/><Relationship Id="rId125" Type="http://schemas.openxmlformats.org/officeDocument/2006/relationships/hyperlink" Target="https://www.telebras.com.br/wp-content/uploads/2025/02/79.2024NE001108-MINDWORKS-TECNOLOGIA-E-TREINAMENTO-LTDA.pdf" TargetMode="External"/><Relationship Id="rId141" Type="http://schemas.openxmlformats.org/officeDocument/2006/relationships/hyperlink" Target="https://www.telebras.com.br/wp-content/uploads/2026/09/DOCUMENTO_RDM_TECHNOLOGY_LTDA_LGPD.pdf" TargetMode="External"/><Relationship Id="rId146" Type="http://schemas.openxmlformats.org/officeDocument/2006/relationships/hyperlink" Target="https://www.telebras.com.br/wp-content/uploads/2026/09/TLB-CTR-2026-00053_FORTE_GRAFICA_E_EDITORA_LTDA_LGPD-1.pdf" TargetMode="External"/><Relationship Id="rId7" Type="http://schemas.openxmlformats.org/officeDocument/2006/relationships/hyperlink" Target="https://www.telebras.com.br/wp-content/uploads/2026/09/DOCUMENTO_G4F_SOLUCOES_CORPORATIVAS_LTDA_LGPD.pdf" TargetMode="External"/><Relationship Id="rId71" Type="http://schemas.openxmlformats.org/officeDocument/2006/relationships/hyperlink" Target="https://www.telebras.com.br/wp-content/uploads/2026/09/TLB-CTR-2024-00019_INSTITUTO_DE_PESQUISAS_TECNOLOGICAS_DO_ESTADO_DESAO_PAULO_S-A_-_IPT_LGPD-1.pdf" TargetMode="External"/><Relationship Id="rId92" Type="http://schemas.openxmlformats.org/officeDocument/2006/relationships/hyperlink" Target="https://www.telebras.com.br/wp-content/uploads/2026/09/DOCUMENTO_INFOPLAN_TECNOLOGIA_COMERCIO_E_SERVICOS_LTDA_LGPD.pdf" TargetMode="External"/><Relationship Id="rId2" Type="http://schemas.openxmlformats.org/officeDocument/2006/relationships/hyperlink" Target="https://www.telebras.com.br/wp-content/uploads/2026/03/TLB-CTR-202500117.pdf" TargetMode="External"/><Relationship Id="rId29" Type="http://schemas.openxmlformats.org/officeDocument/2006/relationships/hyperlink" Target="https://www.telebras.com.br/wp-content/uploads/2026/09/DOCUMENTO_KOVR_SEGURADORA_S.A_LGPD-1.pdf" TargetMode="External"/><Relationship Id="rId24" Type="http://schemas.openxmlformats.org/officeDocument/2006/relationships/hyperlink" Target="https://www.telebras.com.br/wp-content/uploads/2026/09/TLB-CTR-2025-00048_ASSOCIACAO_BRASILEIRA_DE_ENTIDADES_ESTADUAIS_E_PUBLICAS_DE_TECNOLOGIA_DA_INFORMACAO_E_COMUNICACAO_ABEP-TIC_LGPD.pdf" TargetMode="External"/><Relationship Id="rId40" Type="http://schemas.openxmlformats.org/officeDocument/2006/relationships/hyperlink" Target="https://www.telebras.com.br/wp-content/uploads/2026/09/DOCUMENTO_CENTRO_BRASILEIRO_DE_PESQUISA_EM_AVALIACAO_E_SELECAO_E_DE_PROMOCAO_DE_EVENTOS_CEBRASPE_LGPD.pdf" TargetMode="External"/><Relationship Id="rId45" Type="http://schemas.openxmlformats.org/officeDocument/2006/relationships/hyperlink" Target="https://www.telebras.com.br/wp-content/uploads/2026/09/DOCUMENTO_ST_SERVICOS_EMPRESARIAIS_LTDA_LGPD.pdf" TargetMode="External"/><Relationship Id="rId66" Type="http://schemas.openxmlformats.org/officeDocument/2006/relationships/hyperlink" Target="https://www.telebras.com.br/wp-content/uploads/2024/12/19.TLB-CTR-202400007-HC-COMUNICACAO-DE-DADOS-LTDA.pdf" TargetMode="External"/><Relationship Id="rId87" Type="http://schemas.openxmlformats.org/officeDocument/2006/relationships/hyperlink" Target="https://www.telebras.com.br/wp-content/uploads/2024/12/41.2024NE000896-ASSOCIACAO-BRASILEIRA-DE-ENTIDADES-ESTADUAIS.pdf" TargetMode="External"/><Relationship Id="rId110" Type="http://schemas.openxmlformats.org/officeDocument/2006/relationships/hyperlink" Target="https://www.telebras.com.br/wp-content/uploads/2026/09/TLB-CTR-2024-00092_ADTK_COMERCIO_E_SERVICOS_DE_INFORMATICA_E_TELECOMUNICACOES_S.A_LGPD.pdf" TargetMode="External"/><Relationship Id="rId115" Type="http://schemas.openxmlformats.org/officeDocument/2006/relationships/hyperlink" Target="https://www.telebras.com.br/wp-content/uploads/2025/02/69.2024NE001059-MARCIA-GONCALVES-FARIA-ROSA.pdf" TargetMode="External"/><Relationship Id="rId131" Type="http://schemas.openxmlformats.org/officeDocument/2006/relationships/hyperlink" Target="https://www.telebras.com.br/wp-content/uploads/2024/12/29.-TLB-CTR-2024-00045-INSTITUTO-BRASILEIRO-DE-GOVERNANCA-CORPORATIVA-IBGC.pdf" TargetMode="External"/><Relationship Id="rId136" Type="http://schemas.openxmlformats.org/officeDocument/2006/relationships/hyperlink" Target="https://www.telebras.com.br/wp-content/uploads/2026/09/DOCUMENTO_PADTEC_S.A_LGPD.pdf" TargetMode="External"/><Relationship Id="rId61" Type="http://schemas.openxmlformats.org/officeDocument/2006/relationships/hyperlink" Target="https://www.telebras.com.br/wp-content/uploads/2024/12/14.2024NE000601-INLABS-CAPACITACAO-PROFISSIONAL-LTDA.pdf" TargetMode="External"/><Relationship Id="rId82" Type="http://schemas.openxmlformats.org/officeDocument/2006/relationships/hyperlink" Target="https://www.telebras.com.br/wp-content/uploads/2024/12/36.2024NE000869-SEC-POWER-COMERCIAL-IMPORTADORA-E-EXPORTADORA-LTDA.pdf" TargetMode="External"/><Relationship Id="rId152" Type="http://schemas.openxmlformats.org/officeDocument/2006/relationships/table" Target="../tables/table1.xml"/><Relationship Id="rId19" Type="http://schemas.openxmlformats.org/officeDocument/2006/relationships/hyperlink" Target="https://www.telebras.com.br/wp-content/uploads/2026/09/DOCUMENTO_I9_SOLUTIONS_-_SOLUCOES_COMERCIAIS_E_GESTAO_DE_TRANSPORTE_LTDA_LGPD.pdf" TargetMode="External"/><Relationship Id="rId14" Type="http://schemas.openxmlformats.org/officeDocument/2006/relationships/hyperlink" Target="https://www.telebras.com.br/wp-content/uploads/2026/09/DOCUMENTO_BRASOFTWARE_INFORMATICA_LTDA_LGPD.pdf" TargetMode="External"/><Relationship Id="rId30" Type="http://schemas.openxmlformats.org/officeDocument/2006/relationships/hyperlink" Target="https://www.telebras.com.br/wp-content/uploads/2026/09/DOCUMENTO_BADIA_EQUARTIM_ADVOGADOS_-_BQA_LGPD.pdf" TargetMode="External"/><Relationship Id="rId35" Type="http://schemas.openxmlformats.org/officeDocument/2006/relationships/hyperlink" Target="https://www.telebras.com.br/wp-content/uploads/2026/09/DOCUMENTO_IMPAKT_CONSULTORIA_SS_LIMITADA_LGPD.pdf" TargetMode="External"/><Relationship Id="rId56" Type="http://schemas.openxmlformats.org/officeDocument/2006/relationships/hyperlink" Target="https://www.telebras.com.br/wp-content/uploads/2024/12/9.2024NE000669-GRAFICA-E-EDITORA-FERNANDES-E-LIRA-LTDA.pdf" TargetMode="External"/><Relationship Id="rId77" Type="http://schemas.openxmlformats.org/officeDocument/2006/relationships/hyperlink" Target="https://www.telebras.com.br/wp-content/uploads/2026/09/DOCUMENTO_MEGA_INFRA_SOLUCOES_EM_INFRAESTRUTURA_LTDA_LGPD.pdf" TargetMode="External"/><Relationship Id="rId100" Type="http://schemas.openxmlformats.org/officeDocument/2006/relationships/hyperlink" Target="https://www.telebras.com.br/wp-content/uploads/2026/09/DOCUMENTO_GRIFON_DIGITAL_SERVICOS_LTDA_LGPD.pdf" TargetMode="External"/><Relationship Id="rId105" Type="http://schemas.openxmlformats.org/officeDocument/2006/relationships/hyperlink" Target="https://www.telebras.com.br/wp-content/uploads/2024/12/59.2024NE001046-NP-Tecnologia-e-Gestao-de-Dados-Ltda.pdf" TargetMode="External"/><Relationship Id="rId126" Type="http://schemas.openxmlformats.org/officeDocument/2006/relationships/hyperlink" Target="https://www.telebras.com.br/wp-content/uploads/2025/02/80.2024NE001104-MINDWORKS-TECNOLOGIA-E-TREINAMENTO-LTDA.pdf" TargetMode="External"/><Relationship Id="rId147" Type="http://schemas.openxmlformats.org/officeDocument/2006/relationships/hyperlink" Target="https://www.telebras.com.br/wp-content/uploads/2026/09/TLB-CTR-2026-00049_TELESPAZIO_BRASIL_S.A_LGPD.pdf" TargetMode="External"/><Relationship Id="rId8" Type="http://schemas.openxmlformats.org/officeDocument/2006/relationships/hyperlink" Target="https://www.telebras.com.br/wp-content/uploads/2026/09/DOCUMENTO_EXEMPLUS_COMUNICACAO_E_MARKETING_LTDA_LGPD.pdf" TargetMode="External"/><Relationship Id="rId51" Type="http://schemas.openxmlformats.org/officeDocument/2006/relationships/hyperlink" Target="https://www.telebras.com.br/wp-content/uploads/2026/09/DOCUMENTO_TRANSCOURIER_LTDA_LGPD.pdf" TargetMode="External"/><Relationship Id="rId72" Type="http://schemas.openxmlformats.org/officeDocument/2006/relationships/hyperlink" Target="https://www.telebras.com.br/wp-content/uploads/2026/09/DOCUMENTO_TARGET_ENGENHARIA_E_CONSULTORIA_LTDA_LGPD.pdf" TargetMode="External"/><Relationship Id="rId93" Type="http://schemas.openxmlformats.org/officeDocument/2006/relationships/hyperlink" Target="https://www.telebras.com.br/wp-content/uploads/2026/09/TLB-CTR-2024-00051_KEYSIGHT_TECHNOLOGIES_MEDICAO_BRASIL_LTDA_LGPD-1.pdf" TargetMode="External"/><Relationship Id="rId98" Type="http://schemas.openxmlformats.org/officeDocument/2006/relationships/hyperlink" Target="https://www.telebras.com.br/wp-content/uploads/2026/09/TLB-CTR-2024-00063_NACIONAL_ELETRONICA_E_TELECOMUNICACOES_LTDA_LGPD-1.pdf" TargetMode="External"/><Relationship Id="rId121" Type="http://schemas.openxmlformats.org/officeDocument/2006/relationships/hyperlink" Target="https://www.telebras.com.br/wp-content/uploads/2025/02/75.2024NE001088-BMEC-EDUCACIONAL-LTDA_4.pdf" TargetMode="External"/><Relationship Id="rId142" Type="http://schemas.openxmlformats.org/officeDocument/2006/relationships/hyperlink" Target="https://www.telebras.com.br/wp-content/uploads/2026/08/TLB-CTR-202600018.pdf" TargetMode="External"/><Relationship Id="rId3" Type="http://schemas.openxmlformats.org/officeDocument/2006/relationships/hyperlink" Target="https://www.telebras.com.br/wp-content/uploads/2026/03/TLB-CTR-202600009.pdf" TargetMode="External"/><Relationship Id="rId25" Type="http://schemas.openxmlformats.org/officeDocument/2006/relationships/hyperlink" Target="https://www.telebras.com.br/wp-content/uploads/2026/09/DOCUMENTO_MAPFRE_SEGUROS_GERAIS_S-A_LGPD.pdf" TargetMode="External"/><Relationship Id="rId46" Type="http://schemas.openxmlformats.org/officeDocument/2006/relationships/hyperlink" Target="https://www.telebras.com.br/wp-content/uploads/2026/09/DOCUMENTO_PROJELITE_SOLUCOES_TECNOLOGICAS_LTDA_LGPD.pdf" TargetMode="External"/><Relationship Id="rId67" Type="http://schemas.openxmlformats.org/officeDocument/2006/relationships/hyperlink" Target="https://www.telebras.com.br/wp-content/uploads/2024/12/20.TLB-CTR-202400011-SECPOWER-COMERCIAL-IMPORTADORA-EXPORTADORA-LTDA.pdf" TargetMode="External"/><Relationship Id="rId116" Type="http://schemas.openxmlformats.org/officeDocument/2006/relationships/hyperlink" Target="https://www.telebras.com.br/wp-content/uploads/2025/02/70.2024NE001078-ZENITE-INFORMACAO-E-CONSULTORIA-SA.pdf" TargetMode="External"/><Relationship Id="rId137" Type="http://schemas.openxmlformats.org/officeDocument/2006/relationships/hyperlink" Target="https://www.telebras.com.br/wp-content/uploads/2026/09/DOCUMENTO_FORTE_GRAFICA_E_EDITORA_LTDA_LGPD.pdf" TargetMode="External"/><Relationship Id="rId20" Type="http://schemas.openxmlformats.org/officeDocument/2006/relationships/hyperlink" Target="https://www.telebras.com.br/wp-content/uploads/2026/09/TLB-CTR-2025-00034_G3_SERVICOS_DE_CONSTRUCOES_HIDRAULICA_E_IMPERMEABILIZACAO_LTDA_LGPD-1.pdf" TargetMode="External"/><Relationship Id="rId41" Type="http://schemas.openxmlformats.org/officeDocument/2006/relationships/hyperlink" Target="https://www.telebras.com.br/wp-content/uploads/2026/01/35.TLB-CTR-2025.00112-BLS-COMPANY-ASSESSORIA-CONTABIL-LTDA.pdf" TargetMode="External"/><Relationship Id="rId62" Type="http://schemas.openxmlformats.org/officeDocument/2006/relationships/hyperlink" Target="https://www.telebras.com.br/wp-content/uploads/2026/09/TLB-CTR-2024-00036_CAMARA_DE_DIRIGENTES_LOJISTA_DO_DISTRITO_FEDERAL_-_CDL_DF_LGPD-1.pdf" TargetMode="External"/><Relationship Id="rId83" Type="http://schemas.openxmlformats.org/officeDocument/2006/relationships/hyperlink" Target="https://www.telebras.com.br/wp-content/uploads/2026/09/DOCUMENTO_REAL_JG_FACILITIES_S-A_LGPD.pdf" TargetMode="External"/><Relationship Id="rId88" Type="http://schemas.openxmlformats.org/officeDocument/2006/relationships/hyperlink" Target="https://www.telebras.com.br/wp-content/uploads/2024/12/42.2024NE000895-ASSOCIACAO-BRASILEIRA-DE-RECURSOS-HUMANOS.pdf" TargetMode="External"/><Relationship Id="rId111" Type="http://schemas.openxmlformats.org/officeDocument/2006/relationships/hyperlink" Target="https://www.telebras.com.br/wp-content/uploads/2026/09/TLB-CTR-2024-00093_3CORP_TECHNOLOGY_INFRAESTRUTURA_DE_TELECOM_LTDA_LGPD-1.pdf" TargetMode="External"/><Relationship Id="rId132" Type="http://schemas.openxmlformats.org/officeDocument/2006/relationships/hyperlink" Target="https://www.telebras.com.br/wp-content/uploads/2024/12/33.2024NE000840-CALCAM-COMERCIAL-DE-SUPRIMENTOS-DE-INFORMATICA-LTDA.pdf" TargetMode="External"/><Relationship Id="rId153" Type="http://schemas.openxmlformats.org/officeDocument/2006/relationships/comments" Target="../comments1.xml"/><Relationship Id="rId15" Type="http://schemas.openxmlformats.org/officeDocument/2006/relationships/hyperlink" Target="https://www.telebras.com.br/wp-content/uploads/2025/04/5.TLB-CTR-2025.00022-DELL-COMPUTADORES-DO-BRASIL-LTDA.pdf" TargetMode="External"/><Relationship Id="rId36" Type="http://schemas.openxmlformats.org/officeDocument/2006/relationships/hyperlink" Target="https://www.telebras.com.br/wp-content/uploads/2026/09/TLB-CTR-2025-00043_ADTK_COMERCIO_E_SERVICOS_DE_INFOR-MATICA_E_TELECOMUNICACOES_S.A_LGPD.pdf" TargetMode="External"/><Relationship Id="rId57" Type="http://schemas.openxmlformats.org/officeDocument/2006/relationships/hyperlink" Target="https://www.telebras.com.br/wp-content/uploads/2024/12/10.2024NE000670-BRASILIA-COMERCIO-ATACADISTA-DE-SUPRIMENTOS-DE-PAPELARIA-LTDA.pdf" TargetMode="External"/><Relationship Id="rId106" Type="http://schemas.openxmlformats.org/officeDocument/2006/relationships/hyperlink" Target="https://www.telebras.com.br/wp-content/uploads/2024/12/60.TLB-CTR-2024-00081-DINAMICA-CONSULTORIA-E-SOLUCOES-EMPRESARIAIS-LTDA.pdf" TargetMode="External"/><Relationship Id="rId127" Type="http://schemas.openxmlformats.org/officeDocument/2006/relationships/hyperlink" Target="https://www.telebras.com.br/wp-content/uploads/2025/02/81.2024NE001110-KPMG-ASSURANCE-SERVICES-LTDA.pdf" TargetMode="External"/><Relationship Id="rId10" Type="http://schemas.openxmlformats.org/officeDocument/2006/relationships/hyperlink" Target="https://www.telebras.com.br/wp-content/uploads/2026/09/DOCUMENTO_ALLTECH_SOLUCOES_EM_TECNOLOGIA_LTDA_LGPD.pdf" TargetMode="External"/><Relationship Id="rId31" Type="http://schemas.openxmlformats.org/officeDocument/2006/relationships/hyperlink" Target="https://www.telebras.com.br/wp-content/uploads/2026/09/DOCUMENTO_FONNET_COMERCIO_DE_EQUIPAMENTOS_DE_TELECOMUNICACOES_LTDA_LGPD.pdf" TargetMode="External"/><Relationship Id="rId52" Type="http://schemas.openxmlformats.org/officeDocument/2006/relationships/hyperlink" Target="https://www.telebras.com.br/wp-content/uploads/2024/12/4.2024NE000661-SMARTX-IMPORTACAO-E-COMERCIO-LTDA.pdf" TargetMode="External"/><Relationship Id="rId73" Type="http://schemas.openxmlformats.org/officeDocument/2006/relationships/hyperlink" Target="https://www.telebras.com.br/wp-content/uploads/2024/12/26.TLB-CTR-202400032-QUANTICA-EMPRESA-DE-CONSULTORIA-E-SERVICOS-LTDA.pdf" TargetMode="External"/><Relationship Id="rId78" Type="http://schemas.openxmlformats.org/officeDocument/2006/relationships/hyperlink" Target="https://www.telebras.com.br/wp-content/uploads/2026/09/DOCUMENTO_EMPRESA_REI_DE_OURO_MUDANCAS_E_TRANSPORTE_LGPD.pdf" TargetMode="External"/><Relationship Id="rId94" Type="http://schemas.openxmlformats.org/officeDocument/2006/relationships/hyperlink" Target="https://www.telebras.com.br/wp-content/uploads/2026/09/DOCUMENTO_KOVR_SEGURADORA_S.A_LGPD.pdf" TargetMode="External"/><Relationship Id="rId99" Type="http://schemas.openxmlformats.org/officeDocument/2006/relationships/hyperlink" Target="https://www.telebras.com.br/wp-content/uploads/2024/12/53.TLB-CTR-202400064-CONVERGY-SERVICOS-E-CONTABILIDADE-LTDA.pdf" TargetMode="External"/><Relationship Id="rId101" Type="http://schemas.openxmlformats.org/officeDocument/2006/relationships/hyperlink" Target="https://www.telebras.com.br/wp-content/uploads/2024/12/55.2024NE000971-FUNDACAO-GETULIO-VARGAS.pdf" TargetMode="External"/><Relationship Id="rId122" Type="http://schemas.openxmlformats.org/officeDocument/2006/relationships/hyperlink" Target="https://www.telebras.com.br/wp-content/uploads/2025/02/76.2024NE001105-SINGULARES-TECNOLOGIA-DA-INFORMACAO-LTDA.pdf" TargetMode="External"/><Relationship Id="rId143" Type="http://schemas.openxmlformats.org/officeDocument/2006/relationships/hyperlink" Target="https://www.telebras.com.br/wp-content/uploads/2026/09/DOCUMENTO_INFOPLAN_TECNOLOGIA_COMERCIO_E_SERVICOS_LTDA_LGPD-1.pdf" TargetMode="External"/><Relationship Id="rId148" Type="http://schemas.openxmlformats.org/officeDocument/2006/relationships/hyperlink" Target="https://www.telebras.com.br/wp-content/uploads/2026/09/TLB-CTR-2026_00052_EVOLUE_SERVI_OS_DE_SAUDE_LGPD.pdf" TargetMode="External"/><Relationship Id="rId4" Type="http://schemas.openxmlformats.org/officeDocument/2006/relationships/hyperlink" Target="https://www.telebras.com.br/wp-content/uploads/2026/09/DOCUMENTO_ROLLS_ROYCE_SOLUTIONS_LGPD.pdf" TargetMode="External"/><Relationship Id="rId9" Type="http://schemas.openxmlformats.org/officeDocument/2006/relationships/hyperlink" Target="https://www.telebras.com.br/wp-content/uploads/2025/03/3.TLB-CTR-2025.00004-CONSORCIO-INBLOKO.pdf" TargetMode="External"/><Relationship Id="rId26" Type="http://schemas.openxmlformats.org/officeDocument/2006/relationships/hyperlink" Target="https://www.telebras.com.br/wp-content/uploads/2026/09/DOCUMENTO_HC_COMUNICACAO_DE_DADOS_LTDA_LGPD.pdf" TargetMode="External"/><Relationship Id="rId47" Type="http://schemas.openxmlformats.org/officeDocument/2006/relationships/hyperlink" Target="https://www.telebras.com.br/wp-content/uploads/2026/01/41.TLB-CTR-2025.00115-MPV-SERVICOS-DE-CLINICA-MEDICA-CARDIOLOGIA-E-CIRURGIA-GERAL-LTDA.pdf" TargetMode="External"/><Relationship Id="rId68" Type="http://schemas.openxmlformats.org/officeDocument/2006/relationships/hyperlink" Target="https://www.telebras.com.br/wp-content/uploads/2026/09/TLB-CTR-2024-00020_GLOBAL_DISTRIBUICAO_DE_BENS_DE_CONSUMO_LTDA_LGPD-1.pdf" TargetMode="External"/><Relationship Id="rId89" Type="http://schemas.openxmlformats.org/officeDocument/2006/relationships/hyperlink" Target="https://www.telebras.com.br/wp-content/uploads/2024/12/43.2024NE000915-INSTITUTO-BRASILEIRO-DE-GOVERNANCA-CORPORATIVA.pdf" TargetMode="External"/><Relationship Id="rId112" Type="http://schemas.openxmlformats.org/officeDocument/2006/relationships/hyperlink" Target="https://www.telebras.com.br/wp-content/uploads/2025/02/66.TLB-CTR-202400095-ADTK-COM-E-SERV-INFORM-E-TELECOM.pdf" TargetMode="External"/><Relationship Id="rId133" Type="http://schemas.openxmlformats.org/officeDocument/2006/relationships/hyperlink" Target="https://www.telebras.com.br/wp-content/uploads/2026/04/TLBCTR202600025-BANCO-BRADESCO-SA-4.pdf" TargetMode="External"/><Relationship Id="rId154" Type="http://schemas.microsoft.com/office/2017/10/relationships/threadedComment" Target="../threadedComments/threadedComment1.xml"/><Relationship Id="rId16" Type="http://schemas.openxmlformats.org/officeDocument/2006/relationships/hyperlink" Target="https://www.telebras.com.br/wp-content/uploads/2026/09/DOCUMENTO_DELL_COMPUTADORES_DO_BRASIL_LTDA_LGPD.pdf" TargetMode="External"/><Relationship Id="rId37" Type="http://schemas.openxmlformats.org/officeDocument/2006/relationships/hyperlink" Target="https://www.telebras.com.br/wp-content/uploads/2026/09/TLB-CTR-2025-00044_ADTK_COMERCIO_E_SERVICOS_DE_INFOR-MATICA_E_TELECOMUNICACOES_S.A_LGPD.pdf" TargetMode="External"/><Relationship Id="rId58" Type="http://schemas.openxmlformats.org/officeDocument/2006/relationships/hyperlink" Target="https://www.telebras.com.br/wp-content/uploads/2024/12/11.2024NE000606-PRONTO-EVENTOS-TECNOLOGIA-E-INTEGRACAO-LTDA.pdf" TargetMode="External"/><Relationship Id="rId79" Type="http://schemas.openxmlformats.org/officeDocument/2006/relationships/hyperlink" Target="https://www.telebras.com.br/wp-content/uploads/2024/12/32.2024NE000831-LEGACY-DISTRIBUIDORA-DE-INFORMATICA-E-ELETROELETRONICOS-LTDA.pdf" TargetMode="External"/><Relationship Id="rId102" Type="http://schemas.openxmlformats.org/officeDocument/2006/relationships/hyperlink" Target="https://www.telebras.com.br/wp-content/uploads/2024/12/56.2024NE000972-INSTITUTO-BRASILEIRO-DE-GOVERNANCA-CORPORATIVA.pdf" TargetMode="External"/><Relationship Id="rId123" Type="http://schemas.openxmlformats.org/officeDocument/2006/relationships/hyperlink" Target="https://www.telebras.com.br/wp-content/uploads/2025/02/77.2024NE001098-MINDWORKS-TECNOLOGIA-E-TREINAMENTO-LTDA_5.pdf" TargetMode="External"/><Relationship Id="rId144" Type="http://schemas.openxmlformats.org/officeDocument/2006/relationships/hyperlink" Target="https://www.telebras.com.br/wp-content/uploads/2026/09/TLB-CTR-2026-00045_BUSINESS_INTEGRATION_PARTNERS_DO_BRASIL_CONSULTORIA_LTDA_LGPD-1.pdf" TargetMode="External"/><Relationship Id="rId90" Type="http://schemas.openxmlformats.org/officeDocument/2006/relationships/hyperlink" Target="https://www.telebras.com.br/wp-content/uploads/2024/12/44.2024NE000682-COMERCIAL-ALVORADA-DE-PRODUTOS-PARA-LIMPEZA-E-DESCARTAVEIS-LTDA.pdf"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telebras.com.br/wp-content/uploads/2026/09/DOCUMENTO_PLANEJE_TECNOLOGIA_E_SERVICOS_LTDA_LGPD-1.pdf" TargetMode="External"/><Relationship Id="rId13" Type="http://schemas.openxmlformats.org/officeDocument/2006/relationships/hyperlink" Target="https://www.telebras.com.br/wp-content/uploads/2026/09/DOCUMENTO_CLEMAR_ENGENHARIA_LTDA_LGPD-1.pdf" TargetMode="External"/><Relationship Id="rId18" Type="http://schemas.openxmlformats.org/officeDocument/2006/relationships/hyperlink" Target="https://www.telebras.com.br/wp-content/uploads/2026/09/DOCUMENTO_TECNO_2000_INDUSTRIA_E_COMERCIO_LTDA_LGPD.pdf" TargetMode="External"/><Relationship Id="rId3" Type="http://schemas.openxmlformats.org/officeDocument/2006/relationships/hyperlink" Target="https://www.telebras.com.br/wp-content/uploads/2026/09/DOCUMENTO_ASG_BROTHERS_LICITACOES_COMERCIAL_LTDA_LGPD.pdf" TargetMode="External"/><Relationship Id="rId21" Type="http://schemas.openxmlformats.org/officeDocument/2006/relationships/table" Target="../tables/table2.xml"/><Relationship Id="rId7" Type="http://schemas.openxmlformats.org/officeDocument/2006/relationships/hyperlink" Target="https://www.telebras.com.br/wp-content/uploads/2026/09/DOCUMENTO_NTSEC_SOLUCOES_EM_TELEINFORMATICA_LTDA_LGPD-1.pdf" TargetMode="External"/><Relationship Id="rId12" Type="http://schemas.openxmlformats.org/officeDocument/2006/relationships/hyperlink" Target="https://www.telebras.com.br/wp-content/uploads/2025/07/4.-TLB-ARP-2022-00006_FK-GRUPO-SA.pdf" TargetMode="External"/><Relationship Id="rId17" Type="http://schemas.openxmlformats.org/officeDocument/2006/relationships/hyperlink" Target="https://www.telebras.com.br/wp-content/uploads/2026/09/DOCUMENTO_HC_COMUNICACAO_DE_DADOS_LTDA_LGPD-2.pdf" TargetMode="External"/><Relationship Id="rId2" Type="http://schemas.openxmlformats.org/officeDocument/2006/relationships/hyperlink" Target="https://www.telebras.com.br/wp-content/uploads/2026/09/DOCUMENTO_CREATIVE_THINGS_COMERCIO_E_DISTRIBUICAO_LTDA_LGPD.pdf" TargetMode="External"/><Relationship Id="rId16" Type="http://schemas.openxmlformats.org/officeDocument/2006/relationships/hyperlink" Target="https://www.telebras.com.br/wp-content/uploads/2025/07/4.-TLB-ARP-2023-00006_HC-COMUNICACAO-DE-DADOS-LTDA.pdf" TargetMode="External"/><Relationship Id="rId20" Type="http://schemas.openxmlformats.org/officeDocument/2006/relationships/printerSettings" Target="../printerSettings/printerSettings2.bin"/><Relationship Id="rId1" Type="http://schemas.openxmlformats.org/officeDocument/2006/relationships/hyperlink" Target="https://www.telebras.com.br/wp-content/uploads/2026/09/DOCUMENTO_BRASOFTWARE_INFORMATICA_LTDA_LGPD-1.pdf" TargetMode="External"/><Relationship Id="rId6" Type="http://schemas.openxmlformats.org/officeDocument/2006/relationships/hyperlink" Target="https://www.telebras.com.br/wp-content/uploads/2026/09/DOCUMENTO_OTTONI_SERVICO_DE_ENGENHARIA_LTDA_LGPD.pdf" TargetMode="External"/><Relationship Id="rId11" Type="http://schemas.openxmlformats.org/officeDocument/2006/relationships/hyperlink" Target="https://www.telebras.com.br/wp-content/uploads/2026/09/DOCUMENTO_PADTEC_S-A_LGPD.pdf" TargetMode="External"/><Relationship Id="rId5" Type="http://schemas.openxmlformats.org/officeDocument/2006/relationships/hyperlink" Target="https://www.telebras.com.br/wp-content/uploads/2026/09/DOCUMENTO_CLEMAR_ENGENHARIA_LTDA_LGPD-2.pdf" TargetMode="External"/><Relationship Id="rId15" Type="http://schemas.openxmlformats.org/officeDocument/2006/relationships/hyperlink" Target="https://www.telebras.com.br/wp-content/uploads/2025/07/3.-TLB-ARP-2023-00005_INFOPLAN-TECNOLOGIA-COMERCIO-E-SERVICOS-LTDA-EPP.pdf" TargetMode="External"/><Relationship Id="rId10" Type="http://schemas.openxmlformats.org/officeDocument/2006/relationships/hyperlink" Target="https://www.telebras.com.br/wp-content/uploads/2025/07/2.-TLB-ARP-2022-00003_PADTEC-SA.pdf" TargetMode="External"/><Relationship Id="rId19" Type="http://schemas.openxmlformats.org/officeDocument/2006/relationships/hyperlink" Target="https://www.telebras.com.br/wp-content/uploads/2026/09/DOCUMENTO_FORTE_GRAFICA_E_EDITORA_LTDA_LGPD-1.pdf" TargetMode="External"/><Relationship Id="rId4" Type="http://schemas.openxmlformats.org/officeDocument/2006/relationships/hyperlink" Target="https://www.telebras.com.br/wp-content/uploads/2026/09/DOCUMENTO_GUARDA_VIDA_EPI_EIRELI_LGPD.pdf" TargetMode="External"/><Relationship Id="rId9" Type="http://schemas.openxmlformats.org/officeDocument/2006/relationships/hyperlink" Target="https://www.telebras.com.br/wp-content/uploads/2025/07/1.-TLB-ARP-2022-00001_iNB-Tecnologia-LTDA.pdf" TargetMode="External"/><Relationship Id="rId14" Type="http://schemas.openxmlformats.org/officeDocument/2006/relationships/hyperlink" Target="https://www.telebras.com.br/wp-content/uploads/2026/09/DOCUMENTO_SECPOWER_COMERCIAL_IMPORTADORA_EXPORTADORA_LTDA_LGPD.pdf"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hyperlink" Target="mailto:tatiana.miranda@telebras.com.br" TargetMode="External"/><Relationship Id="rId2" Type="http://schemas.openxmlformats.org/officeDocument/2006/relationships/hyperlink" Target="mailto:fernanda.elias@telebras.com.br" TargetMode="External"/><Relationship Id="rId1" Type="http://schemas.openxmlformats.org/officeDocument/2006/relationships/pivotTable" Target="../pivotTables/pivotTable3.xml"/><Relationship Id="rId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1.xml"/><Relationship Id="rId5" Type="http://schemas.openxmlformats.org/officeDocument/2006/relationships/printerSettings" Target="../printerSettings/printerSettings10.bin"/><Relationship Id="rId4"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ivotTable" Target="../pivotTables/pivotTable16.xm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ivotTable" Target="../pivotTables/pivotTable17.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pivotTable" Target="../pivotTables/pivotTable18.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tabColor rgb="FFFF00FF"/>
  </sheetPr>
  <dimension ref="B1:AO166"/>
  <sheetViews>
    <sheetView showGridLines="0" tabSelected="1" zoomScale="92" zoomScaleNormal="92" workbookViewId="0">
      <pane xSplit="2" ySplit="4" topLeftCell="G142" activePane="bottomRight" state="frozen"/>
      <selection activeCell="G32" sqref="G32"/>
      <selection pane="topRight" activeCell="G32" sqref="G32"/>
      <selection pane="bottomLeft" activeCell="G32" sqref="G32"/>
      <selection pane="bottomRight" activeCell="O150" sqref="O150"/>
    </sheetView>
  </sheetViews>
  <sheetFormatPr defaultRowHeight="15.75" x14ac:dyDescent="0.25"/>
  <cols>
    <col min="1" max="1" width="2" style="2" customWidth="1"/>
    <col min="2" max="2" width="3.85546875" style="42" customWidth="1"/>
    <col min="3" max="3" width="19.140625" style="75" customWidth="1"/>
    <col min="4" max="4" width="15.5703125" style="77" customWidth="1"/>
    <col min="5" max="5" width="17.28515625" style="100" customWidth="1"/>
    <col min="6" max="6" width="21.85546875" style="100" bestFit="1" customWidth="1"/>
    <col min="7" max="7" width="23.85546875" style="79" customWidth="1"/>
    <col min="8" max="8" width="22.85546875" customWidth="1"/>
    <col min="9" max="9" width="16.28515625" style="77" customWidth="1"/>
    <col min="10" max="10" width="25.42578125" style="216" customWidth="1"/>
    <col min="11" max="11" width="8.85546875" style="100" customWidth="1"/>
    <col min="12" max="12" width="15.140625" style="101" customWidth="1"/>
    <col min="13" max="13" width="20.7109375" style="100" customWidth="1"/>
    <col min="14" max="14" width="22.5703125" style="101" customWidth="1"/>
    <col min="15" max="15" width="22.28515625" style="101" customWidth="1"/>
    <col min="16" max="16" width="28.42578125" style="155" customWidth="1"/>
    <col min="17" max="17" width="21.5703125" style="152" customWidth="1"/>
    <col min="18" max="18" width="21" style="101" customWidth="1"/>
    <col min="19" max="19" width="13.7109375" style="162" customWidth="1"/>
    <col min="20" max="20" width="18.28515625" style="162" customWidth="1"/>
    <col min="21" max="21" width="15.7109375" style="153" customWidth="1"/>
    <col min="22" max="22" width="12.28515625" style="154" customWidth="1"/>
    <col min="23" max="23" width="17" style="155" customWidth="1"/>
    <col min="24" max="24" width="30.85546875" style="155" customWidth="1"/>
    <col min="25" max="25" width="23.5703125" customWidth="1"/>
    <col min="26" max="26" width="21" style="217" customWidth="1"/>
    <col min="27" max="27" width="18.85546875" style="218" customWidth="1"/>
    <col min="28" max="28" width="21.42578125" style="219" customWidth="1"/>
    <col min="29" max="29" width="21.85546875" style="101" customWidth="1"/>
    <col min="30" max="30" width="16.42578125" style="164" customWidth="1"/>
    <col min="31" max="31" width="11.7109375" style="164" customWidth="1"/>
    <col min="32" max="32" width="12.7109375" style="152" customWidth="1"/>
    <col min="33" max="33" width="14.140625" style="100" customWidth="1"/>
    <col min="34" max="34" width="14.85546875" style="101" customWidth="1"/>
    <col min="35" max="35" width="22" style="101" customWidth="1"/>
    <col min="36" max="36" width="18" style="101" customWidth="1"/>
    <col min="37" max="37" width="16.28515625" style="151" customWidth="1"/>
    <col min="38" max="38" width="16.42578125" style="151" customWidth="1"/>
    <col min="39" max="39" width="12.5703125" style="2" customWidth="1"/>
    <col min="40" max="40" width="15.7109375" style="2" customWidth="1"/>
    <col min="41" max="41" width="14.28515625" style="2" customWidth="1"/>
    <col min="42" max="16384" width="9.140625" style="2"/>
  </cols>
  <sheetData>
    <row r="1" spans="2:41" ht="21" x14ac:dyDescent="0.25">
      <c r="C1" s="34" t="s">
        <v>96</v>
      </c>
      <c r="D1" s="62"/>
      <c r="E1" s="7"/>
      <c r="F1" s="1"/>
      <c r="G1" s="77"/>
      <c r="H1" s="79" t="s">
        <v>1223</v>
      </c>
      <c r="I1" s="102"/>
      <c r="J1" s="1"/>
      <c r="K1" s="7"/>
      <c r="L1" s="1"/>
      <c r="M1" s="1"/>
      <c r="N1" s="1"/>
      <c r="O1" s="10"/>
      <c r="P1" s="10"/>
      <c r="Q1" s="1"/>
      <c r="R1" s="1"/>
      <c r="S1" s="119"/>
      <c r="T1" s="119"/>
      <c r="U1" s="122"/>
      <c r="V1" s="10"/>
      <c r="W1" s="10"/>
      <c r="X1" s="1"/>
      <c r="Y1" s="117"/>
      <c r="Z1" s="199"/>
      <c r="AA1" s="199"/>
      <c r="AB1" s="10"/>
      <c r="AC1" s="7"/>
      <c r="AD1" s="53"/>
      <c r="AE1" s="1"/>
      <c r="AF1" s="1"/>
      <c r="AG1" s="2"/>
      <c r="AH1" s="2"/>
      <c r="AI1" s="151"/>
      <c r="AJ1" s="151"/>
      <c r="AL1" s="2"/>
    </row>
    <row r="2" spans="2:41" ht="16.5" thickBot="1" x14ac:dyDescent="0.3">
      <c r="C2" s="19" t="s">
        <v>40</v>
      </c>
      <c r="D2" s="62"/>
      <c r="E2" s="7"/>
      <c r="F2" s="1"/>
      <c r="G2" s="77"/>
      <c r="H2" s="62"/>
      <c r="I2" s="102"/>
      <c r="J2" s="1"/>
      <c r="K2" s="7"/>
      <c r="L2" s="1"/>
      <c r="M2" s="1"/>
      <c r="N2" s="1"/>
      <c r="O2" s="10"/>
      <c r="P2" s="10"/>
      <c r="Q2" s="1"/>
      <c r="R2" s="1"/>
      <c r="S2" s="119"/>
      <c r="T2" s="119"/>
      <c r="U2" s="122"/>
      <c r="V2" s="10"/>
      <c r="W2" s="10"/>
      <c r="X2" s="1"/>
      <c r="Y2" s="117"/>
      <c r="Z2" s="199"/>
      <c r="AA2" s="199"/>
      <c r="AB2" s="10"/>
      <c r="AC2" s="7"/>
      <c r="AD2" s="53"/>
      <c r="AE2" s="1"/>
      <c r="AF2" s="1"/>
      <c r="AG2" s="2"/>
      <c r="AH2" s="2"/>
      <c r="AI2" s="151"/>
      <c r="AJ2" s="151"/>
      <c r="AL2" s="2"/>
    </row>
    <row r="3" spans="2:41" s="15" customFormat="1" ht="15.75" customHeight="1" thickTop="1" thickBot="1" x14ac:dyDescent="0.3">
      <c r="B3" s="42"/>
      <c r="C3" s="220" t="s">
        <v>1220</v>
      </c>
      <c r="D3" s="220"/>
      <c r="E3" s="220"/>
      <c r="F3" s="221"/>
      <c r="G3" s="221"/>
      <c r="H3" s="222"/>
      <c r="I3" s="222"/>
      <c r="J3" s="222"/>
      <c r="K3" s="223"/>
      <c r="L3" s="223"/>
      <c r="M3" s="227" t="s">
        <v>1221</v>
      </c>
      <c r="N3" s="73"/>
      <c r="O3" s="315" t="s">
        <v>1645</v>
      </c>
      <c r="P3" s="73"/>
      <c r="Q3" s="288"/>
      <c r="R3" s="73"/>
      <c r="S3" s="120"/>
      <c r="T3" s="120"/>
      <c r="U3" s="73"/>
      <c r="V3" s="73"/>
      <c r="W3" s="73"/>
      <c r="X3" s="74"/>
      <c r="Y3" s="224" t="s">
        <v>35</v>
      </c>
      <c r="Z3" s="225"/>
      <c r="AA3" s="225"/>
      <c r="AB3" s="225"/>
      <c r="AC3" s="228" t="s">
        <v>39</v>
      </c>
      <c r="AD3" s="226"/>
      <c r="AE3" s="226"/>
      <c r="AF3" s="226"/>
      <c r="AG3" s="226"/>
      <c r="AH3" s="226"/>
      <c r="AI3" s="226"/>
      <c r="AJ3" s="391" t="s">
        <v>1222</v>
      </c>
      <c r="AK3" s="391"/>
      <c r="AL3" s="391"/>
    </row>
    <row r="4" spans="2:41" s="390" customFormat="1" ht="48.75" customHeight="1" thickTop="1" thickBot="1" x14ac:dyDescent="0.3">
      <c r="B4" s="16"/>
      <c r="C4" s="230" t="s">
        <v>1219</v>
      </c>
      <c r="D4" s="389" t="s">
        <v>2016</v>
      </c>
      <c r="E4" s="12" t="s">
        <v>87</v>
      </c>
      <c r="F4" s="12" t="s">
        <v>45</v>
      </c>
      <c r="G4" s="13" t="s">
        <v>1637</v>
      </c>
      <c r="H4" s="13" t="s">
        <v>620</v>
      </c>
      <c r="I4" s="12" t="s">
        <v>77</v>
      </c>
      <c r="J4" s="12" t="s">
        <v>53</v>
      </c>
      <c r="K4" s="61" t="s">
        <v>44</v>
      </c>
      <c r="L4" s="14" t="s">
        <v>94</v>
      </c>
      <c r="M4" s="11" t="s">
        <v>18</v>
      </c>
      <c r="N4" s="54" t="s">
        <v>1638</v>
      </c>
      <c r="O4" s="13" t="s">
        <v>19</v>
      </c>
      <c r="P4" s="314" t="s">
        <v>1644</v>
      </c>
      <c r="Q4" s="3" t="s">
        <v>1640</v>
      </c>
      <c r="R4" s="3" t="s">
        <v>368</v>
      </c>
      <c r="S4" s="13" t="s">
        <v>93</v>
      </c>
      <c r="T4" s="13" t="s">
        <v>69</v>
      </c>
      <c r="U4" s="121" t="s">
        <v>1642</v>
      </c>
      <c r="V4" s="121" t="s">
        <v>1643</v>
      </c>
      <c r="W4" s="123" t="s">
        <v>95</v>
      </c>
      <c r="X4" s="3" t="s">
        <v>1</v>
      </c>
      <c r="Y4" s="3" t="s">
        <v>26</v>
      </c>
      <c r="Z4" s="3" t="s">
        <v>6</v>
      </c>
      <c r="AA4" s="3" t="s">
        <v>1639</v>
      </c>
      <c r="AB4" s="118" t="s">
        <v>36</v>
      </c>
      <c r="AC4" s="200" t="s">
        <v>37</v>
      </c>
      <c r="AD4" s="200" t="s">
        <v>1641</v>
      </c>
      <c r="AE4" s="13" t="s">
        <v>13</v>
      </c>
      <c r="AF4" s="13" t="s">
        <v>8</v>
      </c>
      <c r="AG4" s="13" t="s">
        <v>3</v>
      </c>
      <c r="AH4" s="13" t="s">
        <v>76</v>
      </c>
      <c r="AI4" s="13" t="s">
        <v>12</v>
      </c>
      <c r="AJ4" s="13" t="s">
        <v>1233</v>
      </c>
      <c r="AK4" s="215" t="s">
        <v>1273</v>
      </c>
      <c r="AL4" s="215" t="s">
        <v>1443</v>
      </c>
      <c r="AM4" s="215" t="s">
        <v>1445</v>
      </c>
      <c r="AO4" s="347" t="s">
        <v>1863</v>
      </c>
    </row>
    <row r="5" spans="2:41" s="17" customFormat="1" ht="18" customHeight="1" thickTop="1" thickBot="1" x14ac:dyDescent="0.3">
      <c r="B5" s="42"/>
      <c r="C5" s="242"/>
      <c r="D5" s="242"/>
      <c r="E5" s="136" t="s">
        <v>90</v>
      </c>
      <c r="F5" s="136" t="s">
        <v>72</v>
      </c>
      <c r="G5" s="136" t="s">
        <v>132</v>
      </c>
      <c r="H5" s="78" t="s">
        <v>4</v>
      </c>
      <c r="I5" s="78" t="s">
        <v>133</v>
      </c>
      <c r="J5" s="78" t="s">
        <v>378</v>
      </c>
      <c r="K5" s="78">
        <v>0</v>
      </c>
      <c r="L5" s="261">
        <v>2023</v>
      </c>
      <c r="M5" s="146" t="s">
        <v>41</v>
      </c>
      <c r="N5" s="146" t="s">
        <v>81</v>
      </c>
      <c r="O5" s="146" t="s">
        <v>134</v>
      </c>
      <c r="P5" s="342" t="s">
        <v>461</v>
      </c>
      <c r="Q5" s="146" t="s">
        <v>377</v>
      </c>
      <c r="R5" s="146" t="s">
        <v>377</v>
      </c>
      <c r="S5" s="289">
        <v>2024</v>
      </c>
      <c r="T5" s="243" t="str">
        <f t="shared" ref="T5:T36" si="0">TEXT(U5,"mmm/aaaa")</f>
        <v>jan/2024</v>
      </c>
      <c r="U5" s="161">
        <v>45307</v>
      </c>
      <c r="V5" s="161" t="s">
        <v>136</v>
      </c>
      <c r="W5" s="148">
        <f>DATEDIF(Base_CTRs_Finalizados[[#This Row],[INÍCIO VIGÊNCIA]],Base_CTRs_Finalizados[[#This Row],[FINAL 
VIGÊNCIA]],"Y")</f>
        <v>1</v>
      </c>
      <c r="X5" s="146" t="s">
        <v>137</v>
      </c>
      <c r="Y5" s="146" t="s">
        <v>27</v>
      </c>
      <c r="Z5" s="146" t="s">
        <v>138</v>
      </c>
      <c r="AA5" s="146" t="s">
        <v>139</v>
      </c>
      <c r="AB5" s="236">
        <f>DATEDIF(Base_CTRs_Finalizados[[#This Row],[INÍCIO VIGÊNCIA]],Base_CTRs_Finalizados[[#This Row],[FINAL 
VIGÊNCIA]],"M")</f>
        <v>12</v>
      </c>
      <c r="AC5" s="203">
        <v>2897.31</v>
      </c>
      <c r="AD5" s="203">
        <v>2897.31</v>
      </c>
      <c r="AE5" s="150" t="s">
        <v>14</v>
      </c>
      <c r="AF5" s="150" t="s">
        <v>9</v>
      </c>
      <c r="AG5" s="150">
        <v>10014304</v>
      </c>
      <c r="AH5" s="150" t="s">
        <v>140</v>
      </c>
      <c r="AI5" s="150"/>
      <c r="AJ5" s="237">
        <f>_xlfn.DAYS(Base_CTRs_Finalizados[[#This Row],[INÍCIO VIGÊNCIA]],Base_CTRs_Finalizados[[#This Row],[Data inicio processo]])</f>
        <v>45307</v>
      </c>
      <c r="AK5" s="266" t="s">
        <v>157</v>
      </c>
      <c r="AL5" s="266"/>
      <c r="AM5" s="266"/>
    </row>
    <row r="6" spans="2:41" s="18" customFormat="1" ht="18" customHeight="1" thickTop="1" thickBot="1" x14ac:dyDescent="0.3">
      <c r="B6" s="42"/>
      <c r="C6" s="242"/>
      <c r="D6" s="242"/>
      <c r="E6" s="136" t="s">
        <v>91</v>
      </c>
      <c r="F6" s="136" t="s">
        <v>75</v>
      </c>
      <c r="G6" s="136" t="s">
        <v>171</v>
      </c>
      <c r="H6" s="78" t="s">
        <v>4</v>
      </c>
      <c r="I6" s="78" t="s">
        <v>172</v>
      </c>
      <c r="J6" s="78" t="s">
        <v>173</v>
      </c>
      <c r="K6" s="78" t="s">
        <v>174</v>
      </c>
      <c r="L6" s="261">
        <v>2024</v>
      </c>
      <c r="M6" s="146" t="s">
        <v>21</v>
      </c>
      <c r="N6" s="146" t="s">
        <v>79</v>
      </c>
      <c r="O6" s="146" t="s">
        <v>187</v>
      </c>
      <c r="P6" s="320" t="s">
        <v>1664</v>
      </c>
      <c r="Q6" s="146" t="s">
        <v>382</v>
      </c>
      <c r="R6" s="146" t="s">
        <v>385</v>
      </c>
      <c r="S6" s="289">
        <v>2024</v>
      </c>
      <c r="T6" s="243" t="str">
        <f t="shared" si="0"/>
        <v>fev/2024</v>
      </c>
      <c r="U6" s="161">
        <v>45345</v>
      </c>
      <c r="V6" s="161" t="s">
        <v>617</v>
      </c>
      <c r="W6" s="148">
        <f>DATEDIF(Base_CTRs_Finalizados[[#This Row],[INÍCIO VIGÊNCIA]],Base_CTRs_Finalizados[[#This Row],[FINAL 
VIGÊNCIA]],"Y")</f>
        <v>0</v>
      </c>
      <c r="X6" s="146" t="s">
        <v>175</v>
      </c>
      <c r="Y6" s="146" t="s">
        <v>33</v>
      </c>
      <c r="Z6" s="146" t="s">
        <v>176</v>
      </c>
      <c r="AA6" s="146" t="s">
        <v>177</v>
      </c>
      <c r="AB6" s="236">
        <f>DATEDIF(Base_CTRs_Finalizados[[#This Row],[INÍCIO VIGÊNCIA]],Base_CTRs_Finalizados[[#This Row],[FINAL 
VIGÊNCIA]],"M")</f>
        <v>10</v>
      </c>
      <c r="AC6" s="203">
        <f>AD6/AB6</f>
        <v>2258.66</v>
      </c>
      <c r="AD6" s="203">
        <v>22586.6</v>
      </c>
      <c r="AE6" s="150" t="s">
        <v>14</v>
      </c>
      <c r="AF6" s="150" t="s">
        <v>9</v>
      </c>
      <c r="AG6" s="150">
        <v>10014468</v>
      </c>
      <c r="AH6" s="150"/>
      <c r="AI6" s="150"/>
      <c r="AJ6" s="237">
        <f>_xlfn.DAYS(Base_CTRs_Finalizados[[#This Row],[INÍCIO VIGÊNCIA]],Base_CTRs_Finalizados[[#This Row],[Data inicio processo]])</f>
        <v>45345</v>
      </c>
      <c r="AK6" s="266" t="s">
        <v>157</v>
      </c>
      <c r="AL6" s="266"/>
      <c r="AM6" s="266"/>
    </row>
    <row r="7" spans="2:41" s="17" customFormat="1" ht="18" customHeight="1" thickTop="1" thickBot="1" x14ac:dyDescent="0.3">
      <c r="B7" s="42"/>
      <c r="C7" s="242"/>
      <c r="D7" s="242"/>
      <c r="E7" s="136" t="s">
        <v>88</v>
      </c>
      <c r="F7" s="136" t="s">
        <v>48</v>
      </c>
      <c r="G7" s="136" t="s">
        <v>161</v>
      </c>
      <c r="H7" s="78" t="s">
        <v>7</v>
      </c>
      <c r="I7" s="78" t="s">
        <v>162</v>
      </c>
      <c r="J7" s="78" t="s">
        <v>163</v>
      </c>
      <c r="K7" s="78" t="s">
        <v>164</v>
      </c>
      <c r="L7" s="261">
        <v>2024</v>
      </c>
      <c r="M7" s="146" t="s">
        <v>21</v>
      </c>
      <c r="N7" s="146" t="s">
        <v>79</v>
      </c>
      <c r="O7" s="146" t="s">
        <v>186</v>
      </c>
      <c r="P7" s="320" t="s">
        <v>1659</v>
      </c>
      <c r="Q7" s="146" t="s">
        <v>381</v>
      </c>
      <c r="R7" s="146" t="s">
        <v>384</v>
      </c>
      <c r="S7" s="289">
        <v>2024</v>
      </c>
      <c r="T7" s="243" t="str">
        <f t="shared" si="0"/>
        <v>fev/2024</v>
      </c>
      <c r="U7" s="161">
        <v>45345</v>
      </c>
      <c r="V7" s="161" t="s">
        <v>617</v>
      </c>
      <c r="W7" s="148">
        <f>DATEDIF(Base_CTRs_Finalizados[[#This Row],[INÍCIO VIGÊNCIA]],Base_CTRs_Finalizados[[#This Row],[FINAL 
VIGÊNCIA]],"Y")</f>
        <v>0</v>
      </c>
      <c r="X7" s="146" t="s">
        <v>166</v>
      </c>
      <c r="Y7" s="146" t="s">
        <v>28</v>
      </c>
      <c r="Z7" s="146" t="s">
        <v>169</v>
      </c>
      <c r="AA7" s="146" t="s">
        <v>170</v>
      </c>
      <c r="AB7" s="236">
        <f>DATEDIF(Base_CTRs_Finalizados[[#This Row],[INÍCIO VIGÊNCIA]],Base_CTRs_Finalizados[[#This Row],[FINAL 
VIGÊNCIA]],"M")</f>
        <v>10</v>
      </c>
      <c r="AC7" s="203">
        <f t="shared" ref="AC7:AC35" si="1">AD7/AB7</f>
        <v>483.89499999999998</v>
      </c>
      <c r="AD7" s="203">
        <v>4838.95</v>
      </c>
      <c r="AE7" s="150" t="s">
        <v>16</v>
      </c>
      <c r="AF7" s="150" t="s">
        <v>9</v>
      </c>
      <c r="AG7" s="150">
        <v>10014124</v>
      </c>
      <c r="AH7" s="150"/>
      <c r="AI7" s="150"/>
      <c r="AJ7" s="237">
        <f>_xlfn.DAYS(Base_CTRs_Finalizados[[#This Row],[INÍCIO VIGÊNCIA]],Base_CTRs_Finalizados[[#This Row],[Data inicio processo]])</f>
        <v>45345</v>
      </c>
      <c r="AK7" s="266" t="s">
        <v>637</v>
      </c>
      <c r="AL7" s="266"/>
      <c r="AM7" s="266"/>
      <c r="AO7" s="17" t="s">
        <v>1864</v>
      </c>
    </row>
    <row r="8" spans="2:41" s="18" customFormat="1" ht="18" customHeight="1" thickTop="1" thickBot="1" x14ac:dyDescent="0.3">
      <c r="B8" s="42"/>
      <c r="C8" s="242"/>
      <c r="D8" s="242"/>
      <c r="E8" s="136" t="s">
        <v>88</v>
      </c>
      <c r="F8" s="136" t="s">
        <v>48</v>
      </c>
      <c r="G8" s="136" t="s">
        <v>161</v>
      </c>
      <c r="H8" s="78" t="s">
        <v>7</v>
      </c>
      <c r="I8" s="78" t="s">
        <v>162</v>
      </c>
      <c r="J8" s="78" t="s">
        <v>163</v>
      </c>
      <c r="K8" s="78" t="s">
        <v>164</v>
      </c>
      <c r="L8" s="261">
        <v>2024</v>
      </c>
      <c r="M8" s="146" t="s">
        <v>21</v>
      </c>
      <c r="N8" s="146" t="s">
        <v>79</v>
      </c>
      <c r="O8" s="146" t="s">
        <v>185</v>
      </c>
      <c r="P8" s="320" t="s">
        <v>1660</v>
      </c>
      <c r="Q8" s="146" t="s">
        <v>381</v>
      </c>
      <c r="R8" s="146" t="s">
        <v>384</v>
      </c>
      <c r="S8" s="289">
        <v>2024</v>
      </c>
      <c r="T8" s="243" t="str">
        <f t="shared" si="0"/>
        <v>abr/2024</v>
      </c>
      <c r="U8" s="161">
        <v>45397</v>
      </c>
      <c r="V8" s="161" t="s">
        <v>617</v>
      </c>
      <c r="W8" s="148">
        <f>DATEDIF(Base_CTRs_Finalizados[[#This Row],[INÍCIO VIGÊNCIA]],Base_CTRs_Finalizados[[#This Row],[FINAL 
VIGÊNCIA]],"Y")</f>
        <v>0</v>
      </c>
      <c r="X8" s="146" t="s">
        <v>165</v>
      </c>
      <c r="Y8" s="146" t="s">
        <v>28</v>
      </c>
      <c r="Z8" s="146" t="s">
        <v>167</v>
      </c>
      <c r="AA8" s="146" t="s">
        <v>168</v>
      </c>
      <c r="AB8" s="236">
        <f>DATEDIF(Base_CTRs_Finalizados[[#This Row],[INÍCIO VIGÊNCIA]],Base_CTRs_Finalizados[[#This Row],[FINAL 
VIGÊNCIA]],"M")</f>
        <v>8</v>
      </c>
      <c r="AC8" s="203">
        <f t="shared" si="1"/>
        <v>1311.875</v>
      </c>
      <c r="AD8" s="203">
        <v>10495</v>
      </c>
      <c r="AE8" s="150" t="s">
        <v>16</v>
      </c>
      <c r="AF8" s="150" t="s">
        <v>9</v>
      </c>
      <c r="AG8" s="150">
        <v>10014124</v>
      </c>
      <c r="AH8" s="150"/>
      <c r="AI8" s="150"/>
      <c r="AJ8" s="237">
        <f>_xlfn.DAYS(Base_CTRs_Finalizados[[#This Row],[INÍCIO VIGÊNCIA]],Base_CTRs_Finalizados[[#This Row],[Data inicio processo]])</f>
        <v>45397</v>
      </c>
      <c r="AK8" s="266" t="s">
        <v>637</v>
      </c>
      <c r="AL8" s="266"/>
      <c r="AM8" s="266"/>
      <c r="AO8" s="17" t="s">
        <v>1864</v>
      </c>
    </row>
    <row r="9" spans="2:41" s="17" customFormat="1" ht="18" customHeight="1" thickTop="1" thickBot="1" x14ac:dyDescent="0.3">
      <c r="B9" s="42"/>
      <c r="C9" s="242"/>
      <c r="D9" s="242"/>
      <c r="E9" s="136" t="s">
        <v>89</v>
      </c>
      <c r="F9" s="136" t="s">
        <v>150</v>
      </c>
      <c r="G9" s="136" t="s">
        <v>151</v>
      </c>
      <c r="H9" s="78" t="s">
        <v>4</v>
      </c>
      <c r="I9" s="78" t="s">
        <v>152</v>
      </c>
      <c r="J9" s="78" t="s">
        <v>153</v>
      </c>
      <c r="K9" s="78" t="s">
        <v>154</v>
      </c>
      <c r="L9" s="261" t="s">
        <v>155</v>
      </c>
      <c r="M9" s="146" t="s">
        <v>21</v>
      </c>
      <c r="N9" s="146" t="s">
        <v>79</v>
      </c>
      <c r="O9" s="146" t="s">
        <v>156</v>
      </c>
      <c r="P9" s="320" t="s">
        <v>1666</v>
      </c>
      <c r="Q9" s="146" t="s">
        <v>383</v>
      </c>
      <c r="R9" s="146" t="s">
        <v>385</v>
      </c>
      <c r="S9" s="289">
        <v>2024</v>
      </c>
      <c r="T9" s="243" t="str">
        <f t="shared" si="0"/>
        <v>fev/2024</v>
      </c>
      <c r="U9" s="161">
        <v>45350</v>
      </c>
      <c r="V9" s="161" t="s">
        <v>617</v>
      </c>
      <c r="W9" s="148">
        <f>DATEDIF(Base_CTRs_Finalizados[[#This Row],[INÍCIO VIGÊNCIA]],Base_CTRs_Finalizados[[#This Row],[FINAL 
VIGÊNCIA]],"Y")</f>
        <v>0</v>
      </c>
      <c r="X9" s="146" t="s">
        <v>158</v>
      </c>
      <c r="Y9" s="146" t="s">
        <v>33</v>
      </c>
      <c r="Z9" s="146" t="s">
        <v>159</v>
      </c>
      <c r="AA9" s="146" t="s">
        <v>160</v>
      </c>
      <c r="AB9" s="236">
        <f>DATEDIF(Base_CTRs_Finalizados[[#This Row],[INÍCIO VIGÊNCIA]],Base_CTRs_Finalizados[[#This Row],[FINAL 
VIGÊNCIA]],"M")</f>
        <v>10</v>
      </c>
      <c r="AC9" s="203">
        <f>AD9/AB9</f>
        <v>3250</v>
      </c>
      <c r="AD9" s="203">
        <v>32500</v>
      </c>
      <c r="AE9" s="150" t="s">
        <v>14</v>
      </c>
      <c r="AF9" s="150" t="s">
        <v>9</v>
      </c>
      <c r="AG9" s="150">
        <v>10014463</v>
      </c>
      <c r="AH9" s="150"/>
      <c r="AI9" s="150"/>
      <c r="AJ9" s="237">
        <f>_xlfn.DAYS(Base_CTRs_Finalizados[[#This Row],[INÍCIO VIGÊNCIA]],Base_CTRs_Finalizados[[#This Row],[Data inicio processo]])</f>
        <v>45350</v>
      </c>
      <c r="AK9" s="266" t="s">
        <v>157</v>
      </c>
      <c r="AL9" s="266"/>
      <c r="AM9" s="266"/>
      <c r="AO9" s="17" t="s">
        <v>1865</v>
      </c>
    </row>
    <row r="10" spans="2:41" s="17" customFormat="1" ht="18" customHeight="1" thickTop="1" thickBot="1" x14ac:dyDescent="0.3">
      <c r="B10" s="42"/>
      <c r="C10" s="242"/>
      <c r="D10" s="242"/>
      <c r="E10" s="136" t="s">
        <v>89</v>
      </c>
      <c r="F10" s="136" t="s">
        <v>150</v>
      </c>
      <c r="G10" s="136" t="s">
        <v>178</v>
      </c>
      <c r="H10" s="78" t="s">
        <v>7</v>
      </c>
      <c r="I10" s="78" t="s">
        <v>179</v>
      </c>
      <c r="J10" s="78" t="s">
        <v>180</v>
      </c>
      <c r="K10" s="78" t="s">
        <v>181</v>
      </c>
      <c r="L10" s="261">
        <v>2024</v>
      </c>
      <c r="M10" s="146" t="s">
        <v>21</v>
      </c>
      <c r="N10" s="146" t="s">
        <v>79</v>
      </c>
      <c r="O10" s="146" t="s">
        <v>188</v>
      </c>
      <c r="P10" s="320" t="s">
        <v>1663</v>
      </c>
      <c r="Q10" s="146" t="s">
        <v>386</v>
      </c>
      <c r="R10" s="146" t="s">
        <v>387</v>
      </c>
      <c r="S10" s="289">
        <v>2024</v>
      </c>
      <c r="T10" s="243" t="str">
        <f t="shared" si="0"/>
        <v>mar/2024</v>
      </c>
      <c r="U10" s="161">
        <v>45356</v>
      </c>
      <c r="V10" s="161">
        <v>45657</v>
      </c>
      <c r="W10" s="148">
        <f>DATEDIF(Base_CTRs_Finalizados[[#This Row],[INÍCIO VIGÊNCIA]],Base_CTRs_Finalizados[[#This Row],[FINAL 
VIGÊNCIA]],"Y")</f>
        <v>0</v>
      </c>
      <c r="X10" s="146" t="s">
        <v>182</v>
      </c>
      <c r="Y10" s="146" t="s">
        <v>33</v>
      </c>
      <c r="Z10" s="146" t="s">
        <v>183</v>
      </c>
      <c r="AA10" s="146" t="s">
        <v>184</v>
      </c>
      <c r="AB10" s="236">
        <f>DATEDIF(Base_CTRs_Finalizados[[#This Row],[INÍCIO VIGÊNCIA]],Base_CTRs_Finalizados[[#This Row],[FINAL 
VIGÊNCIA]],"M")</f>
        <v>9</v>
      </c>
      <c r="AC10" s="203">
        <f t="shared" si="1"/>
        <v>4666.7000000000007</v>
      </c>
      <c r="AD10" s="203">
        <v>42000.3</v>
      </c>
      <c r="AE10" s="150" t="s">
        <v>14</v>
      </c>
      <c r="AF10" s="150" t="s">
        <v>9</v>
      </c>
      <c r="AG10" s="150">
        <v>10014495</v>
      </c>
      <c r="AH10" s="150"/>
      <c r="AI10" s="150"/>
      <c r="AJ10" s="237">
        <f>_xlfn.DAYS(Base_CTRs_Finalizados[[#This Row],[INÍCIO VIGÊNCIA]],Base_CTRs_Finalizados[[#This Row],[Data inicio processo]])</f>
        <v>45356</v>
      </c>
      <c r="AK10" s="266" t="s">
        <v>157</v>
      </c>
      <c r="AL10" s="266"/>
      <c r="AM10" s="266"/>
      <c r="AO10" s="17" t="s">
        <v>1865</v>
      </c>
    </row>
    <row r="11" spans="2:41" s="18" customFormat="1" ht="18" customHeight="1" thickTop="1" thickBot="1" x14ac:dyDescent="0.3">
      <c r="B11" s="42"/>
      <c r="C11" s="242"/>
      <c r="D11" s="242"/>
      <c r="E11" s="136" t="s">
        <v>90</v>
      </c>
      <c r="F11" s="136" t="s">
        <v>73</v>
      </c>
      <c r="G11" s="136" t="s">
        <v>237</v>
      </c>
      <c r="H11" s="78" t="s">
        <v>4</v>
      </c>
      <c r="I11" s="78" t="s">
        <v>172</v>
      </c>
      <c r="J11" s="78" t="s">
        <v>238</v>
      </c>
      <c r="K11" s="78" t="s">
        <v>239</v>
      </c>
      <c r="L11" s="261">
        <v>2024</v>
      </c>
      <c r="M11" s="146" t="s">
        <v>21</v>
      </c>
      <c r="N11" s="146" t="s">
        <v>79</v>
      </c>
      <c r="O11" s="146" t="s">
        <v>240</v>
      </c>
      <c r="P11" s="320" t="s">
        <v>1665</v>
      </c>
      <c r="Q11" s="146" t="s">
        <v>399</v>
      </c>
      <c r="R11" s="146" t="s">
        <v>400</v>
      </c>
      <c r="S11" s="281">
        <v>2024</v>
      </c>
      <c r="T11" s="243" t="str">
        <f t="shared" si="0"/>
        <v>mar/2024</v>
      </c>
      <c r="U11" s="161">
        <v>45373</v>
      </c>
      <c r="V11" s="161">
        <v>45657</v>
      </c>
      <c r="W11" s="148">
        <f>DATEDIF(Base_CTRs_Finalizados[[#This Row],[INÍCIO VIGÊNCIA]],Base_CTRs_Finalizados[[#This Row],[FINAL 
VIGÊNCIA]],"Y")</f>
        <v>0</v>
      </c>
      <c r="X11" s="146" t="s">
        <v>241</v>
      </c>
      <c r="Y11" s="146" t="s">
        <v>33</v>
      </c>
      <c r="Z11" s="146" t="s">
        <v>242</v>
      </c>
      <c r="AA11" s="146" t="s">
        <v>243</v>
      </c>
      <c r="AB11" s="236">
        <f>DATEDIF(Base_CTRs_Finalizados[[#This Row],[INÍCIO VIGÊNCIA]],Base_CTRs_Finalizados[[#This Row],[FINAL 
VIGÊNCIA]],"M")</f>
        <v>9</v>
      </c>
      <c r="AC11" s="203">
        <f t="shared" si="1"/>
        <v>769.76666666666665</v>
      </c>
      <c r="AD11" s="203">
        <v>6927.9</v>
      </c>
      <c r="AE11" s="150" t="s">
        <v>14</v>
      </c>
      <c r="AF11" s="150" t="s">
        <v>9</v>
      </c>
      <c r="AG11" s="150">
        <v>10014538</v>
      </c>
      <c r="AH11" s="150"/>
      <c r="AI11" s="150"/>
      <c r="AJ11" s="237">
        <f>_xlfn.DAYS(Base_CTRs_Finalizados[[#This Row],[INÍCIO VIGÊNCIA]],Base_CTRs_Finalizados[[#This Row],[Data inicio processo]])</f>
        <v>45373</v>
      </c>
      <c r="AK11" s="266" t="s">
        <v>157</v>
      </c>
      <c r="AL11" s="266"/>
      <c r="AM11" s="266"/>
      <c r="AO11" s="17" t="s">
        <v>1865</v>
      </c>
    </row>
    <row r="12" spans="2:41" s="18" customFormat="1" ht="18" customHeight="1" thickTop="1" thickBot="1" x14ac:dyDescent="0.3">
      <c r="B12" s="42"/>
      <c r="C12" s="242"/>
      <c r="D12" s="242"/>
      <c r="E12" s="136" t="s">
        <v>88</v>
      </c>
      <c r="F12" s="136" t="s">
        <v>49</v>
      </c>
      <c r="G12" s="136" t="s">
        <v>229</v>
      </c>
      <c r="H12" s="78" t="s">
        <v>4</v>
      </c>
      <c r="I12" s="78" t="s">
        <v>230</v>
      </c>
      <c r="J12" s="78" t="s">
        <v>231</v>
      </c>
      <c r="K12" s="78" t="s">
        <v>232</v>
      </c>
      <c r="L12" s="261">
        <v>2024</v>
      </c>
      <c r="M12" s="146" t="s">
        <v>21</v>
      </c>
      <c r="N12" s="146" t="s">
        <v>79</v>
      </c>
      <c r="O12" s="146" t="s">
        <v>233</v>
      </c>
      <c r="P12" s="320" t="s">
        <v>1667</v>
      </c>
      <c r="Q12" s="146" t="s">
        <v>398</v>
      </c>
      <c r="R12" s="146" t="s">
        <v>397</v>
      </c>
      <c r="S12" s="281">
        <v>2024</v>
      </c>
      <c r="T12" s="243" t="str">
        <f t="shared" si="0"/>
        <v>mar/2024</v>
      </c>
      <c r="U12" s="161">
        <v>45373</v>
      </c>
      <c r="V12" s="161">
        <v>45657</v>
      </c>
      <c r="W12" s="148">
        <f>DATEDIF(Base_CTRs_Finalizados[[#This Row],[INÍCIO VIGÊNCIA]],Base_CTRs_Finalizados[[#This Row],[FINAL 
VIGÊNCIA]],"Y")</f>
        <v>0</v>
      </c>
      <c r="X12" s="146" t="s">
        <v>234</v>
      </c>
      <c r="Y12" s="146" t="s">
        <v>33</v>
      </c>
      <c r="Z12" s="146" t="s">
        <v>235</v>
      </c>
      <c r="AA12" s="146" t="s">
        <v>236</v>
      </c>
      <c r="AB12" s="236">
        <f>DATEDIF(Base_CTRs_Finalizados[[#This Row],[INÍCIO VIGÊNCIA]],Base_CTRs_Finalizados[[#This Row],[FINAL 
VIGÊNCIA]],"M")</f>
        <v>9</v>
      </c>
      <c r="AC12" s="203">
        <f t="shared" si="1"/>
        <v>1296.6666666666667</v>
      </c>
      <c r="AD12" s="203">
        <v>11670</v>
      </c>
      <c r="AE12" s="150" t="s">
        <v>14</v>
      </c>
      <c r="AF12" s="150" t="s">
        <v>9</v>
      </c>
      <c r="AG12" s="150">
        <v>10014530</v>
      </c>
      <c r="AH12" s="150"/>
      <c r="AI12" s="150"/>
      <c r="AJ12" s="237">
        <f>_xlfn.DAYS(Base_CTRs_Finalizados[[#This Row],[INÍCIO VIGÊNCIA]],Base_CTRs_Finalizados[[#This Row],[Data inicio processo]])</f>
        <v>45373</v>
      </c>
      <c r="AK12" s="266" t="s">
        <v>157</v>
      </c>
      <c r="AL12" s="266"/>
      <c r="AM12" s="266"/>
      <c r="AO12" s="17" t="s">
        <v>1865</v>
      </c>
    </row>
    <row r="13" spans="2:41" s="17" customFormat="1" ht="15.75" customHeight="1" thickTop="1" thickBot="1" x14ac:dyDescent="0.3">
      <c r="B13" s="42"/>
      <c r="C13" s="242"/>
      <c r="D13" s="242"/>
      <c r="E13" s="136" t="s">
        <v>88</v>
      </c>
      <c r="F13" s="136" t="s">
        <v>74</v>
      </c>
      <c r="G13" s="136" t="s">
        <v>244</v>
      </c>
      <c r="H13" s="78" t="s">
        <v>4</v>
      </c>
      <c r="I13" s="78" t="s">
        <v>172</v>
      </c>
      <c r="J13" s="78" t="s">
        <v>245</v>
      </c>
      <c r="K13" s="78" t="s">
        <v>246</v>
      </c>
      <c r="L13" s="261">
        <v>2024</v>
      </c>
      <c r="M13" s="146" t="s">
        <v>21</v>
      </c>
      <c r="N13" s="146" t="s">
        <v>79</v>
      </c>
      <c r="O13" s="146" t="s">
        <v>247</v>
      </c>
      <c r="P13" s="320" t="s">
        <v>1668</v>
      </c>
      <c r="Q13" s="146" t="s">
        <v>401</v>
      </c>
      <c r="R13" s="146" t="s">
        <v>402</v>
      </c>
      <c r="S13" s="281">
        <v>2024</v>
      </c>
      <c r="T13" s="243" t="str">
        <f t="shared" si="0"/>
        <v>abr/2024</v>
      </c>
      <c r="U13" s="161">
        <v>45390</v>
      </c>
      <c r="V13" s="161" t="s">
        <v>617</v>
      </c>
      <c r="W13" s="148">
        <f>DATEDIF(Base_CTRs_Finalizados[[#This Row],[INÍCIO VIGÊNCIA]],Base_CTRs_Finalizados[[#This Row],[FINAL 
VIGÊNCIA]],"Y")</f>
        <v>0</v>
      </c>
      <c r="X13" s="146" t="s">
        <v>248</v>
      </c>
      <c r="Y13" s="146" t="s">
        <v>33</v>
      </c>
      <c r="Z13" s="146" t="s">
        <v>249</v>
      </c>
      <c r="AA13" s="146" t="s">
        <v>250</v>
      </c>
      <c r="AB13" s="236">
        <f>DATEDIF(Base_CTRs_Finalizados[[#This Row],[INÍCIO VIGÊNCIA]],Base_CTRs_Finalizados[[#This Row],[FINAL 
VIGÊNCIA]],"M")</f>
        <v>8</v>
      </c>
      <c r="AC13" s="203">
        <f t="shared" si="1"/>
        <v>218</v>
      </c>
      <c r="AD13" s="203">
        <v>1744</v>
      </c>
      <c r="AE13" s="150" t="s">
        <v>14</v>
      </c>
      <c r="AF13" s="150" t="s">
        <v>9</v>
      </c>
      <c r="AG13" s="150">
        <v>10014577</v>
      </c>
      <c r="AH13" s="150"/>
      <c r="AI13" s="150"/>
      <c r="AJ13" s="237">
        <f>_xlfn.DAYS(Base_CTRs_Finalizados[[#This Row],[INÍCIO VIGÊNCIA]],Base_CTRs_Finalizados[[#This Row],[Data inicio processo]])</f>
        <v>45390</v>
      </c>
      <c r="AK13" s="266" t="s">
        <v>157</v>
      </c>
      <c r="AL13" s="266"/>
      <c r="AM13" s="266"/>
      <c r="AO13" s="17" t="s">
        <v>1865</v>
      </c>
    </row>
    <row r="14" spans="2:41" s="17" customFormat="1" ht="18" customHeight="1" thickTop="1" thickBot="1" x14ac:dyDescent="0.3">
      <c r="B14" s="42"/>
      <c r="C14" s="242"/>
      <c r="D14" s="242"/>
      <c r="E14" s="136" t="s">
        <v>88</v>
      </c>
      <c r="F14" s="136" t="s">
        <v>48</v>
      </c>
      <c r="G14" s="136" t="s">
        <v>211</v>
      </c>
      <c r="H14" s="78" t="s">
        <v>7</v>
      </c>
      <c r="I14" s="78" t="s">
        <v>210</v>
      </c>
      <c r="J14" s="78" t="s">
        <v>212</v>
      </c>
      <c r="K14" s="78" t="s">
        <v>213</v>
      </c>
      <c r="L14" s="261">
        <v>2024</v>
      </c>
      <c r="M14" s="146" t="s">
        <v>21</v>
      </c>
      <c r="N14" s="146" t="s">
        <v>79</v>
      </c>
      <c r="O14" s="146" t="s">
        <v>214</v>
      </c>
      <c r="P14" s="320" t="s">
        <v>1658</v>
      </c>
      <c r="Q14" s="146" t="s">
        <v>394</v>
      </c>
      <c r="R14" s="146" t="s">
        <v>393</v>
      </c>
      <c r="S14" s="281">
        <v>2024</v>
      </c>
      <c r="T14" s="243" t="str">
        <f t="shared" si="0"/>
        <v>abr/2024</v>
      </c>
      <c r="U14" s="161">
        <v>45394</v>
      </c>
      <c r="V14" s="161" t="s">
        <v>617</v>
      </c>
      <c r="W14" s="148">
        <f>DATEDIF(Base_CTRs_Finalizados[[#This Row],[INÍCIO VIGÊNCIA]],Base_CTRs_Finalizados[[#This Row],[FINAL 
VIGÊNCIA]],"Y")</f>
        <v>0</v>
      </c>
      <c r="X14" s="146" t="s">
        <v>215</v>
      </c>
      <c r="Y14" s="146" t="s">
        <v>28</v>
      </c>
      <c r="Z14" s="146" t="s">
        <v>216</v>
      </c>
      <c r="AA14" s="146" t="s">
        <v>217</v>
      </c>
      <c r="AB14" s="236">
        <f>DATEDIF(Base_CTRs_Finalizados[[#This Row],[INÍCIO VIGÊNCIA]],Base_CTRs_Finalizados[[#This Row],[FINAL 
VIGÊNCIA]],"M")</f>
        <v>8</v>
      </c>
      <c r="AC14" s="203">
        <f t="shared" si="1"/>
        <v>6200</v>
      </c>
      <c r="AD14" s="203">
        <v>49600</v>
      </c>
      <c r="AE14" s="150" t="s">
        <v>15</v>
      </c>
      <c r="AF14" s="150" t="s">
        <v>9</v>
      </c>
      <c r="AG14" s="150">
        <v>10014367</v>
      </c>
      <c r="AH14" s="150"/>
      <c r="AI14" s="150"/>
      <c r="AJ14" s="237">
        <f>_xlfn.DAYS(Base_CTRs_Finalizados[[#This Row],[INÍCIO VIGÊNCIA]],Base_CTRs_Finalizados[[#This Row],[Data inicio processo]])</f>
        <v>45394</v>
      </c>
      <c r="AK14" s="266" t="s">
        <v>157</v>
      </c>
      <c r="AL14" s="266"/>
      <c r="AM14" s="266"/>
      <c r="AO14" s="17" t="s">
        <v>1865</v>
      </c>
    </row>
    <row r="15" spans="2:41" s="17" customFormat="1" ht="18" customHeight="1" thickTop="1" thickBot="1" x14ac:dyDescent="0.3">
      <c r="B15" s="42"/>
      <c r="C15" s="242"/>
      <c r="D15" s="242"/>
      <c r="E15" s="136" t="s">
        <v>88</v>
      </c>
      <c r="F15" s="136" t="s">
        <v>48</v>
      </c>
      <c r="G15" s="136" t="s">
        <v>218</v>
      </c>
      <c r="H15" s="78" t="s">
        <v>7</v>
      </c>
      <c r="I15" s="78" t="s">
        <v>219</v>
      </c>
      <c r="J15" s="78" t="s">
        <v>220</v>
      </c>
      <c r="K15" s="78" t="s">
        <v>221</v>
      </c>
      <c r="L15" s="261">
        <v>2024</v>
      </c>
      <c r="M15" s="146" t="s">
        <v>21</v>
      </c>
      <c r="N15" s="146" t="s">
        <v>79</v>
      </c>
      <c r="O15" s="146" t="s">
        <v>226</v>
      </c>
      <c r="P15" s="320" t="s">
        <v>1661</v>
      </c>
      <c r="Q15" s="146" t="s">
        <v>396</v>
      </c>
      <c r="R15" s="146" t="s">
        <v>395</v>
      </c>
      <c r="S15" s="281">
        <v>2024</v>
      </c>
      <c r="T15" s="243" t="str">
        <f t="shared" si="0"/>
        <v>abr/2024</v>
      </c>
      <c r="U15" s="161">
        <v>45394</v>
      </c>
      <c r="V15" s="161" t="s">
        <v>617</v>
      </c>
      <c r="W15" s="148">
        <f>DATEDIF(Base_CTRs_Finalizados[[#This Row],[INÍCIO VIGÊNCIA]],Base_CTRs_Finalizados[[#This Row],[FINAL 
VIGÊNCIA]],"Y")</f>
        <v>0</v>
      </c>
      <c r="X15" s="146" t="s">
        <v>223</v>
      </c>
      <c r="Y15" s="146" t="s">
        <v>28</v>
      </c>
      <c r="Z15" s="146" t="s">
        <v>227</v>
      </c>
      <c r="AA15" s="146" t="s">
        <v>228</v>
      </c>
      <c r="AB15" s="236">
        <f>DATEDIF(Base_CTRs_Finalizados[[#This Row],[INÍCIO VIGÊNCIA]],Base_CTRs_Finalizados[[#This Row],[FINAL 
VIGÊNCIA]],"M")</f>
        <v>8</v>
      </c>
      <c r="AC15" s="203">
        <f t="shared" si="1"/>
        <v>290</v>
      </c>
      <c r="AD15" s="203">
        <v>2320</v>
      </c>
      <c r="AE15" s="150" t="s">
        <v>15</v>
      </c>
      <c r="AF15" s="150" t="s">
        <v>9</v>
      </c>
      <c r="AG15" s="150">
        <v>10014337</v>
      </c>
      <c r="AH15" s="150"/>
      <c r="AI15" s="150"/>
      <c r="AJ15" s="237">
        <f>_xlfn.DAYS(Base_CTRs_Finalizados[[#This Row],[INÍCIO VIGÊNCIA]],Base_CTRs_Finalizados[[#This Row],[Data inicio processo]])</f>
        <v>45394</v>
      </c>
      <c r="AK15" s="266" t="s">
        <v>157</v>
      </c>
      <c r="AL15" s="266"/>
      <c r="AM15" s="266"/>
      <c r="AO15" s="17" t="s">
        <v>1865</v>
      </c>
    </row>
    <row r="16" spans="2:41" s="17" customFormat="1" ht="18" customHeight="1" thickTop="1" thickBot="1" x14ac:dyDescent="0.3">
      <c r="B16" s="42"/>
      <c r="C16" s="242"/>
      <c r="D16" s="242"/>
      <c r="E16" s="136" t="s">
        <v>88</v>
      </c>
      <c r="F16" s="136" t="s">
        <v>48</v>
      </c>
      <c r="G16" s="136" t="s">
        <v>218</v>
      </c>
      <c r="H16" s="78" t="s">
        <v>7</v>
      </c>
      <c r="I16" s="78" t="s">
        <v>219</v>
      </c>
      <c r="J16" s="78" t="s">
        <v>220</v>
      </c>
      <c r="K16" s="78" t="s">
        <v>221</v>
      </c>
      <c r="L16" s="261">
        <v>2024</v>
      </c>
      <c r="M16" s="146" t="s">
        <v>21</v>
      </c>
      <c r="N16" s="146" t="s">
        <v>79</v>
      </c>
      <c r="O16" s="146" t="s">
        <v>222</v>
      </c>
      <c r="P16" s="320" t="s">
        <v>1662</v>
      </c>
      <c r="Q16" s="146" t="s">
        <v>396</v>
      </c>
      <c r="R16" s="146" t="s">
        <v>395</v>
      </c>
      <c r="S16" s="281">
        <v>2024</v>
      </c>
      <c r="T16" s="243" t="str">
        <f t="shared" si="0"/>
        <v>abr/2024</v>
      </c>
      <c r="U16" s="161">
        <v>45394</v>
      </c>
      <c r="V16" s="161" t="s">
        <v>617</v>
      </c>
      <c r="W16" s="148">
        <f>DATEDIF(Base_CTRs_Finalizados[[#This Row],[INÍCIO VIGÊNCIA]],Base_CTRs_Finalizados[[#This Row],[FINAL 
VIGÊNCIA]],"Y")</f>
        <v>0</v>
      </c>
      <c r="X16" s="146" t="s">
        <v>223</v>
      </c>
      <c r="Y16" s="146" t="s">
        <v>28</v>
      </c>
      <c r="Z16" s="146" t="s">
        <v>224</v>
      </c>
      <c r="AA16" s="146" t="s">
        <v>225</v>
      </c>
      <c r="AB16" s="236">
        <f>DATEDIF(Base_CTRs_Finalizados[[#This Row],[INÍCIO VIGÊNCIA]],Base_CTRs_Finalizados[[#This Row],[FINAL 
VIGÊNCIA]],"M")</f>
        <v>8</v>
      </c>
      <c r="AC16" s="203">
        <f t="shared" si="1"/>
        <v>1174.5662500000001</v>
      </c>
      <c r="AD16" s="203">
        <v>9396.5300000000007</v>
      </c>
      <c r="AE16" s="150" t="s">
        <v>15</v>
      </c>
      <c r="AF16" s="150" t="s">
        <v>9</v>
      </c>
      <c r="AG16" s="150">
        <v>10014337</v>
      </c>
      <c r="AH16" s="150"/>
      <c r="AI16" s="150"/>
      <c r="AJ16" s="237">
        <f>_xlfn.DAYS(Base_CTRs_Finalizados[[#This Row],[INÍCIO VIGÊNCIA]],Base_CTRs_Finalizados[[#This Row],[Data inicio processo]])</f>
        <v>45394</v>
      </c>
      <c r="AK16" s="266" t="s">
        <v>157</v>
      </c>
      <c r="AL16" s="266"/>
      <c r="AM16" s="266"/>
      <c r="AO16" s="17" t="s">
        <v>1865</v>
      </c>
    </row>
    <row r="17" spans="2:41" s="17" customFormat="1" ht="18" customHeight="1" thickTop="1" thickBot="1" x14ac:dyDescent="0.3">
      <c r="B17" s="42"/>
      <c r="C17" s="242"/>
      <c r="D17" s="242"/>
      <c r="E17" s="136" t="s">
        <v>88</v>
      </c>
      <c r="F17" s="136" t="s">
        <v>48</v>
      </c>
      <c r="G17" s="136" t="s">
        <v>605</v>
      </c>
      <c r="H17" s="78" t="s">
        <v>7</v>
      </c>
      <c r="I17" s="78" t="s">
        <v>346</v>
      </c>
      <c r="J17" s="78"/>
      <c r="K17" s="78"/>
      <c r="L17" s="261">
        <v>2024</v>
      </c>
      <c r="M17" s="146" t="s">
        <v>21</v>
      </c>
      <c r="N17" s="146" t="s">
        <v>79</v>
      </c>
      <c r="O17" s="146" t="s">
        <v>604</v>
      </c>
      <c r="P17" s="320" t="s">
        <v>1687</v>
      </c>
      <c r="Q17" s="146" t="s">
        <v>611</v>
      </c>
      <c r="R17" s="146" t="s">
        <v>384</v>
      </c>
      <c r="S17" s="281">
        <v>2024</v>
      </c>
      <c r="T17" s="243" t="str">
        <f t="shared" si="0"/>
        <v>abr/2024</v>
      </c>
      <c r="U17" s="161">
        <v>45407</v>
      </c>
      <c r="V17" s="161">
        <v>45657</v>
      </c>
      <c r="W17" s="148">
        <f>DATEDIF(Base_CTRs_Finalizados[[#This Row],[INÍCIO VIGÊNCIA]],Base_CTRs_Finalizados[[#This Row],[FINAL 
VIGÊNCIA]],"Y")</f>
        <v>0</v>
      </c>
      <c r="X17" s="146" t="s">
        <v>606</v>
      </c>
      <c r="Y17" s="146" t="s">
        <v>28</v>
      </c>
      <c r="Z17" s="146" t="s">
        <v>607</v>
      </c>
      <c r="AA17" s="146" t="s">
        <v>608</v>
      </c>
      <c r="AB17" s="236">
        <f>DATEDIF(Base_CTRs_Finalizados[[#This Row],[INÍCIO VIGÊNCIA]],Base_CTRs_Finalizados[[#This Row],[FINAL 
VIGÊNCIA]],"M")</f>
        <v>8</v>
      </c>
      <c r="AC17" s="203">
        <f t="shared" si="1"/>
        <v>1297.92875</v>
      </c>
      <c r="AD17" s="203">
        <v>10383.43</v>
      </c>
      <c r="AE17" s="150" t="s">
        <v>15</v>
      </c>
      <c r="AF17" s="150" t="s">
        <v>9</v>
      </c>
      <c r="AG17" s="150"/>
      <c r="AH17" s="150"/>
      <c r="AI17" s="150"/>
      <c r="AJ17" s="237">
        <f>_xlfn.DAYS(Base_CTRs_Finalizados[[#This Row],[INÍCIO VIGÊNCIA]],Base_CTRs_Finalizados[[#This Row],[Data inicio processo]])</f>
        <v>45407</v>
      </c>
      <c r="AK17" s="266" t="s">
        <v>157</v>
      </c>
      <c r="AL17" s="266"/>
      <c r="AM17" s="266"/>
      <c r="AO17" s="17" t="s">
        <v>1865</v>
      </c>
    </row>
    <row r="18" spans="2:41" s="18" customFormat="1" ht="18" customHeight="1" thickTop="1" thickBot="1" x14ac:dyDescent="0.3">
      <c r="B18" s="42"/>
      <c r="C18" s="242"/>
      <c r="D18" s="242"/>
      <c r="E18" s="136" t="s">
        <v>88</v>
      </c>
      <c r="F18" s="136" t="s">
        <v>74</v>
      </c>
      <c r="G18" s="136" t="s">
        <v>504</v>
      </c>
      <c r="H18" s="78" t="s">
        <v>4</v>
      </c>
      <c r="I18" s="78" t="s">
        <v>505</v>
      </c>
      <c r="J18" s="78" t="s">
        <v>506</v>
      </c>
      <c r="K18" s="78" t="s">
        <v>507</v>
      </c>
      <c r="L18" s="261">
        <v>2024</v>
      </c>
      <c r="M18" s="146" t="s">
        <v>21</v>
      </c>
      <c r="N18" s="146" t="s">
        <v>79</v>
      </c>
      <c r="O18" s="146" t="s">
        <v>508</v>
      </c>
      <c r="P18" s="320" t="s">
        <v>1678</v>
      </c>
      <c r="Q18" s="146" t="s">
        <v>509</v>
      </c>
      <c r="R18" s="146" t="s">
        <v>510</v>
      </c>
      <c r="S18" s="281">
        <v>2024</v>
      </c>
      <c r="T18" s="243" t="str">
        <f t="shared" si="0"/>
        <v>abr/2024</v>
      </c>
      <c r="U18" s="161">
        <v>45407</v>
      </c>
      <c r="V18" s="161">
        <v>45657</v>
      </c>
      <c r="W18" s="148">
        <f>DATEDIF(Base_CTRs_Finalizados[[#This Row],[INÍCIO VIGÊNCIA]],Base_CTRs_Finalizados[[#This Row],[FINAL 
VIGÊNCIA]],"Y")</f>
        <v>0</v>
      </c>
      <c r="X18" s="146" t="s">
        <v>511</v>
      </c>
      <c r="Y18" s="146" t="s">
        <v>33</v>
      </c>
      <c r="Z18" s="146" t="s">
        <v>512</v>
      </c>
      <c r="AA18" s="146" t="s">
        <v>513</v>
      </c>
      <c r="AB18" s="236">
        <f>DATEDIF(Base_CTRs_Finalizados[[#This Row],[INÍCIO VIGÊNCIA]],Base_CTRs_Finalizados[[#This Row],[FINAL 
VIGÊNCIA]],"M")</f>
        <v>8</v>
      </c>
      <c r="AC18" s="203">
        <f t="shared" si="1"/>
        <v>1312.5</v>
      </c>
      <c r="AD18" s="203">
        <v>10500</v>
      </c>
      <c r="AE18" s="150" t="s">
        <v>14</v>
      </c>
      <c r="AF18" s="150" t="s">
        <v>9</v>
      </c>
      <c r="AG18" s="150">
        <v>10014610</v>
      </c>
      <c r="AH18" s="150"/>
      <c r="AI18" s="150"/>
      <c r="AJ18" s="237">
        <f>_xlfn.DAYS(Base_CTRs_Finalizados[[#This Row],[INÍCIO VIGÊNCIA]],Base_CTRs_Finalizados[[#This Row],[Data inicio processo]])</f>
        <v>45407</v>
      </c>
      <c r="AK18" s="266" t="s">
        <v>157</v>
      </c>
      <c r="AL18" s="266"/>
      <c r="AM18" s="266"/>
      <c r="AO18" s="17" t="s">
        <v>1865</v>
      </c>
    </row>
    <row r="19" spans="2:41" s="17" customFormat="1" ht="18" customHeight="1" thickTop="1" thickBot="1" x14ac:dyDescent="0.3">
      <c r="B19" s="42"/>
      <c r="C19" s="242"/>
      <c r="D19" s="242"/>
      <c r="E19" s="136" t="s">
        <v>90</v>
      </c>
      <c r="F19" s="136" t="s">
        <v>72</v>
      </c>
      <c r="G19" s="136" t="s">
        <v>317</v>
      </c>
      <c r="H19" s="78" t="s">
        <v>7</v>
      </c>
      <c r="I19" s="78" t="s">
        <v>318</v>
      </c>
      <c r="J19" s="78" t="s">
        <v>319</v>
      </c>
      <c r="K19" s="78" t="s">
        <v>320</v>
      </c>
      <c r="L19" s="261">
        <v>2024</v>
      </c>
      <c r="M19" s="146" t="s">
        <v>21</v>
      </c>
      <c r="N19" s="146" t="s">
        <v>82</v>
      </c>
      <c r="O19" s="146" t="s">
        <v>321</v>
      </c>
      <c r="P19" s="343" t="s">
        <v>461</v>
      </c>
      <c r="Q19" s="146" t="s">
        <v>417</v>
      </c>
      <c r="R19" s="146" t="s">
        <v>388</v>
      </c>
      <c r="S19" s="281">
        <v>2024</v>
      </c>
      <c r="T19" s="243" t="str">
        <f t="shared" si="0"/>
        <v>abr/2024</v>
      </c>
      <c r="U19" s="161">
        <v>45407</v>
      </c>
      <c r="V19" s="161">
        <v>45657</v>
      </c>
      <c r="W19" s="148">
        <f>DATEDIF(Base_CTRs_Finalizados[[#This Row],[INÍCIO VIGÊNCIA]],Base_CTRs_Finalizados[[#This Row],[FINAL 
VIGÊNCIA]],"Y")</f>
        <v>0</v>
      </c>
      <c r="X19" s="146" t="s">
        <v>322</v>
      </c>
      <c r="Y19" s="146" t="s">
        <v>33</v>
      </c>
      <c r="Z19" s="146" t="s">
        <v>323</v>
      </c>
      <c r="AA19" s="146" t="s">
        <v>324</v>
      </c>
      <c r="AB19" s="236">
        <f>DATEDIF(Base_CTRs_Finalizados[[#This Row],[INÍCIO VIGÊNCIA]],Base_CTRs_Finalizados[[#This Row],[FINAL 
VIGÊNCIA]],"M")</f>
        <v>8</v>
      </c>
      <c r="AC19" s="203">
        <f t="shared" si="1"/>
        <v>2925</v>
      </c>
      <c r="AD19" s="203">
        <v>23400</v>
      </c>
      <c r="AE19" s="150" t="s">
        <v>14</v>
      </c>
      <c r="AF19" s="150" t="s">
        <v>9</v>
      </c>
      <c r="AG19" s="150">
        <v>10004011</v>
      </c>
      <c r="AH19" s="150"/>
      <c r="AI19" s="150"/>
      <c r="AJ19" s="237">
        <f>_xlfn.DAYS(Base_CTRs_Finalizados[[#This Row],[INÍCIO VIGÊNCIA]],Base_CTRs_Finalizados[[#This Row],[Data inicio processo]])</f>
        <v>45407</v>
      </c>
      <c r="AK19" s="266" t="s">
        <v>157</v>
      </c>
      <c r="AL19" s="266"/>
      <c r="AM19" s="266"/>
      <c r="AO19" s="17" t="s">
        <v>1865</v>
      </c>
    </row>
    <row r="20" spans="2:41" s="17" customFormat="1" ht="18" customHeight="1" thickTop="1" thickBot="1" x14ac:dyDescent="0.3">
      <c r="B20" s="42"/>
      <c r="C20" s="242"/>
      <c r="D20" s="242"/>
      <c r="E20" s="136" t="s">
        <v>90</v>
      </c>
      <c r="F20" s="136" t="s">
        <v>72</v>
      </c>
      <c r="G20" s="136" t="s">
        <v>317</v>
      </c>
      <c r="H20" s="78" t="s">
        <v>7</v>
      </c>
      <c r="I20" s="78" t="s">
        <v>318</v>
      </c>
      <c r="J20" s="78" t="s">
        <v>319</v>
      </c>
      <c r="K20" s="78" t="s">
        <v>320</v>
      </c>
      <c r="L20" s="261">
        <v>2024</v>
      </c>
      <c r="M20" s="146" t="s">
        <v>21</v>
      </c>
      <c r="N20" s="146" t="s">
        <v>82</v>
      </c>
      <c r="O20" s="146" t="s">
        <v>325</v>
      </c>
      <c r="P20" s="343" t="s">
        <v>461</v>
      </c>
      <c r="Q20" s="146" t="s">
        <v>417</v>
      </c>
      <c r="R20" s="146" t="s">
        <v>388</v>
      </c>
      <c r="S20" s="281">
        <v>2024</v>
      </c>
      <c r="T20" s="243" t="str">
        <f t="shared" si="0"/>
        <v>abr/2024</v>
      </c>
      <c r="U20" s="161">
        <v>45407</v>
      </c>
      <c r="V20" s="161">
        <v>45657</v>
      </c>
      <c r="W20" s="148">
        <f>DATEDIF(Base_CTRs_Finalizados[[#This Row],[INÍCIO VIGÊNCIA]],Base_CTRs_Finalizados[[#This Row],[FINAL 
VIGÊNCIA]],"Y")</f>
        <v>0</v>
      </c>
      <c r="X20" s="146" t="s">
        <v>322</v>
      </c>
      <c r="Y20" s="146" t="s">
        <v>33</v>
      </c>
      <c r="Z20" s="146" t="s">
        <v>323</v>
      </c>
      <c r="AA20" s="146" t="s">
        <v>324</v>
      </c>
      <c r="AB20" s="236">
        <f>DATEDIF(Base_CTRs_Finalizados[[#This Row],[INÍCIO VIGÊNCIA]],Base_CTRs_Finalizados[[#This Row],[FINAL 
VIGÊNCIA]],"M")</f>
        <v>8</v>
      </c>
      <c r="AC20" s="203">
        <f t="shared" si="1"/>
        <v>150</v>
      </c>
      <c r="AD20" s="203">
        <v>1200</v>
      </c>
      <c r="AE20" s="150" t="s">
        <v>14</v>
      </c>
      <c r="AF20" s="150" t="s">
        <v>9</v>
      </c>
      <c r="AG20" s="150">
        <v>10004011</v>
      </c>
      <c r="AH20" s="150"/>
      <c r="AI20" s="150"/>
      <c r="AJ20" s="237">
        <f>_xlfn.DAYS(Base_CTRs_Finalizados[[#This Row],[INÍCIO VIGÊNCIA]],Base_CTRs_Finalizados[[#This Row],[Data inicio processo]])</f>
        <v>45407</v>
      </c>
      <c r="AK20" s="266" t="s">
        <v>157</v>
      </c>
      <c r="AL20" s="266"/>
      <c r="AM20" s="266"/>
      <c r="AO20" s="17" t="s">
        <v>1865</v>
      </c>
    </row>
    <row r="21" spans="2:41" s="17" customFormat="1" ht="18" customHeight="1" thickTop="1" thickBot="1" x14ac:dyDescent="0.3">
      <c r="B21" s="42"/>
      <c r="C21" s="242"/>
      <c r="D21" s="242"/>
      <c r="E21" s="136" t="s">
        <v>88</v>
      </c>
      <c r="F21" s="136" t="s">
        <v>52</v>
      </c>
      <c r="G21" s="136" t="s">
        <v>514</v>
      </c>
      <c r="H21" s="78" t="s">
        <v>4</v>
      </c>
      <c r="I21" s="78" t="s">
        <v>515</v>
      </c>
      <c r="J21" s="78" t="s">
        <v>516</v>
      </c>
      <c r="K21" s="78" t="s">
        <v>517</v>
      </c>
      <c r="L21" s="261">
        <v>2024</v>
      </c>
      <c r="M21" s="146" t="s">
        <v>21</v>
      </c>
      <c r="N21" s="146" t="s">
        <v>79</v>
      </c>
      <c r="O21" s="146" t="s">
        <v>518</v>
      </c>
      <c r="P21" s="320" t="s">
        <v>1679</v>
      </c>
      <c r="Q21" s="146" t="s">
        <v>519</v>
      </c>
      <c r="R21" s="146" t="s">
        <v>510</v>
      </c>
      <c r="S21" s="281">
        <v>2024</v>
      </c>
      <c r="T21" s="243" t="str">
        <f t="shared" si="0"/>
        <v>mai/2024</v>
      </c>
      <c r="U21" s="161">
        <v>45414</v>
      </c>
      <c r="V21" s="161">
        <v>45657</v>
      </c>
      <c r="W21" s="148">
        <f>DATEDIF(Base_CTRs_Finalizados[[#This Row],[INÍCIO VIGÊNCIA]],Base_CTRs_Finalizados[[#This Row],[FINAL 
VIGÊNCIA]],"Y")</f>
        <v>0</v>
      </c>
      <c r="X21" s="146" t="s">
        <v>520</v>
      </c>
      <c r="Y21" s="146" t="s">
        <v>33</v>
      </c>
      <c r="Z21" s="146" t="s">
        <v>521</v>
      </c>
      <c r="AA21" s="146" t="s">
        <v>522</v>
      </c>
      <c r="AB21" s="236">
        <f>DATEDIF(Base_CTRs_Finalizados[[#This Row],[INÍCIO VIGÊNCIA]],Base_CTRs_Finalizados[[#This Row],[FINAL 
VIGÊNCIA]],"M")</f>
        <v>7</v>
      </c>
      <c r="AC21" s="203">
        <f t="shared" si="1"/>
        <v>757.14285714285711</v>
      </c>
      <c r="AD21" s="203">
        <v>5300</v>
      </c>
      <c r="AE21" s="150" t="s">
        <v>14</v>
      </c>
      <c r="AF21" s="150" t="s">
        <v>9</v>
      </c>
      <c r="AG21" s="150">
        <v>10014616</v>
      </c>
      <c r="AH21" s="150"/>
      <c r="AI21" s="150"/>
      <c r="AJ21" s="237">
        <f>_xlfn.DAYS(Base_CTRs_Finalizados[[#This Row],[INÍCIO VIGÊNCIA]],Base_CTRs_Finalizados[[#This Row],[Data inicio processo]])</f>
        <v>45414</v>
      </c>
      <c r="AK21" s="266" t="s">
        <v>157</v>
      </c>
      <c r="AL21" s="266"/>
      <c r="AM21" s="266"/>
      <c r="AO21" s="17" t="s">
        <v>1865</v>
      </c>
    </row>
    <row r="22" spans="2:41" s="17" customFormat="1" ht="18" customHeight="1" thickTop="1" thickBot="1" x14ac:dyDescent="0.3">
      <c r="B22" s="42"/>
      <c r="C22" s="242"/>
      <c r="D22" s="242"/>
      <c r="E22" s="136" t="s">
        <v>91</v>
      </c>
      <c r="F22" s="136" t="s">
        <v>67</v>
      </c>
      <c r="G22" s="136" t="s">
        <v>610</v>
      </c>
      <c r="H22" s="78" t="s">
        <v>7</v>
      </c>
      <c r="I22" s="78" t="s">
        <v>492</v>
      </c>
      <c r="J22" s="78"/>
      <c r="K22" s="78"/>
      <c r="L22" s="261">
        <v>2024</v>
      </c>
      <c r="M22" s="146" t="s">
        <v>21</v>
      </c>
      <c r="N22" s="146" t="s">
        <v>79</v>
      </c>
      <c r="O22" s="146" t="s">
        <v>609</v>
      </c>
      <c r="P22" s="320" t="s">
        <v>1688</v>
      </c>
      <c r="Q22" s="146" t="s">
        <v>615</v>
      </c>
      <c r="R22" s="146" t="s">
        <v>580</v>
      </c>
      <c r="S22" s="281">
        <v>2024</v>
      </c>
      <c r="T22" s="243" t="str">
        <f t="shared" si="0"/>
        <v>mai/2024</v>
      </c>
      <c r="U22" s="161">
        <v>45435</v>
      </c>
      <c r="V22" s="161">
        <v>45657</v>
      </c>
      <c r="W22" s="148">
        <f>DATEDIF(Base_CTRs_Finalizados[[#This Row],[INÍCIO VIGÊNCIA]],Base_CTRs_Finalizados[[#This Row],[FINAL 
VIGÊNCIA]],"Y")</f>
        <v>0</v>
      </c>
      <c r="X22" s="146" t="s">
        <v>612</v>
      </c>
      <c r="Y22" s="146" t="s">
        <v>28</v>
      </c>
      <c r="Z22" s="146" t="s">
        <v>613</v>
      </c>
      <c r="AA22" s="146" t="s">
        <v>614</v>
      </c>
      <c r="AB22" s="236">
        <f>DATEDIF(Base_CTRs_Finalizados[[#This Row],[INÍCIO VIGÊNCIA]],Base_CTRs_Finalizados[[#This Row],[FINAL 
VIGÊNCIA]],"M")</f>
        <v>7</v>
      </c>
      <c r="AC22" s="203">
        <f t="shared" si="1"/>
        <v>1735.7142857142858</v>
      </c>
      <c r="AD22" s="203">
        <v>12150</v>
      </c>
      <c r="AE22" s="150" t="s">
        <v>15</v>
      </c>
      <c r="AF22" s="150" t="s">
        <v>9</v>
      </c>
      <c r="AG22" s="150"/>
      <c r="AH22" s="150"/>
      <c r="AI22" s="150"/>
      <c r="AJ22" s="237">
        <f>_xlfn.DAYS(Base_CTRs_Finalizados[[#This Row],[INÍCIO VIGÊNCIA]],Base_CTRs_Finalizados[[#This Row],[Data inicio processo]])</f>
        <v>45435</v>
      </c>
      <c r="AK22" s="266" t="s">
        <v>636</v>
      </c>
      <c r="AL22" s="266"/>
      <c r="AM22" s="266"/>
      <c r="AO22" s="17" t="s">
        <v>1864</v>
      </c>
    </row>
    <row r="23" spans="2:41" s="18" customFormat="1" ht="18" customHeight="1" thickTop="1" thickBot="1" x14ac:dyDescent="0.3">
      <c r="B23" s="42"/>
      <c r="C23" s="242"/>
      <c r="D23" s="242"/>
      <c r="E23" s="136" t="s">
        <v>90</v>
      </c>
      <c r="F23" s="136" t="s">
        <v>73</v>
      </c>
      <c r="G23" s="136" t="s">
        <v>491</v>
      </c>
      <c r="H23" s="78" t="s">
        <v>7</v>
      </c>
      <c r="I23" s="78" t="s">
        <v>492</v>
      </c>
      <c r="J23" s="78" t="s">
        <v>493</v>
      </c>
      <c r="K23" s="78" t="s">
        <v>494</v>
      </c>
      <c r="L23" s="261">
        <v>2024</v>
      </c>
      <c r="M23" s="146" t="s">
        <v>21</v>
      </c>
      <c r="N23" s="146" t="s">
        <v>79</v>
      </c>
      <c r="O23" s="146" t="s">
        <v>495</v>
      </c>
      <c r="P23" s="320" t="s">
        <v>1677</v>
      </c>
      <c r="Q23" s="146" t="s">
        <v>496</v>
      </c>
      <c r="R23" s="146" t="s">
        <v>497</v>
      </c>
      <c r="S23" s="281">
        <v>2024</v>
      </c>
      <c r="T23" s="243" t="str">
        <f t="shared" si="0"/>
        <v>jun/2024</v>
      </c>
      <c r="U23" s="161">
        <v>45449</v>
      </c>
      <c r="V23" s="161">
        <v>45657</v>
      </c>
      <c r="W23" s="148">
        <f>DATEDIF(Base_CTRs_Finalizados[[#This Row],[INÍCIO VIGÊNCIA]],Base_CTRs_Finalizados[[#This Row],[FINAL 
VIGÊNCIA]],"Y")</f>
        <v>0</v>
      </c>
      <c r="X23" s="146" t="s">
        <v>498</v>
      </c>
      <c r="Y23" s="146" t="s">
        <v>29</v>
      </c>
      <c r="Z23" s="146" t="s">
        <v>499</v>
      </c>
      <c r="AA23" s="146" t="s">
        <v>500</v>
      </c>
      <c r="AB23" s="236">
        <f>DATEDIF(Base_CTRs_Finalizados[[#This Row],[INÍCIO VIGÊNCIA]],Base_CTRs_Finalizados[[#This Row],[FINAL 
VIGÊNCIA]],"M")</f>
        <v>6</v>
      </c>
      <c r="AC23" s="203">
        <f t="shared" si="1"/>
        <v>1927.0933333333332</v>
      </c>
      <c r="AD23" s="203">
        <v>11562.56</v>
      </c>
      <c r="AE23" s="150" t="s">
        <v>16</v>
      </c>
      <c r="AF23" s="150" t="s">
        <v>9</v>
      </c>
      <c r="AG23" s="150">
        <v>10014571</v>
      </c>
      <c r="AH23" s="150"/>
      <c r="AI23" s="150"/>
      <c r="AJ23" s="237">
        <f>_xlfn.DAYS(Base_CTRs_Finalizados[[#This Row],[INÍCIO VIGÊNCIA]],Base_CTRs_Finalizados[[#This Row],[Data inicio processo]])</f>
        <v>45449</v>
      </c>
      <c r="AK23" s="266" t="s">
        <v>638</v>
      </c>
      <c r="AL23" s="266"/>
      <c r="AM23" s="266"/>
      <c r="AO23" s="17" t="s">
        <v>1864</v>
      </c>
    </row>
    <row r="24" spans="2:41" s="17" customFormat="1" ht="18" customHeight="1" thickTop="1" thickBot="1" x14ac:dyDescent="0.3">
      <c r="B24" s="42"/>
      <c r="C24" s="242"/>
      <c r="D24" s="242"/>
      <c r="E24" s="136" t="s">
        <v>90</v>
      </c>
      <c r="F24" s="136" t="s">
        <v>73</v>
      </c>
      <c r="G24" s="136" t="s">
        <v>491</v>
      </c>
      <c r="H24" s="78" t="s">
        <v>7</v>
      </c>
      <c r="I24" s="78" t="s">
        <v>492</v>
      </c>
      <c r="J24" s="78" t="s">
        <v>493</v>
      </c>
      <c r="K24" s="78" t="s">
        <v>494</v>
      </c>
      <c r="L24" s="261">
        <v>2024</v>
      </c>
      <c r="M24" s="146" t="s">
        <v>21</v>
      </c>
      <c r="N24" s="146" t="s">
        <v>79</v>
      </c>
      <c r="O24" s="146" t="s">
        <v>501</v>
      </c>
      <c r="P24" s="320" t="s">
        <v>1715</v>
      </c>
      <c r="Q24" s="146" t="s">
        <v>496</v>
      </c>
      <c r="R24" s="146" t="s">
        <v>497</v>
      </c>
      <c r="S24" s="281">
        <v>2024</v>
      </c>
      <c r="T24" s="243" t="str">
        <f t="shared" si="0"/>
        <v>jun/2024</v>
      </c>
      <c r="U24" s="161">
        <v>45453</v>
      </c>
      <c r="V24" s="161">
        <v>45657</v>
      </c>
      <c r="W24" s="148">
        <f>DATEDIF(Base_CTRs_Finalizados[[#This Row],[INÍCIO VIGÊNCIA]],Base_CTRs_Finalizados[[#This Row],[FINAL 
VIGÊNCIA]],"Y")</f>
        <v>0</v>
      </c>
      <c r="X24" s="146" t="s">
        <v>498</v>
      </c>
      <c r="Y24" s="146" t="s">
        <v>29</v>
      </c>
      <c r="Z24" s="146" t="s">
        <v>502</v>
      </c>
      <c r="AA24" s="146" t="s">
        <v>503</v>
      </c>
      <c r="AB24" s="236">
        <f>DATEDIF(Base_CTRs_Finalizados[[#This Row],[INÍCIO VIGÊNCIA]],Base_CTRs_Finalizados[[#This Row],[FINAL 
VIGÊNCIA]],"M")</f>
        <v>6</v>
      </c>
      <c r="AC24" s="203">
        <f t="shared" si="1"/>
        <v>108.33333333333333</v>
      </c>
      <c r="AD24" s="203">
        <v>650</v>
      </c>
      <c r="AE24" s="150" t="s">
        <v>16</v>
      </c>
      <c r="AF24" s="150" t="s">
        <v>9</v>
      </c>
      <c r="AG24" s="150">
        <v>10014571</v>
      </c>
      <c r="AH24" s="150"/>
      <c r="AI24" s="150"/>
      <c r="AJ24" s="237">
        <f>_xlfn.DAYS(Base_CTRs_Finalizados[[#This Row],[INÍCIO VIGÊNCIA]],Base_CTRs_Finalizados[[#This Row],[Data inicio processo]])</f>
        <v>45453</v>
      </c>
      <c r="AK24" s="266" t="s">
        <v>638</v>
      </c>
      <c r="AL24" s="266"/>
      <c r="AM24" s="266"/>
      <c r="AO24" s="17" t="s">
        <v>1864</v>
      </c>
    </row>
    <row r="25" spans="2:41" s="17" customFormat="1" ht="18" customHeight="1" thickTop="1" thickBot="1" x14ac:dyDescent="0.3">
      <c r="B25" s="42"/>
      <c r="C25" s="242"/>
      <c r="D25" s="242"/>
      <c r="E25" s="136" t="s">
        <v>90</v>
      </c>
      <c r="F25" s="136" t="s">
        <v>78</v>
      </c>
      <c r="G25" s="136" t="s">
        <v>523</v>
      </c>
      <c r="H25" s="78" t="s">
        <v>7</v>
      </c>
      <c r="I25" s="78" t="s">
        <v>524</v>
      </c>
      <c r="J25" s="78" t="s">
        <v>525</v>
      </c>
      <c r="K25" s="78" t="s">
        <v>526</v>
      </c>
      <c r="L25" s="261">
        <v>2024</v>
      </c>
      <c r="M25" s="146" t="s">
        <v>21</v>
      </c>
      <c r="N25" s="146" t="s">
        <v>79</v>
      </c>
      <c r="O25" s="146" t="s">
        <v>527</v>
      </c>
      <c r="P25" s="320" t="s">
        <v>1680</v>
      </c>
      <c r="Q25" s="146" t="s">
        <v>528</v>
      </c>
      <c r="R25" s="146" t="s">
        <v>529</v>
      </c>
      <c r="S25" s="281">
        <v>2024</v>
      </c>
      <c r="T25" s="243" t="str">
        <f t="shared" si="0"/>
        <v>jun/2024</v>
      </c>
      <c r="U25" s="161">
        <v>45464</v>
      </c>
      <c r="V25" s="161">
        <v>45657</v>
      </c>
      <c r="W25" s="148">
        <f>DATEDIF(Base_CTRs_Finalizados[[#This Row],[INÍCIO VIGÊNCIA]],Base_CTRs_Finalizados[[#This Row],[FINAL 
VIGÊNCIA]],"Y")</f>
        <v>0</v>
      </c>
      <c r="X25" s="146" t="s">
        <v>530</v>
      </c>
      <c r="Y25" s="146" t="s">
        <v>28</v>
      </c>
      <c r="Z25" s="146" t="s">
        <v>531</v>
      </c>
      <c r="AA25" s="146" t="s">
        <v>283</v>
      </c>
      <c r="AB25" s="236">
        <f>DATEDIF(Base_CTRs_Finalizados[[#This Row],[INÍCIO VIGÊNCIA]],Base_CTRs_Finalizados[[#This Row],[FINAL 
VIGÊNCIA]],"M")</f>
        <v>6</v>
      </c>
      <c r="AC25" s="203">
        <f t="shared" si="1"/>
        <v>2390.0266666666666</v>
      </c>
      <c r="AD25" s="203">
        <v>14340.16</v>
      </c>
      <c r="AE25" s="150" t="s">
        <v>16</v>
      </c>
      <c r="AF25" s="150" t="s">
        <v>9</v>
      </c>
      <c r="AG25" s="150">
        <v>10014770</v>
      </c>
      <c r="AH25" s="150"/>
      <c r="AI25" s="150"/>
      <c r="AJ25" s="237">
        <f>_xlfn.DAYS(Base_CTRs_Finalizados[[#This Row],[INÍCIO VIGÊNCIA]],Base_CTRs_Finalizados[[#This Row],[Data inicio processo]])</f>
        <v>45464</v>
      </c>
      <c r="AK25" s="266" t="s">
        <v>157</v>
      </c>
      <c r="AL25" s="266"/>
      <c r="AM25" s="266"/>
      <c r="AO25" s="17" t="s">
        <v>1865</v>
      </c>
    </row>
    <row r="26" spans="2:41" s="17" customFormat="1" ht="18" customHeight="1" thickTop="1" thickBot="1" x14ac:dyDescent="0.3">
      <c r="B26" s="42"/>
      <c r="C26" s="242"/>
      <c r="D26" s="242"/>
      <c r="E26" s="136" t="s">
        <v>88</v>
      </c>
      <c r="F26" s="136" t="s">
        <v>48</v>
      </c>
      <c r="G26" s="136" t="s">
        <v>566</v>
      </c>
      <c r="H26" s="78" t="s">
        <v>4</v>
      </c>
      <c r="I26" s="78" t="s">
        <v>505</v>
      </c>
      <c r="J26" s="78" t="s">
        <v>567</v>
      </c>
      <c r="K26" s="78" t="s">
        <v>568</v>
      </c>
      <c r="L26" s="261">
        <v>2024</v>
      </c>
      <c r="M26" s="146" t="s">
        <v>21</v>
      </c>
      <c r="N26" s="146" t="s">
        <v>79</v>
      </c>
      <c r="O26" s="146" t="s">
        <v>569</v>
      </c>
      <c r="P26" s="320" t="s">
        <v>1683</v>
      </c>
      <c r="Q26" s="146" t="s">
        <v>570</v>
      </c>
      <c r="R26" s="146" t="s">
        <v>393</v>
      </c>
      <c r="S26" s="281">
        <v>2024</v>
      </c>
      <c r="T26" s="243" t="str">
        <f t="shared" si="0"/>
        <v>jul/2024</v>
      </c>
      <c r="U26" s="161">
        <v>45474</v>
      </c>
      <c r="V26" s="161">
        <v>45657</v>
      </c>
      <c r="W26" s="148">
        <f>DATEDIF(Base_CTRs_Finalizados[[#This Row],[INÍCIO VIGÊNCIA]],Base_CTRs_Finalizados[[#This Row],[FINAL 
VIGÊNCIA]],"Y")</f>
        <v>0</v>
      </c>
      <c r="X26" s="146" t="s">
        <v>571</v>
      </c>
      <c r="Y26" s="146" t="s">
        <v>33</v>
      </c>
      <c r="Z26" s="146" t="s">
        <v>572</v>
      </c>
      <c r="AA26" s="146" t="s">
        <v>573</v>
      </c>
      <c r="AB26" s="236">
        <f>DATEDIF(Base_CTRs_Finalizados[[#This Row],[INÍCIO VIGÊNCIA]],Base_CTRs_Finalizados[[#This Row],[FINAL 
VIGÊNCIA]],"M")</f>
        <v>5</v>
      </c>
      <c r="AC26" s="203">
        <f t="shared" si="1"/>
        <v>79.400000000000006</v>
      </c>
      <c r="AD26" s="203">
        <v>397</v>
      </c>
      <c r="AE26" s="150" t="s">
        <v>14</v>
      </c>
      <c r="AF26" s="150" t="s">
        <v>9</v>
      </c>
      <c r="AG26" s="150">
        <v>10014783</v>
      </c>
      <c r="AH26" s="150"/>
      <c r="AI26" s="150"/>
      <c r="AJ26" s="237">
        <f>_xlfn.DAYS(Base_CTRs_Finalizados[[#This Row],[INÍCIO VIGÊNCIA]],Base_CTRs_Finalizados[[#This Row],[Data inicio processo]])</f>
        <v>45474</v>
      </c>
      <c r="AK26" s="266" t="s">
        <v>157</v>
      </c>
      <c r="AL26" s="266"/>
      <c r="AM26" s="266"/>
      <c r="AO26" s="17" t="s">
        <v>1865</v>
      </c>
    </row>
    <row r="27" spans="2:41" s="17" customFormat="1" ht="18" customHeight="1" thickTop="1" thickBot="1" x14ac:dyDescent="0.3">
      <c r="B27" s="42"/>
      <c r="C27" s="242"/>
      <c r="D27" s="242"/>
      <c r="E27" s="136" t="s">
        <v>88</v>
      </c>
      <c r="F27" s="136" t="s">
        <v>48</v>
      </c>
      <c r="G27" s="136" t="s">
        <v>549</v>
      </c>
      <c r="H27" s="78" t="s">
        <v>7</v>
      </c>
      <c r="I27" s="78" t="s">
        <v>492</v>
      </c>
      <c r="J27" s="78" t="s">
        <v>550</v>
      </c>
      <c r="K27" s="78" t="s">
        <v>551</v>
      </c>
      <c r="L27" s="261">
        <v>2024</v>
      </c>
      <c r="M27" s="146" t="s">
        <v>21</v>
      </c>
      <c r="N27" s="146" t="s">
        <v>79</v>
      </c>
      <c r="O27" s="146" t="s">
        <v>552</v>
      </c>
      <c r="P27" s="320" t="s">
        <v>1681</v>
      </c>
      <c r="Q27" s="146" t="s">
        <v>553</v>
      </c>
      <c r="R27" s="146" t="s">
        <v>554</v>
      </c>
      <c r="S27" s="281">
        <v>2024</v>
      </c>
      <c r="T27" s="243" t="str">
        <f t="shared" si="0"/>
        <v>jul/2024</v>
      </c>
      <c r="U27" s="161">
        <v>45489</v>
      </c>
      <c r="V27" s="161">
        <v>45657</v>
      </c>
      <c r="W27" s="148">
        <f>DATEDIF(Base_CTRs_Finalizados[[#This Row],[INÍCIO VIGÊNCIA]],Base_CTRs_Finalizados[[#This Row],[FINAL 
VIGÊNCIA]],"Y")</f>
        <v>0</v>
      </c>
      <c r="X27" s="146" t="s">
        <v>555</v>
      </c>
      <c r="Y27" s="146" t="s">
        <v>33</v>
      </c>
      <c r="Z27" s="146" t="s">
        <v>556</v>
      </c>
      <c r="AA27" s="146" t="s">
        <v>557</v>
      </c>
      <c r="AB27" s="236">
        <f>DATEDIF(Base_CTRs_Finalizados[[#This Row],[INÍCIO VIGÊNCIA]],Base_CTRs_Finalizados[[#This Row],[FINAL 
VIGÊNCIA]],"M")</f>
        <v>5</v>
      </c>
      <c r="AC27" s="203">
        <f t="shared" si="1"/>
        <v>1676.306</v>
      </c>
      <c r="AD27" s="203">
        <v>8381.5300000000007</v>
      </c>
      <c r="AE27" s="150" t="s">
        <v>14</v>
      </c>
      <c r="AF27" s="150" t="s">
        <v>9</v>
      </c>
      <c r="AG27" s="150">
        <v>10014769</v>
      </c>
      <c r="AH27" s="150"/>
      <c r="AI27" s="150"/>
      <c r="AJ27" s="237">
        <f>_xlfn.DAYS(Base_CTRs_Finalizados[[#This Row],[INÍCIO VIGÊNCIA]],Base_CTRs_Finalizados[[#This Row],[Data inicio processo]])</f>
        <v>45489</v>
      </c>
      <c r="AK27" s="266" t="s">
        <v>157</v>
      </c>
      <c r="AL27" s="266"/>
      <c r="AM27" s="266"/>
      <c r="AO27" s="17" t="s">
        <v>1865</v>
      </c>
    </row>
    <row r="28" spans="2:41" s="17" customFormat="1" ht="18" customHeight="1" thickTop="1" thickBot="1" x14ac:dyDescent="0.3">
      <c r="B28" s="42"/>
      <c r="C28" s="242"/>
      <c r="D28" s="242"/>
      <c r="E28" s="136" t="s">
        <v>88</v>
      </c>
      <c r="F28" s="136" t="s">
        <v>52</v>
      </c>
      <c r="G28" s="136" t="s">
        <v>584</v>
      </c>
      <c r="H28" s="78" t="s">
        <v>4</v>
      </c>
      <c r="I28" s="78" t="s">
        <v>505</v>
      </c>
      <c r="J28" s="78" t="s">
        <v>585</v>
      </c>
      <c r="K28" s="78" t="s">
        <v>586</v>
      </c>
      <c r="L28" s="261">
        <v>2024</v>
      </c>
      <c r="M28" s="146" t="s">
        <v>21</v>
      </c>
      <c r="N28" s="146" t="s">
        <v>79</v>
      </c>
      <c r="O28" s="146" t="s">
        <v>587</v>
      </c>
      <c r="P28" s="320" t="s">
        <v>1685</v>
      </c>
      <c r="Q28" s="146" t="s">
        <v>588</v>
      </c>
      <c r="R28" s="146" t="s">
        <v>510</v>
      </c>
      <c r="S28" s="281">
        <v>2024</v>
      </c>
      <c r="T28" s="243" t="str">
        <f t="shared" si="0"/>
        <v>jul/2024</v>
      </c>
      <c r="U28" s="161">
        <v>45490</v>
      </c>
      <c r="V28" s="161">
        <v>45657</v>
      </c>
      <c r="W28" s="148">
        <f>DATEDIF(Base_CTRs_Finalizados[[#This Row],[INÍCIO VIGÊNCIA]],Base_CTRs_Finalizados[[#This Row],[FINAL 
VIGÊNCIA]],"Y")</f>
        <v>0</v>
      </c>
      <c r="X28" s="146" t="s">
        <v>589</v>
      </c>
      <c r="Y28" s="146" t="s">
        <v>33</v>
      </c>
      <c r="Z28" s="146" t="s">
        <v>590</v>
      </c>
      <c r="AA28" s="146" t="s">
        <v>591</v>
      </c>
      <c r="AB28" s="236">
        <f>DATEDIF(Base_CTRs_Finalizados[[#This Row],[INÍCIO VIGÊNCIA]],Base_CTRs_Finalizados[[#This Row],[FINAL 
VIGÊNCIA]],"M")</f>
        <v>5</v>
      </c>
      <c r="AC28" s="203">
        <f t="shared" si="1"/>
        <v>2752</v>
      </c>
      <c r="AD28" s="203">
        <v>13760</v>
      </c>
      <c r="AE28" s="150" t="s">
        <v>14</v>
      </c>
      <c r="AF28" s="150" t="s">
        <v>9</v>
      </c>
      <c r="AG28" s="150">
        <v>10014768</v>
      </c>
      <c r="AH28" s="150"/>
      <c r="AI28" s="150"/>
      <c r="AJ28" s="237">
        <f>_xlfn.DAYS(Base_CTRs_Finalizados[[#This Row],[INÍCIO VIGÊNCIA]],Base_CTRs_Finalizados[[#This Row],[Data inicio processo]])</f>
        <v>45490</v>
      </c>
      <c r="AK28" s="266" t="s">
        <v>157</v>
      </c>
      <c r="AL28" s="266"/>
      <c r="AM28" s="266"/>
      <c r="AO28" s="17" t="s">
        <v>1865</v>
      </c>
    </row>
    <row r="29" spans="2:41" s="17" customFormat="1" ht="18" customHeight="1" thickTop="1" thickBot="1" x14ac:dyDescent="0.3">
      <c r="B29" s="42"/>
      <c r="C29" s="242"/>
      <c r="D29" s="242"/>
      <c r="E29" s="136" t="s">
        <v>91</v>
      </c>
      <c r="F29" s="136" t="s">
        <v>67</v>
      </c>
      <c r="G29" s="136" t="s">
        <v>574</v>
      </c>
      <c r="H29" s="78" t="s">
        <v>4</v>
      </c>
      <c r="I29" s="78" t="s">
        <v>575</v>
      </c>
      <c r="J29" s="78" t="s">
        <v>576</v>
      </c>
      <c r="K29" s="78" t="s">
        <v>577</v>
      </c>
      <c r="L29" s="261">
        <v>2024</v>
      </c>
      <c r="M29" s="146" t="s">
        <v>21</v>
      </c>
      <c r="N29" s="146" t="s">
        <v>79</v>
      </c>
      <c r="O29" s="146" t="s">
        <v>578</v>
      </c>
      <c r="P29" s="320" t="s">
        <v>1684</v>
      </c>
      <c r="Q29" s="146" t="s">
        <v>579</v>
      </c>
      <c r="R29" s="146" t="s">
        <v>580</v>
      </c>
      <c r="S29" s="281">
        <v>2024</v>
      </c>
      <c r="T29" s="243" t="str">
        <f t="shared" si="0"/>
        <v>jul/2024</v>
      </c>
      <c r="U29" s="161">
        <v>45490</v>
      </c>
      <c r="V29" s="161">
        <v>45657</v>
      </c>
      <c r="W29" s="148">
        <f>DATEDIF(Base_CTRs_Finalizados[[#This Row],[INÍCIO VIGÊNCIA]],Base_CTRs_Finalizados[[#This Row],[FINAL 
VIGÊNCIA]],"Y")</f>
        <v>0</v>
      </c>
      <c r="X29" s="146" t="s">
        <v>581</v>
      </c>
      <c r="Y29" s="146" t="s">
        <v>33</v>
      </c>
      <c r="Z29" s="146" t="s">
        <v>582</v>
      </c>
      <c r="AA29" s="146" t="s">
        <v>583</v>
      </c>
      <c r="AB29" s="236">
        <f>DATEDIF(Base_CTRs_Finalizados[[#This Row],[INÍCIO VIGÊNCIA]],Base_CTRs_Finalizados[[#This Row],[FINAL 
VIGÊNCIA]],"M")</f>
        <v>5</v>
      </c>
      <c r="AC29" s="203">
        <f t="shared" si="1"/>
        <v>11999.6</v>
      </c>
      <c r="AD29" s="203">
        <v>59998</v>
      </c>
      <c r="AE29" s="150" t="s">
        <v>14</v>
      </c>
      <c r="AF29" s="150" t="s">
        <v>9</v>
      </c>
      <c r="AG29" s="150">
        <v>10014621</v>
      </c>
      <c r="AH29" s="150"/>
      <c r="AI29" s="150"/>
      <c r="AJ29" s="237">
        <f>_xlfn.DAYS(Base_CTRs_Finalizados[[#This Row],[INÍCIO VIGÊNCIA]],Base_CTRs_Finalizados[[#This Row],[Data inicio processo]])</f>
        <v>45490</v>
      </c>
      <c r="AK29" s="266" t="s">
        <v>157</v>
      </c>
      <c r="AL29" s="266"/>
      <c r="AM29" s="266"/>
      <c r="AO29" s="17" t="s">
        <v>1865</v>
      </c>
    </row>
    <row r="30" spans="2:41" s="17" customFormat="1" ht="18" customHeight="1" thickTop="1" thickBot="1" x14ac:dyDescent="0.3">
      <c r="B30" s="42"/>
      <c r="C30" s="242"/>
      <c r="D30" s="242"/>
      <c r="E30" s="136" t="s">
        <v>88</v>
      </c>
      <c r="F30" s="136" t="s">
        <v>52</v>
      </c>
      <c r="G30" s="136" t="s">
        <v>558</v>
      </c>
      <c r="H30" s="78" t="s">
        <v>4</v>
      </c>
      <c r="I30" s="78" t="s">
        <v>505</v>
      </c>
      <c r="J30" s="78" t="s">
        <v>603</v>
      </c>
      <c r="K30" s="78" t="s">
        <v>559</v>
      </c>
      <c r="L30" s="261">
        <v>2024</v>
      </c>
      <c r="M30" s="146" t="s">
        <v>21</v>
      </c>
      <c r="N30" s="146" t="s">
        <v>79</v>
      </c>
      <c r="O30" s="146" t="s">
        <v>560</v>
      </c>
      <c r="P30" s="320" t="s">
        <v>1682</v>
      </c>
      <c r="Q30" s="146" t="s">
        <v>561</v>
      </c>
      <c r="R30" s="146" t="s">
        <v>562</v>
      </c>
      <c r="S30" s="281">
        <v>2024</v>
      </c>
      <c r="T30" s="243" t="str">
        <f t="shared" si="0"/>
        <v>jul/2024</v>
      </c>
      <c r="U30" s="161">
        <v>45503</v>
      </c>
      <c r="V30" s="161">
        <v>45595</v>
      </c>
      <c r="W30" s="148">
        <f>DATEDIF(Base_CTRs_Finalizados[[#This Row],[INÍCIO VIGÊNCIA]],Base_CTRs_Finalizados[[#This Row],[FINAL 
VIGÊNCIA]],"Y")</f>
        <v>0</v>
      </c>
      <c r="X30" s="146" t="s">
        <v>602</v>
      </c>
      <c r="Y30" s="146" t="s">
        <v>33</v>
      </c>
      <c r="Z30" s="146" t="s">
        <v>601</v>
      </c>
      <c r="AA30" s="146" t="s">
        <v>564</v>
      </c>
      <c r="AB30" s="236">
        <f>DATEDIF(Base_CTRs_Finalizados[[#This Row],[INÍCIO VIGÊNCIA]],Base_CTRs_Finalizados[[#This Row],[FINAL 
VIGÊNCIA]],"M")</f>
        <v>3</v>
      </c>
      <c r="AC30" s="203">
        <f t="shared" si="1"/>
        <v>633.33333333333337</v>
      </c>
      <c r="AD30" s="203">
        <v>1900</v>
      </c>
      <c r="AE30" s="150" t="s">
        <v>14</v>
      </c>
      <c r="AF30" s="150" t="s">
        <v>9</v>
      </c>
      <c r="AG30" s="150">
        <v>10014798</v>
      </c>
      <c r="AH30" s="150"/>
      <c r="AI30" s="150"/>
      <c r="AJ30" s="237">
        <f>_xlfn.DAYS(Base_CTRs_Finalizados[[#This Row],[INÍCIO VIGÊNCIA]],Base_CTRs_Finalizados[[#This Row],[Data inicio processo]])</f>
        <v>45503</v>
      </c>
      <c r="AK30" s="266" t="s">
        <v>157</v>
      </c>
      <c r="AL30" s="266"/>
      <c r="AM30" s="266"/>
      <c r="AO30" s="17" t="s">
        <v>1865</v>
      </c>
    </row>
    <row r="31" spans="2:41" ht="18" customHeight="1" thickTop="1" thickBot="1" x14ac:dyDescent="0.3">
      <c r="C31" s="242"/>
      <c r="D31" s="242"/>
      <c r="E31" s="136" t="s">
        <v>89</v>
      </c>
      <c r="F31" s="136" t="s">
        <v>336</v>
      </c>
      <c r="G31" s="136" t="s">
        <v>592</v>
      </c>
      <c r="H31" s="78" t="s">
        <v>4</v>
      </c>
      <c r="I31" s="78" t="s">
        <v>505</v>
      </c>
      <c r="J31" s="78" t="s">
        <v>593</v>
      </c>
      <c r="K31" s="78" t="s">
        <v>594</v>
      </c>
      <c r="L31" s="261">
        <v>2024</v>
      </c>
      <c r="M31" s="146" t="s">
        <v>21</v>
      </c>
      <c r="N31" s="146" t="s">
        <v>79</v>
      </c>
      <c r="O31" s="146" t="s">
        <v>595</v>
      </c>
      <c r="P31" s="320" t="s">
        <v>1686</v>
      </c>
      <c r="Q31" s="146" t="s">
        <v>596</v>
      </c>
      <c r="R31" s="146" t="s">
        <v>597</v>
      </c>
      <c r="S31" s="281">
        <v>2024</v>
      </c>
      <c r="T31" s="243" t="str">
        <f t="shared" si="0"/>
        <v>ago/2024</v>
      </c>
      <c r="U31" s="161">
        <v>45510</v>
      </c>
      <c r="V31" s="161">
        <v>45657</v>
      </c>
      <c r="W31" s="148">
        <f>DATEDIF(Base_CTRs_Finalizados[[#This Row],[INÍCIO VIGÊNCIA]],Base_CTRs_Finalizados[[#This Row],[FINAL 
VIGÊNCIA]],"Y")</f>
        <v>0</v>
      </c>
      <c r="X31" s="146" t="s">
        <v>598</v>
      </c>
      <c r="Y31" s="146" t="s">
        <v>33</v>
      </c>
      <c r="Z31" s="146" t="s">
        <v>599</v>
      </c>
      <c r="AA31" s="146" t="s">
        <v>478</v>
      </c>
      <c r="AB31" s="236">
        <f>DATEDIF(Base_CTRs_Finalizados[[#This Row],[INÍCIO VIGÊNCIA]],Base_CTRs_Finalizados[[#This Row],[FINAL 
VIGÊNCIA]],"M")</f>
        <v>4</v>
      </c>
      <c r="AC31" s="203">
        <f t="shared" si="1"/>
        <v>4057.5</v>
      </c>
      <c r="AD31" s="203">
        <v>16230</v>
      </c>
      <c r="AE31" s="150" t="s">
        <v>14</v>
      </c>
      <c r="AF31" s="150" t="s">
        <v>9</v>
      </c>
      <c r="AG31" s="150">
        <v>10014842</v>
      </c>
      <c r="AH31" s="150"/>
      <c r="AI31" s="150"/>
      <c r="AJ31" s="237">
        <f>_xlfn.DAYS(Base_CTRs_Finalizados[[#This Row],[INÍCIO VIGÊNCIA]],Base_CTRs_Finalizados[[#This Row],[Data inicio processo]])</f>
        <v>45510</v>
      </c>
      <c r="AK31" s="266" t="s">
        <v>157</v>
      </c>
      <c r="AL31" s="266"/>
      <c r="AM31" s="266"/>
      <c r="AO31" s="17" t="s">
        <v>1865</v>
      </c>
    </row>
    <row r="32" spans="2:41" s="17" customFormat="1" ht="18" customHeight="1" thickTop="1" thickBot="1" x14ac:dyDescent="0.3">
      <c r="B32" s="42"/>
      <c r="C32" s="242"/>
      <c r="D32" s="242"/>
      <c r="E32" s="136" t="s">
        <v>89</v>
      </c>
      <c r="F32" s="136" t="s">
        <v>150</v>
      </c>
      <c r="G32" s="136" t="s">
        <v>701</v>
      </c>
      <c r="H32" s="78" t="s">
        <v>4</v>
      </c>
      <c r="I32" s="78" t="s">
        <v>505</v>
      </c>
      <c r="J32" s="78" t="s">
        <v>702</v>
      </c>
      <c r="K32" s="78" t="s">
        <v>703</v>
      </c>
      <c r="L32" s="261">
        <v>2024</v>
      </c>
      <c r="M32" s="146" t="s">
        <v>21</v>
      </c>
      <c r="N32" s="146" t="s">
        <v>79</v>
      </c>
      <c r="O32" s="146" t="s">
        <v>704</v>
      </c>
      <c r="P32" s="320" t="s">
        <v>1690</v>
      </c>
      <c r="Q32" s="146" t="s">
        <v>705</v>
      </c>
      <c r="R32" s="146" t="s">
        <v>706</v>
      </c>
      <c r="S32" s="281">
        <v>2024</v>
      </c>
      <c r="T32" s="243" t="str">
        <f t="shared" si="0"/>
        <v>out/2024</v>
      </c>
      <c r="U32" s="161">
        <v>45568</v>
      </c>
      <c r="V32" s="161">
        <v>45657</v>
      </c>
      <c r="W32" s="148">
        <f>DATEDIF(Base_CTRs_Finalizados[[#This Row],[INÍCIO VIGÊNCIA]],Base_CTRs_Finalizados[[#This Row],[FINAL 
VIGÊNCIA]],"Y")</f>
        <v>0</v>
      </c>
      <c r="X32" s="146" t="s">
        <v>707</v>
      </c>
      <c r="Y32" s="146" t="s">
        <v>33</v>
      </c>
      <c r="Z32" s="146" t="s">
        <v>708</v>
      </c>
      <c r="AA32" s="146" t="s">
        <v>709</v>
      </c>
      <c r="AB32" s="236">
        <f>DATEDIF(Base_CTRs_Finalizados[[#This Row],[INÍCIO VIGÊNCIA]],Base_CTRs_Finalizados[[#This Row],[FINAL 
VIGÊNCIA]],"M")</f>
        <v>2</v>
      </c>
      <c r="AC32" s="203">
        <f t="shared" si="1"/>
        <v>1496.4</v>
      </c>
      <c r="AD32" s="203">
        <v>2992.8</v>
      </c>
      <c r="AE32" s="150" t="s">
        <v>14</v>
      </c>
      <c r="AF32" s="150" t="s">
        <v>9</v>
      </c>
      <c r="AG32" s="150">
        <v>10014941</v>
      </c>
      <c r="AH32" s="150"/>
      <c r="AI32" s="150"/>
      <c r="AJ32" s="237">
        <f>_xlfn.DAYS(Base_CTRs_Finalizados[[#This Row],[INÍCIO VIGÊNCIA]],Base_CTRs_Finalizados[[#This Row],[Data inicio processo]])</f>
        <v>45568</v>
      </c>
      <c r="AK32" s="266" t="s">
        <v>157</v>
      </c>
      <c r="AL32" s="266"/>
      <c r="AM32" s="266"/>
      <c r="AO32" s="17" t="s">
        <v>1865</v>
      </c>
    </row>
    <row r="33" spans="2:41" s="17" customFormat="1" ht="18" customHeight="1" thickTop="1" thickBot="1" x14ac:dyDescent="0.3">
      <c r="B33" s="42"/>
      <c r="C33" s="242"/>
      <c r="D33" s="242"/>
      <c r="E33" s="136" t="s">
        <v>92</v>
      </c>
      <c r="F33" s="136" t="s">
        <v>710</v>
      </c>
      <c r="G33" s="136" t="s">
        <v>711</v>
      </c>
      <c r="H33" s="78" t="s">
        <v>4</v>
      </c>
      <c r="I33" s="78" t="s">
        <v>505</v>
      </c>
      <c r="J33" s="78" t="s">
        <v>712</v>
      </c>
      <c r="K33" s="78" t="s">
        <v>713</v>
      </c>
      <c r="L33" s="261">
        <v>2024</v>
      </c>
      <c r="M33" s="146" t="s">
        <v>21</v>
      </c>
      <c r="N33" s="146" t="s">
        <v>79</v>
      </c>
      <c r="O33" s="146" t="s">
        <v>714</v>
      </c>
      <c r="P33" s="320" t="s">
        <v>1691</v>
      </c>
      <c r="Q33" s="146" t="s">
        <v>715</v>
      </c>
      <c r="R33" s="146" t="s">
        <v>510</v>
      </c>
      <c r="S33" s="281">
        <v>2024</v>
      </c>
      <c r="T33" s="243" t="str">
        <f t="shared" si="0"/>
        <v>out/2024</v>
      </c>
      <c r="U33" s="161">
        <v>45568</v>
      </c>
      <c r="V33" s="161">
        <v>45657</v>
      </c>
      <c r="W33" s="148">
        <f>DATEDIF(Base_CTRs_Finalizados[[#This Row],[INÍCIO VIGÊNCIA]],Base_CTRs_Finalizados[[#This Row],[FINAL 
VIGÊNCIA]],"Y")</f>
        <v>0</v>
      </c>
      <c r="X33" s="146" t="s">
        <v>716</v>
      </c>
      <c r="Y33" s="146" t="s">
        <v>33</v>
      </c>
      <c r="Z33" s="146" t="s">
        <v>599</v>
      </c>
      <c r="AA33" s="146" t="s">
        <v>478</v>
      </c>
      <c r="AB33" s="236">
        <f>DATEDIF(Base_CTRs_Finalizados[[#This Row],[INÍCIO VIGÊNCIA]],Base_CTRs_Finalizados[[#This Row],[FINAL 
VIGÊNCIA]],"M")</f>
        <v>2</v>
      </c>
      <c r="AC33" s="203">
        <f t="shared" si="1"/>
        <v>11305</v>
      </c>
      <c r="AD33" s="203">
        <v>22610</v>
      </c>
      <c r="AE33" s="150" t="s">
        <v>14</v>
      </c>
      <c r="AF33" s="150" t="s">
        <v>9</v>
      </c>
      <c r="AG33" s="150">
        <v>10014955</v>
      </c>
      <c r="AH33" s="150"/>
      <c r="AI33" s="150"/>
      <c r="AJ33" s="237">
        <f>_xlfn.DAYS(Base_CTRs_Finalizados[[#This Row],[INÍCIO VIGÊNCIA]],Base_CTRs_Finalizados[[#This Row],[Data inicio processo]])</f>
        <v>45568</v>
      </c>
      <c r="AK33" s="266" t="s">
        <v>157</v>
      </c>
      <c r="AL33" s="266"/>
      <c r="AM33" s="266"/>
      <c r="AO33" s="17" t="s">
        <v>1865</v>
      </c>
    </row>
    <row r="34" spans="2:41" s="17" customFormat="1" ht="18" customHeight="1" thickTop="1" thickBot="1" x14ac:dyDescent="0.3">
      <c r="B34" s="42"/>
      <c r="C34" s="242"/>
      <c r="D34" s="242"/>
      <c r="E34" s="136" t="s">
        <v>88</v>
      </c>
      <c r="F34" s="136" t="s">
        <v>52</v>
      </c>
      <c r="G34" s="136" t="s">
        <v>726</v>
      </c>
      <c r="H34" s="78" t="s">
        <v>4</v>
      </c>
      <c r="I34" s="78" t="s">
        <v>727</v>
      </c>
      <c r="J34" s="78" t="s">
        <v>728</v>
      </c>
      <c r="K34" s="78" t="s">
        <v>729</v>
      </c>
      <c r="L34" s="261">
        <v>2024</v>
      </c>
      <c r="M34" s="146" t="s">
        <v>21</v>
      </c>
      <c r="N34" s="146" t="s">
        <v>79</v>
      </c>
      <c r="O34" s="146" t="s">
        <v>730</v>
      </c>
      <c r="P34" s="320" t="s">
        <v>1692</v>
      </c>
      <c r="Q34" s="146" t="s">
        <v>731</v>
      </c>
      <c r="R34" s="146" t="s">
        <v>732</v>
      </c>
      <c r="S34" s="281">
        <v>2024</v>
      </c>
      <c r="T34" s="243" t="str">
        <f t="shared" si="0"/>
        <v>out/2024</v>
      </c>
      <c r="U34" s="161">
        <v>45580</v>
      </c>
      <c r="V34" s="161">
        <v>45657</v>
      </c>
      <c r="W34" s="148">
        <f>DATEDIF(Base_CTRs_Finalizados[[#This Row],[INÍCIO VIGÊNCIA]],Base_CTRs_Finalizados[[#This Row],[FINAL 
VIGÊNCIA]],"Y")</f>
        <v>0</v>
      </c>
      <c r="X34" s="146" t="s">
        <v>733</v>
      </c>
      <c r="Y34" s="146" t="s">
        <v>33</v>
      </c>
      <c r="Z34" s="146" t="s">
        <v>563</v>
      </c>
      <c r="AA34" s="146" t="s">
        <v>564</v>
      </c>
      <c r="AB34" s="236">
        <f>DATEDIF(Base_CTRs_Finalizados[[#This Row],[INÍCIO VIGÊNCIA]],Base_CTRs_Finalizados[[#This Row],[FINAL 
VIGÊNCIA]],"M")</f>
        <v>2</v>
      </c>
      <c r="AC34" s="203">
        <f t="shared" si="1"/>
        <v>7550</v>
      </c>
      <c r="AD34" s="203">
        <v>15100</v>
      </c>
      <c r="AE34" s="150" t="s">
        <v>14</v>
      </c>
      <c r="AF34" s="150" t="s">
        <v>9</v>
      </c>
      <c r="AG34" s="150">
        <v>10014956</v>
      </c>
      <c r="AH34" s="150"/>
      <c r="AI34" s="150"/>
      <c r="AJ34" s="237">
        <f>_xlfn.DAYS(Base_CTRs_Finalizados[[#This Row],[INÍCIO VIGÊNCIA]],Base_CTRs_Finalizados[[#This Row],[Data inicio processo]])</f>
        <v>45580</v>
      </c>
      <c r="AK34" s="266" t="s">
        <v>157</v>
      </c>
      <c r="AL34" s="266"/>
      <c r="AM34" s="266"/>
      <c r="AO34" s="17" t="s">
        <v>1865</v>
      </c>
    </row>
    <row r="35" spans="2:41" s="17" customFormat="1" ht="18" customHeight="1" thickTop="1" thickBot="1" x14ac:dyDescent="0.3">
      <c r="B35" s="42"/>
      <c r="C35" s="242"/>
      <c r="D35" s="242"/>
      <c r="E35" s="136" t="s">
        <v>88</v>
      </c>
      <c r="F35" s="136" t="s">
        <v>49</v>
      </c>
      <c r="G35" s="136" t="s">
        <v>734</v>
      </c>
      <c r="H35" s="78" t="s">
        <v>4</v>
      </c>
      <c r="I35" s="78" t="s">
        <v>727</v>
      </c>
      <c r="J35" s="78"/>
      <c r="K35" s="78" t="s">
        <v>735</v>
      </c>
      <c r="L35" s="261">
        <v>2024</v>
      </c>
      <c r="M35" s="146" t="s">
        <v>21</v>
      </c>
      <c r="N35" s="146" t="s">
        <v>79</v>
      </c>
      <c r="O35" s="146" t="s">
        <v>736</v>
      </c>
      <c r="P35" s="320" t="s">
        <v>1693</v>
      </c>
      <c r="Q35" s="146" t="s">
        <v>737</v>
      </c>
      <c r="R35" s="146" t="s">
        <v>738</v>
      </c>
      <c r="S35" s="281">
        <v>2024</v>
      </c>
      <c r="T35" s="243" t="str">
        <f t="shared" si="0"/>
        <v>out/2024</v>
      </c>
      <c r="U35" s="161">
        <v>45595</v>
      </c>
      <c r="V35" s="161">
        <v>45961</v>
      </c>
      <c r="W35" s="148">
        <f>DATEDIF(Base_CTRs_Finalizados[[#This Row],[INÍCIO VIGÊNCIA]],Base_CTRs_Finalizados[[#This Row],[FINAL 
VIGÊNCIA]],"Y")</f>
        <v>1</v>
      </c>
      <c r="X35" s="146" t="s">
        <v>739</v>
      </c>
      <c r="Y35" s="146" t="s">
        <v>33</v>
      </c>
      <c r="Z35" s="146" t="s">
        <v>740</v>
      </c>
      <c r="AA35" s="146" t="s">
        <v>741</v>
      </c>
      <c r="AB35" s="236">
        <f>DATEDIF(Base_CTRs_Finalizados[[#This Row],[INÍCIO VIGÊNCIA]],Base_CTRs_Finalizados[[#This Row],[FINAL 
VIGÊNCIA]],"M")</f>
        <v>12</v>
      </c>
      <c r="AC35" s="203">
        <f t="shared" si="1"/>
        <v>996.66666666666663</v>
      </c>
      <c r="AD35" s="203">
        <v>11960</v>
      </c>
      <c r="AE35" s="150" t="s">
        <v>14</v>
      </c>
      <c r="AF35" s="150" t="s">
        <v>9</v>
      </c>
      <c r="AG35" s="150">
        <v>10014984</v>
      </c>
      <c r="AH35" s="150"/>
      <c r="AI35" s="150"/>
      <c r="AJ35" s="237">
        <f>_xlfn.DAYS(Base_CTRs_Finalizados[[#This Row],[INÍCIO VIGÊNCIA]],Base_CTRs_Finalizados[[#This Row],[Data inicio processo]])</f>
        <v>45595</v>
      </c>
      <c r="AK35" s="266" t="s">
        <v>157</v>
      </c>
      <c r="AL35" s="266"/>
      <c r="AM35" s="266"/>
      <c r="AO35" s="17" t="s">
        <v>1865</v>
      </c>
    </row>
    <row r="36" spans="2:41" ht="18" customHeight="1" thickTop="1" thickBot="1" x14ac:dyDescent="0.3">
      <c r="C36" s="242"/>
      <c r="D36" s="242"/>
      <c r="E36" s="136" t="s">
        <v>90</v>
      </c>
      <c r="F36" s="136" t="s">
        <v>46</v>
      </c>
      <c r="G36" s="136" t="s">
        <v>117</v>
      </c>
      <c r="H36" s="78" t="s">
        <v>4</v>
      </c>
      <c r="I36" s="78" t="s">
        <v>118</v>
      </c>
      <c r="J36" s="78" t="s">
        <v>119</v>
      </c>
      <c r="K36" s="78" t="s">
        <v>326</v>
      </c>
      <c r="L36" s="261">
        <v>2023</v>
      </c>
      <c r="M36" s="146" t="s">
        <v>41</v>
      </c>
      <c r="N36" s="146" t="s">
        <v>79</v>
      </c>
      <c r="O36" s="146" t="s">
        <v>120</v>
      </c>
      <c r="P36" s="320" t="s">
        <v>1881</v>
      </c>
      <c r="Q36" s="146" t="s">
        <v>376</v>
      </c>
      <c r="R36" s="146" t="s">
        <v>375</v>
      </c>
      <c r="S36" s="281">
        <v>2024</v>
      </c>
      <c r="T36" s="243" t="str">
        <f t="shared" si="0"/>
        <v>fev/2024</v>
      </c>
      <c r="U36" s="161" t="s">
        <v>112</v>
      </c>
      <c r="V36" s="161" t="s">
        <v>121</v>
      </c>
      <c r="W36" s="148">
        <f>DATEDIF(Base_CTRs_Finalizados[[#This Row],[INÍCIO VIGÊNCIA]],Base_CTRs_Finalizados[[#This Row],[FINAL 
VIGÊNCIA]],"Y")</f>
        <v>1</v>
      </c>
      <c r="X36" s="146" t="s">
        <v>122</v>
      </c>
      <c r="Y36" s="146" t="s">
        <v>33</v>
      </c>
      <c r="Z36" s="146" t="s">
        <v>123</v>
      </c>
      <c r="AA36" s="146" t="s">
        <v>124</v>
      </c>
      <c r="AB36" s="236">
        <f>DATEDIF(Base_CTRs_Finalizados[[#This Row],[INÍCIO VIGÊNCIA]],Base_CTRs_Finalizados[[#This Row],[FINAL 
VIGÊNCIA]],"M")</f>
        <v>12</v>
      </c>
      <c r="AC36" s="203">
        <v>77000</v>
      </c>
      <c r="AD36" s="203">
        <v>77000</v>
      </c>
      <c r="AE36" s="150" t="s">
        <v>14</v>
      </c>
      <c r="AF36" s="150" t="s">
        <v>9</v>
      </c>
      <c r="AG36" s="150">
        <v>10013923</v>
      </c>
      <c r="AH36" s="150" t="s">
        <v>327</v>
      </c>
      <c r="AI36" s="150"/>
      <c r="AJ36" s="237">
        <f>_xlfn.DAYS(Base_CTRs_Finalizados[[#This Row],[INÍCIO VIGÊNCIA]],Base_CTRs_Finalizados[[#This Row],[Data inicio processo]])</f>
        <v>45331</v>
      </c>
      <c r="AK36" s="266" t="s">
        <v>157</v>
      </c>
      <c r="AL36" s="266"/>
      <c r="AM36" s="266"/>
      <c r="AO36" s="17" t="s">
        <v>1865</v>
      </c>
    </row>
    <row r="37" spans="2:41" ht="18" customHeight="1" thickTop="1" thickBot="1" x14ac:dyDescent="0.3">
      <c r="C37" s="242"/>
      <c r="D37" s="242"/>
      <c r="E37" s="136" t="s">
        <v>90</v>
      </c>
      <c r="F37" s="136" t="s">
        <v>189</v>
      </c>
      <c r="G37" s="136" t="s">
        <v>194</v>
      </c>
      <c r="H37" s="78" t="s">
        <v>7</v>
      </c>
      <c r="I37" s="78" t="s">
        <v>191</v>
      </c>
      <c r="J37" s="78" t="s">
        <v>197</v>
      </c>
      <c r="K37" s="78" t="s">
        <v>198</v>
      </c>
      <c r="L37" s="261" t="s">
        <v>155</v>
      </c>
      <c r="M37" s="146" t="s">
        <v>20</v>
      </c>
      <c r="N37" s="146" t="s">
        <v>82</v>
      </c>
      <c r="O37" s="146" t="s">
        <v>427</v>
      </c>
      <c r="P37" s="343" t="s">
        <v>461</v>
      </c>
      <c r="Q37" s="146" t="s">
        <v>390</v>
      </c>
      <c r="R37" s="146" t="s">
        <v>388</v>
      </c>
      <c r="S37" s="281">
        <v>2024</v>
      </c>
      <c r="T37" s="243" t="str">
        <f t="shared" ref="T37:T68" si="2">TEXT(U37,"mmm/aaaa")</f>
        <v>abr/2024</v>
      </c>
      <c r="U37" s="161" t="s">
        <v>253</v>
      </c>
      <c r="V37" s="161">
        <v>49309</v>
      </c>
      <c r="W37" s="148">
        <f>DATEDIF(Base_CTRs_Finalizados[[#This Row],[INÍCIO VIGÊNCIA]],Base_CTRs_Finalizados[[#This Row],[FINAL 
VIGÊNCIA]],"Y")</f>
        <v>10</v>
      </c>
      <c r="X37" s="146" t="s">
        <v>199</v>
      </c>
      <c r="Y37" s="146" t="s">
        <v>33</v>
      </c>
      <c r="Z37" s="146" t="s">
        <v>195</v>
      </c>
      <c r="AA37" s="146" t="s">
        <v>196</v>
      </c>
      <c r="AB37" s="236">
        <f>DATEDIF(Base_CTRs_Finalizados[[#This Row],[INÍCIO VIGÊNCIA]],Base_CTRs_Finalizados[[#This Row],[FINAL 
VIGÊNCIA]],"M")</f>
        <v>128</v>
      </c>
      <c r="AC37" s="203">
        <f t="shared" ref="AC37:AC43" si="3">AD37/AB37</f>
        <v>0</v>
      </c>
      <c r="AD37" s="203">
        <v>0</v>
      </c>
      <c r="AE37" s="150" t="s">
        <v>14</v>
      </c>
      <c r="AF37" s="150" t="s">
        <v>9</v>
      </c>
      <c r="AG37" s="150">
        <v>10014567</v>
      </c>
      <c r="AH37" s="150"/>
      <c r="AI37" s="150"/>
      <c r="AJ37" s="237">
        <f>_xlfn.DAYS(Base_CTRs_Finalizados[[#This Row],[INÍCIO VIGÊNCIA]],Base_CTRs_Finalizados[[#This Row],[Data inicio processo]])</f>
        <v>45383</v>
      </c>
      <c r="AK37" s="266" t="s">
        <v>157</v>
      </c>
      <c r="AL37" s="266"/>
      <c r="AM37" s="266"/>
      <c r="AO37" s="17" t="s">
        <v>1865</v>
      </c>
    </row>
    <row r="38" spans="2:41" ht="18" customHeight="1" thickTop="1" thickBot="1" x14ac:dyDescent="0.3">
      <c r="C38" s="242"/>
      <c r="D38" s="242"/>
      <c r="E38" s="136" t="s">
        <v>90</v>
      </c>
      <c r="F38" s="136" t="s">
        <v>189</v>
      </c>
      <c r="G38" s="136" t="s">
        <v>190</v>
      </c>
      <c r="H38" s="78" t="s">
        <v>7</v>
      </c>
      <c r="I38" s="78" t="s">
        <v>191</v>
      </c>
      <c r="J38" s="78" t="s">
        <v>192</v>
      </c>
      <c r="K38" s="78" t="s">
        <v>193</v>
      </c>
      <c r="L38" s="261">
        <v>2024</v>
      </c>
      <c r="M38" s="146" t="s">
        <v>20</v>
      </c>
      <c r="N38" s="146" t="s">
        <v>82</v>
      </c>
      <c r="O38" s="146" t="s">
        <v>252</v>
      </c>
      <c r="P38" s="343" t="s">
        <v>461</v>
      </c>
      <c r="Q38" s="146" t="s">
        <v>389</v>
      </c>
      <c r="R38" s="146" t="s">
        <v>388</v>
      </c>
      <c r="S38" s="281">
        <v>2024</v>
      </c>
      <c r="T38" s="243" t="str">
        <f t="shared" si="2"/>
        <v>abr/2024</v>
      </c>
      <c r="U38" s="161">
        <v>45383</v>
      </c>
      <c r="V38" s="161">
        <v>49309</v>
      </c>
      <c r="W38" s="148">
        <f>DATEDIF(Base_CTRs_Finalizados[[#This Row],[INÍCIO VIGÊNCIA]],Base_CTRs_Finalizados[[#This Row],[FINAL 
VIGÊNCIA]],"Y")</f>
        <v>10</v>
      </c>
      <c r="X38" s="146" t="s">
        <v>199</v>
      </c>
      <c r="Y38" s="146" t="s">
        <v>33</v>
      </c>
      <c r="Z38" s="146" t="s">
        <v>195</v>
      </c>
      <c r="AA38" s="146" t="s">
        <v>196</v>
      </c>
      <c r="AB38" s="236">
        <f>DATEDIF(Base_CTRs_Finalizados[[#This Row],[INÍCIO VIGÊNCIA]],Base_CTRs_Finalizados[[#This Row],[FINAL 
VIGÊNCIA]],"M")</f>
        <v>128</v>
      </c>
      <c r="AC38" s="203">
        <f t="shared" si="3"/>
        <v>0</v>
      </c>
      <c r="AD38" s="203">
        <v>0</v>
      </c>
      <c r="AE38" s="150" t="s">
        <v>14</v>
      </c>
      <c r="AF38" s="150" t="s">
        <v>9</v>
      </c>
      <c r="AG38" s="150">
        <v>10014568</v>
      </c>
      <c r="AH38" s="150"/>
      <c r="AI38" s="150"/>
      <c r="AJ38" s="237">
        <f>_xlfn.DAYS(Base_CTRs_Finalizados[[#This Row],[INÍCIO VIGÊNCIA]],Base_CTRs_Finalizados[[#This Row],[Data inicio processo]])</f>
        <v>45383</v>
      </c>
      <c r="AK38" s="266" t="s">
        <v>157</v>
      </c>
      <c r="AL38" s="266"/>
      <c r="AM38" s="266"/>
      <c r="AO38" s="17" t="s">
        <v>1865</v>
      </c>
    </row>
    <row r="39" spans="2:41" ht="18" customHeight="1" thickTop="1" thickBot="1" x14ac:dyDescent="0.3">
      <c r="C39" s="242"/>
      <c r="D39" s="242"/>
      <c r="E39" s="136" t="s">
        <v>90</v>
      </c>
      <c r="F39" s="136" t="s">
        <v>51</v>
      </c>
      <c r="G39" s="136" t="s">
        <v>98</v>
      </c>
      <c r="H39" s="78" t="s">
        <v>5</v>
      </c>
      <c r="I39" s="78" t="s">
        <v>99</v>
      </c>
      <c r="J39" s="78" t="s">
        <v>100</v>
      </c>
      <c r="K39" s="78" t="s">
        <v>101</v>
      </c>
      <c r="L39" s="261" t="s">
        <v>102</v>
      </c>
      <c r="M39" s="146" t="s">
        <v>20</v>
      </c>
      <c r="N39" s="146" t="s">
        <v>79</v>
      </c>
      <c r="O39" s="146" t="s">
        <v>103</v>
      </c>
      <c r="P39" s="320" t="s">
        <v>1882</v>
      </c>
      <c r="Q39" s="146" t="s">
        <v>374</v>
      </c>
      <c r="R39" s="146" t="s">
        <v>373</v>
      </c>
      <c r="S39" s="281">
        <v>2024</v>
      </c>
      <c r="T39" s="243" t="str">
        <f t="shared" si="2"/>
        <v>fev/2024</v>
      </c>
      <c r="U39" s="161">
        <v>45328</v>
      </c>
      <c r="V39" s="161" t="s">
        <v>105</v>
      </c>
      <c r="W39" s="148">
        <f>DATEDIF(Base_CTRs_Finalizados[[#This Row],[INÍCIO VIGÊNCIA]],Base_CTRs_Finalizados[[#This Row],[FINAL 
VIGÊNCIA]],"Y")</f>
        <v>5</v>
      </c>
      <c r="X39" s="146" t="s">
        <v>106</v>
      </c>
      <c r="Y39" s="146" t="s">
        <v>1224</v>
      </c>
      <c r="Z39" s="146" t="s">
        <v>107</v>
      </c>
      <c r="AA39" s="146" t="s">
        <v>366</v>
      </c>
      <c r="AB39" s="236">
        <f>DATEDIF(Base_CTRs_Finalizados[[#This Row],[INÍCIO VIGÊNCIA]],Base_CTRs_Finalizados[[#This Row],[FINAL 
VIGÊNCIA]],"M")</f>
        <v>60</v>
      </c>
      <c r="AC39" s="203">
        <f t="shared" si="3"/>
        <v>5096.413333333333</v>
      </c>
      <c r="AD39" s="203">
        <v>305784.8</v>
      </c>
      <c r="AE39" s="150" t="s">
        <v>54</v>
      </c>
      <c r="AF39" s="150" t="s">
        <v>9</v>
      </c>
      <c r="AG39" s="150">
        <v>10012714</v>
      </c>
      <c r="AH39" s="150" t="s">
        <v>108</v>
      </c>
      <c r="AI39" s="150"/>
      <c r="AJ39" s="237">
        <f>_xlfn.DAYS(Base_CTRs_Finalizados[[#This Row],[INÍCIO VIGÊNCIA]],Base_CTRs_Finalizados[[#This Row],[Data inicio processo]])</f>
        <v>45328</v>
      </c>
      <c r="AK39" s="266" t="s">
        <v>627</v>
      </c>
      <c r="AL39" s="266"/>
      <c r="AM39" s="266"/>
      <c r="AO39" s="17" t="s">
        <v>1864</v>
      </c>
    </row>
    <row r="40" spans="2:41" ht="18" customHeight="1" thickTop="1" thickBot="1" x14ac:dyDescent="0.3">
      <c r="C40" s="242"/>
      <c r="D40" s="242"/>
      <c r="E40" s="136" t="s">
        <v>146</v>
      </c>
      <c r="F40" s="136" t="s">
        <v>48</v>
      </c>
      <c r="G40" s="136" t="s">
        <v>147</v>
      </c>
      <c r="H40" s="78" t="s">
        <v>5</v>
      </c>
      <c r="I40" s="78" t="s">
        <v>133</v>
      </c>
      <c r="J40" s="78" t="s">
        <v>148</v>
      </c>
      <c r="K40" s="78" t="s">
        <v>149</v>
      </c>
      <c r="L40" s="261" t="s">
        <v>102</v>
      </c>
      <c r="M40" s="146" t="s">
        <v>20</v>
      </c>
      <c r="N40" s="146" t="s">
        <v>79</v>
      </c>
      <c r="O40" s="146" t="s">
        <v>145</v>
      </c>
      <c r="P40" s="320" t="s">
        <v>1883</v>
      </c>
      <c r="Q40" s="146" t="s">
        <v>380</v>
      </c>
      <c r="R40" s="146" t="s">
        <v>379</v>
      </c>
      <c r="S40" s="281">
        <v>2024</v>
      </c>
      <c r="T40" s="243" t="str">
        <f t="shared" si="2"/>
        <v>jan/2024</v>
      </c>
      <c r="U40" s="161">
        <v>45320</v>
      </c>
      <c r="V40" s="161" t="s">
        <v>127</v>
      </c>
      <c r="W40" s="148">
        <f>DATEDIF(Base_CTRs_Finalizados[[#This Row],[INÍCIO VIGÊNCIA]],Base_CTRs_Finalizados[[#This Row],[FINAL 
VIGÊNCIA]],"Y")</f>
        <v>5</v>
      </c>
      <c r="X40" s="146" t="s">
        <v>144</v>
      </c>
      <c r="Y40" s="146" t="s">
        <v>33</v>
      </c>
      <c r="Z40" s="146" t="s">
        <v>141</v>
      </c>
      <c r="AA40" s="146" t="s">
        <v>142</v>
      </c>
      <c r="AB40" s="236">
        <f>DATEDIF(Base_CTRs_Finalizados[[#This Row],[INÍCIO VIGÊNCIA]],Base_CTRs_Finalizados[[#This Row],[FINAL 
VIGÊNCIA]],"M")</f>
        <v>60</v>
      </c>
      <c r="AC40" s="203">
        <f t="shared" si="3"/>
        <v>24749.05</v>
      </c>
      <c r="AD40" s="203">
        <v>1484943</v>
      </c>
      <c r="AE40" s="150" t="s">
        <v>14</v>
      </c>
      <c r="AF40" s="150" t="s">
        <v>9</v>
      </c>
      <c r="AG40" s="150">
        <v>10013860</v>
      </c>
      <c r="AH40" s="150" t="s">
        <v>143</v>
      </c>
      <c r="AI40" s="150"/>
      <c r="AJ40" s="237">
        <f>_xlfn.DAYS(Base_CTRs_Finalizados[[#This Row],[INÍCIO VIGÊNCIA]],Base_CTRs_Finalizados[[#This Row],[Data inicio processo]])</f>
        <v>45320</v>
      </c>
      <c r="AK40" s="266" t="s">
        <v>628</v>
      </c>
      <c r="AL40" s="266"/>
      <c r="AM40" s="266"/>
      <c r="AO40" s="17" t="s">
        <v>1864</v>
      </c>
    </row>
    <row r="41" spans="2:41" ht="18" customHeight="1" thickTop="1" thickBot="1" x14ac:dyDescent="0.3">
      <c r="C41" s="242"/>
      <c r="D41" s="242"/>
      <c r="E41" s="136" t="s">
        <v>90</v>
      </c>
      <c r="F41" s="136" t="s">
        <v>78</v>
      </c>
      <c r="G41" s="136" t="s">
        <v>109</v>
      </c>
      <c r="H41" s="78" t="s">
        <v>11</v>
      </c>
      <c r="I41" s="78" t="s">
        <v>97</v>
      </c>
      <c r="J41" s="78" t="s">
        <v>110</v>
      </c>
      <c r="K41" s="78">
        <v>0</v>
      </c>
      <c r="L41" s="261">
        <v>2023</v>
      </c>
      <c r="M41" s="146" t="s">
        <v>20</v>
      </c>
      <c r="N41" s="146" t="s">
        <v>79</v>
      </c>
      <c r="O41" s="146" t="s">
        <v>111</v>
      </c>
      <c r="P41" s="320" t="s">
        <v>1884</v>
      </c>
      <c r="Q41" s="146" t="s">
        <v>372</v>
      </c>
      <c r="R41" s="146" t="s">
        <v>369</v>
      </c>
      <c r="S41" s="281">
        <v>2024</v>
      </c>
      <c r="T41" s="243" t="str">
        <f t="shared" si="2"/>
        <v>fev/2024</v>
      </c>
      <c r="U41" s="161">
        <v>45331</v>
      </c>
      <c r="V41" s="161" t="s">
        <v>113</v>
      </c>
      <c r="W41" s="148">
        <f>DATEDIF(Base_CTRs_Finalizados[[#This Row],[INÍCIO VIGÊNCIA]],Base_CTRs_Finalizados[[#This Row],[FINAL 
VIGÊNCIA]],"Y")</f>
        <v>0</v>
      </c>
      <c r="X41" s="146" t="s">
        <v>114</v>
      </c>
      <c r="Y41" s="146" t="s">
        <v>28</v>
      </c>
      <c r="Z41" s="146" t="s">
        <v>115</v>
      </c>
      <c r="AA41" s="146" t="s">
        <v>275</v>
      </c>
      <c r="AB41" s="236">
        <f>DATEDIF(Base_CTRs_Finalizados[[#This Row],[INÍCIO VIGÊNCIA]],Base_CTRs_Finalizados[[#This Row],[FINAL 
VIGÊNCIA]],"M")</f>
        <v>6</v>
      </c>
      <c r="AC41" s="203">
        <f t="shared" si="3"/>
        <v>39222.633333333331</v>
      </c>
      <c r="AD41" s="203">
        <v>235335.8</v>
      </c>
      <c r="AE41" s="150" t="s">
        <v>16</v>
      </c>
      <c r="AF41" s="150" t="s">
        <v>9</v>
      </c>
      <c r="AG41" s="150">
        <v>10014028</v>
      </c>
      <c r="AH41" s="150" t="s">
        <v>116</v>
      </c>
      <c r="AI41" s="150"/>
      <c r="AJ41" s="237">
        <f>_xlfn.DAYS(Base_CTRs_Finalizados[[#This Row],[INÍCIO VIGÊNCIA]],Base_CTRs_Finalizados[[#This Row],[Data inicio processo]])</f>
        <v>45331</v>
      </c>
      <c r="AK41" s="266" t="s">
        <v>1230</v>
      </c>
      <c r="AL41" s="266"/>
      <c r="AM41" s="266"/>
      <c r="AO41" s="17" t="s">
        <v>1865</v>
      </c>
    </row>
    <row r="42" spans="2:41" ht="18" customHeight="1" thickTop="1" thickBot="1" x14ac:dyDescent="0.3">
      <c r="C42" s="242"/>
      <c r="D42" s="242"/>
      <c r="E42" s="136" t="s">
        <v>90</v>
      </c>
      <c r="F42" s="136" t="s">
        <v>46</v>
      </c>
      <c r="G42" s="136" t="s">
        <v>265</v>
      </c>
      <c r="H42" s="78" t="s">
        <v>5</v>
      </c>
      <c r="I42" s="78" t="s">
        <v>255</v>
      </c>
      <c r="J42" s="78" t="s">
        <v>256</v>
      </c>
      <c r="K42" s="78" t="s">
        <v>266</v>
      </c>
      <c r="L42" s="261" t="s">
        <v>155</v>
      </c>
      <c r="M42" s="146" t="s">
        <v>20</v>
      </c>
      <c r="N42" s="146" t="s">
        <v>79</v>
      </c>
      <c r="O42" s="146" t="s">
        <v>258</v>
      </c>
      <c r="P42" s="320" t="s">
        <v>1669</v>
      </c>
      <c r="Q42" s="146" t="s">
        <v>403</v>
      </c>
      <c r="R42" s="146" t="s">
        <v>404</v>
      </c>
      <c r="S42" s="281">
        <v>2024</v>
      </c>
      <c r="T42" s="243" t="str">
        <f t="shared" si="2"/>
        <v>mar/2024</v>
      </c>
      <c r="U42" s="161">
        <v>45352</v>
      </c>
      <c r="V42" s="161" t="s">
        <v>260</v>
      </c>
      <c r="W42" s="148">
        <f>DATEDIF(Base_CTRs_Finalizados[[#This Row],[INÍCIO VIGÊNCIA]],Base_CTRs_Finalizados[[#This Row],[FINAL 
VIGÊNCIA]],"Y")</f>
        <v>2</v>
      </c>
      <c r="X42" s="146" t="s">
        <v>264</v>
      </c>
      <c r="Y42" s="146" t="s">
        <v>1224</v>
      </c>
      <c r="Z42" s="146" t="s">
        <v>262</v>
      </c>
      <c r="AA42" s="146" t="s">
        <v>367</v>
      </c>
      <c r="AB42" s="236">
        <f>DATEDIF(Base_CTRs_Finalizados[[#This Row],[INÍCIO VIGÊNCIA]],Base_CTRs_Finalizados[[#This Row],[FINAL 
VIGÊNCIA]],"M")</f>
        <v>24</v>
      </c>
      <c r="AC42" s="203">
        <f t="shared" si="3"/>
        <v>86284.22083333334</v>
      </c>
      <c r="AD42" s="203">
        <v>2070821.3</v>
      </c>
      <c r="AE42" s="150" t="s">
        <v>54</v>
      </c>
      <c r="AF42" s="150" t="s">
        <v>9</v>
      </c>
      <c r="AG42" s="150">
        <v>10014030</v>
      </c>
      <c r="AH42" s="150"/>
      <c r="AI42" s="150"/>
      <c r="AJ42" s="237">
        <f>_xlfn.DAYS(Base_CTRs_Finalizados[[#This Row],[INÍCIO VIGÊNCIA]],Base_CTRs_Finalizados[[#This Row],[Data inicio processo]])</f>
        <v>45352</v>
      </c>
      <c r="AK42" s="266" t="s">
        <v>629</v>
      </c>
      <c r="AL42" s="266"/>
      <c r="AM42" s="266"/>
      <c r="AO42" s="17" t="s">
        <v>1864</v>
      </c>
    </row>
    <row r="43" spans="2:41" ht="18" customHeight="1" thickTop="1" thickBot="1" x14ac:dyDescent="0.3">
      <c r="C43" s="242"/>
      <c r="D43" s="242"/>
      <c r="E43" s="136" t="s">
        <v>90</v>
      </c>
      <c r="F43" s="136" t="s">
        <v>46</v>
      </c>
      <c r="G43" s="136" t="s">
        <v>254</v>
      </c>
      <c r="H43" s="78" t="s">
        <v>5</v>
      </c>
      <c r="I43" s="78" t="s">
        <v>255</v>
      </c>
      <c r="J43" s="78" t="s">
        <v>256</v>
      </c>
      <c r="K43" s="78" t="s">
        <v>257</v>
      </c>
      <c r="L43" s="261" t="s">
        <v>155</v>
      </c>
      <c r="M43" s="146" t="s">
        <v>20</v>
      </c>
      <c r="N43" s="146" t="s">
        <v>79</v>
      </c>
      <c r="O43" s="146" t="s">
        <v>263</v>
      </c>
      <c r="P43" s="320" t="s">
        <v>1670</v>
      </c>
      <c r="Q43" s="146" t="s">
        <v>405</v>
      </c>
      <c r="R43" s="146" t="s">
        <v>404</v>
      </c>
      <c r="S43" s="281">
        <v>2024</v>
      </c>
      <c r="T43" s="243" t="str">
        <f t="shared" si="2"/>
        <v>mar/2024</v>
      </c>
      <c r="U43" s="161" t="s">
        <v>259</v>
      </c>
      <c r="V43" s="161" t="s">
        <v>260</v>
      </c>
      <c r="W43" s="148">
        <f>DATEDIF(Base_CTRs_Finalizados[[#This Row],[INÍCIO VIGÊNCIA]],Base_CTRs_Finalizados[[#This Row],[FINAL 
VIGÊNCIA]],"Y")</f>
        <v>2</v>
      </c>
      <c r="X43" s="146" t="s">
        <v>261</v>
      </c>
      <c r="Y43" s="146" t="s">
        <v>1224</v>
      </c>
      <c r="Z43" s="146" t="s">
        <v>262</v>
      </c>
      <c r="AA43" s="146" t="s">
        <v>367</v>
      </c>
      <c r="AB43" s="236">
        <f>DATEDIF(Base_CTRs_Finalizados[[#This Row],[INÍCIO VIGÊNCIA]],Base_CTRs_Finalizados[[#This Row],[FINAL 
VIGÊNCIA]],"M")</f>
        <v>24</v>
      </c>
      <c r="AC43" s="203">
        <f t="shared" si="3"/>
        <v>275975.24874999997</v>
      </c>
      <c r="AD43" s="203">
        <v>6623405.9699999997</v>
      </c>
      <c r="AE43" s="150" t="s">
        <v>54</v>
      </c>
      <c r="AF43" s="150" t="s">
        <v>9</v>
      </c>
      <c r="AG43" s="150">
        <v>10014525</v>
      </c>
      <c r="AH43" s="150"/>
      <c r="AI43" s="150"/>
      <c r="AJ43" s="237">
        <f>_xlfn.DAYS(Base_CTRs_Finalizados[[#This Row],[INÍCIO VIGÊNCIA]],Base_CTRs_Finalizados[[#This Row],[Data inicio processo]])</f>
        <v>45352</v>
      </c>
      <c r="AK43" s="266" t="s">
        <v>630</v>
      </c>
      <c r="AL43" s="266"/>
      <c r="AM43" s="266"/>
      <c r="AO43" s="17" t="s">
        <v>1864</v>
      </c>
    </row>
    <row r="44" spans="2:41" ht="18" customHeight="1" thickTop="1" thickBot="1" x14ac:dyDescent="0.3">
      <c r="C44" s="242"/>
      <c r="D44" s="242"/>
      <c r="E44" s="136" t="s">
        <v>90</v>
      </c>
      <c r="F44" s="136" t="s">
        <v>200</v>
      </c>
      <c r="G44" s="136" t="s">
        <v>201</v>
      </c>
      <c r="H44" s="78" t="s">
        <v>7</v>
      </c>
      <c r="I44" s="78" t="s">
        <v>202</v>
      </c>
      <c r="J44" s="78" t="s">
        <v>203</v>
      </c>
      <c r="K44" s="78" t="s">
        <v>204</v>
      </c>
      <c r="L44" s="261">
        <v>2023</v>
      </c>
      <c r="M44" s="146" t="s">
        <v>20</v>
      </c>
      <c r="N44" s="146" t="s">
        <v>79</v>
      </c>
      <c r="O44" s="146" t="s">
        <v>441</v>
      </c>
      <c r="P44" s="320" t="s">
        <v>1885</v>
      </c>
      <c r="Q44" s="146" t="s">
        <v>392</v>
      </c>
      <c r="R44" s="146" t="s">
        <v>391</v>
      </c>
      <c r="S44" s="281">
        <v>2024</v>
      </c>
      <c r="T44" s="243" t="str">
        <f t="shared" si="2"/>
        <v>abr/2024</v>
      </c>
      <c r="U44" s="161">
        <v>45386</v>
      </c>
      <c r="V44" s="161">
        <v>46847</v>
      </c>
      <c r="W44" s="148">
        <f>DATEDIF(Base_CTRs_Finalizados[[#This Row],[INÍCIO VIGÊNCIA]],Base_CTRs_Finalizados[[#This Row],[FINAL 
VIGÊNCIA]],"Y")</f>
        <v>4</v>
      </c>
      <c r="X44" s="146" t="s">
        <v>206</v>
      </c>
      <c r="Y44" s="146" t="s">
        <v>33</v>
      </c>
      <c r="Z44" s="146" t="s">
        <v>207</v>
      </c>
      <c r="AA44" s="146" t="s">
        <v>208</v>
      </c>
      <c r="AB44" s="236">
        <f>DATEDIF(Base_CTRs_Finalizados[[#This Row],[INÍCIO VIGÊNCIA]],Base_CTRs_Finalizados[[#This Row],[FINAL 
VIGÊNCIA]],"M")</f>
        <v>48</v>
      </c>
      <c r="AC44" s="203">
        <v>17570</v>
      </c>
      <c r="AD44" s="203">
        <v>17570</v>
      </c>
      <c r="AE44" s="150" t="s">
        <v>14</v>
      </c>
      <c r="AF44" s="150" t="s">
        <v>9</v>
      </c>
      <c r="AG44" s="150">
        <v>10013948</v>
      </c>
      <c r="AH44" s="150" t="s">
        <v>209</v>
      </c>
      <c r="AI44" s="150"/>
      <c r="AJ44" s="237">
        <f>_xlfn.DAYS(Base_CTRs_Finalizados[[#This Row],[INÍCIO VIGÊNCIA]],Base_CTRs_Finalizados[[#This Row],[Data inicio processo]])</f>
        <v>45386</v>
      </c>
      <c r="AK44" s="266" t="s">
        <v>157</v>
      </c>
      <c r="AL44" s="266"/>
      <c r="AM44" s="266"/>
      <c r="AO44" s="17" t="s">
        <v>1865</v>
      </c>
    </row>
    <row r="45" spans="2:41" ht="18" customHeight="1" thickTop="1" thickBot="1" x14ac:dyDescent="0.3">
      <c r="C45" s="242"/>
      <c r="D45" s="242"/>
      <c r="E45" s="136" t="s">
        <v>90</v>
      </c>
      <c r="F45" s="136" t="s">
        <v>78</v>
      </c>
      <c r="G45" s="136" t="s">
        <v>632</v>
      </c>
      <c r="H45" s="78" t="s">
        <v>5</v>
      </c>
      <c r="I45" s="78" t="s">
        <v>268</v>
      </c>
      <c r="J45" s="78" t="s">
        <v>269</v>
      </c>
      <c r="K45" s="78" t="s">
        <v>270</v>
      </c>
      <c r="L45" s="261" t="s">
        <v>155</v>
      </c>
      <c r="M45" s="146" t="s">
        <v>20</v>
      </c>
      <c r="N45" s="146" t="s">
        <v>79</v>
      </c>
      <c r="O45" s="146" t="s">
        <v>271</v>
      </c>
      <c r="P45" s="320" t="s">
        <v>1886</v>
      </c>
      <c r="Q45" s="146" t="s">
        <v>406</v>
      </c>
      <c r="R45" s="146" t="s">
        <v>370</v>
      </c>
      <c r="S45" s="281">
        <v>2024</v>
      </c>
      <c r="T45" s="243" t="str">
        <f t="shared" si="2"/>
        <v>mar/2024</v>
      </c>
      <c r="U45" s="161" t="s">
        <v>259</v>
      </c>
      <c r="V45" s="161" t="s">
        <v>272</v>
      </c>
      <c r="W45" s="148">
        <f>DATEDIF(Base_CTRs_Finalizados[[#This Row],[INÍCIO VIGÊNCIA]],Base_CTRs_Finalizados[[#This Row],[FINAL 
VIGÊNCIA]],"Y")</f>
        <v>3</v>
      </c>
      <c r="X45" s="146" t="s">
        <v>273</v>
      </c>
      <c r="Y45" s="146" t="s">
        <v>28</v>
      </c>
      <c r="Z45" s="146" t="s">
        <v>274</v>
      </c>
      <c r="AA45" s="146" t="s">
        <v>275</v>
      </c>
      <c r="AB45" s="236">
        <f>DATEDIF(Base_CTRs_Finalizados[[#This Row],[INÍCIO VIGÊNCIA]],Base_CTRs_Finalizados[[#This Row],[FINAL 
VIGÊNCIA]],"M")</f>
        <v>36</v>
      </c>
      <c r="AC45" s="203">
        <f t="shared" ref="AC45:AC109" si="4">AD45/AB45</f>
        <v>10233.222222222223</v>
      </c>
      <c r="AD45" s="203">
        <v>368396</v>
      </c>
      <c r="AE45" s="150" t="s">
        <v>16</v>
      </c>
      <c r="AF45" s="150" t="s">
        <v>9</v>
      </c>
      <c r="AG45" s="150">
        <v>10014465</v>
      </c>
      <c r="AH45" s="150"/>
      <c r="AI45" s="150"/>
      <c r="AJ45" s="237">
        <f>_xlfn.DAYS(Base_CTRs_Finalizados[[#This Row],[INÍCIO VIGÊNCIA]],Base_CTRs_Finalizados[[#This Row],[Data inicio processo]])</f>
        <v>45352</v>
      </c>
      <c r="AK45" s="266" t="s">
        <v>631</v>
      </c>
      <c r="AL45" s="266"/>
      <c r="AM45" s="266"/>
      <c r="AO45" s="17" t="s">
        <v>1864</v>
      </c>
    </row>
    <row r="46" spans="2:41" ht="18" customHeight="1" thickTop="1" thickBot="1" x14ac:dyDescent="0.3">
      <c r="C46" s="242"/>
      <c r="D46" s="242"/>
      <c r="E46" s="136" t="s">
        <v>90</v>
      </c>
      <c r="F46" s="136" t="s">
        <v>78</v>
      </c>
      <c r="G46" s="136" t="s">
        <v>276</v>
      </c>
      <c r="H46" s="78" t="s">
        <v>5</v>
      </c>
      <c r="I46" s="78" t="s">
        <v>277</v>
      </c>
      <c r="J46" s="78" t="s">
        <v>278</v>
      </c>
      <c r="K46" s="78" t="s">
        <v>279</v>
      </c>
      <c r="L46" s="261">
        <v>2024</v>
      </c>
      <c r="M46" s="146" t="s">
        <v>20</v>
      </c>
      <c r="N46" s="146" t="s">
        <v>79</v>
      </c>
      <c r="O46" s="146" t="s">
        <v>280</v>
      </c>
      <c r="P46" s="320" t="s">
        <v>1671</v>
      </c>
      <c r="Q46" s="146" t="s">
        <v>407</v>
      </c>
      <c r="R46" s="146" t="s">
        <v>408</v>
      </c>
      <c r="S46" s="281">
        <v>2024</v>
      </c>
      <c r="T46" s="243" t="str">
        <f t="shared" si="2"/>
        <v>mar/2024</v>
      </c>
      <c r="U46" s="161">
        <v>45357</v>
      </c>
      <c r="V46" s="161">
        <v>45722</v>
      </c>
      <c r="W46" s="148">
        <f>DATEDIF(Base_CTRs_Finalizados[[#This Row],[INÍCIO VIGÊNCIA]],Base_CTRs_Finalizados[[#This Row],[FINAL 
VIGÊNCIA]],"Y")</f>
        <v>1</v>
      </c>
      <c r="X46" s="146" t="s">
        <v>281</v>
      </c>
      <c r="Y46" s="146" t="s">
        <v>28</v>
      </c>
      <c r="Z46" s="146" t="s">
        <v>282</v>
      </c>
      <c r="AA46" s="146" t="s">
        <v>283</v>
      </c>
      <c r="AB46" s="236">
        <f>DATEDIF(Base_CTRs_Finalizados[[#This Row],[INÍCIO VIGÊNCIA]],Base_CTRs_Finalizados[[#This Row],[FINAL 
VIGÊNCIA]],"M")</f>
        <v>12</v>
      </c>
      <c r="AC46" s="203">
        <f t="shared" si="4"/>
        <v>4400</v>
      </c>
      <c r="AD46" s="203">
        <v>52800</v>
      </c>
      <c r="AE46" s="150" t="s">
        <v>16</v>
      </c>
      <c r="AF46" s="150" t="s">
        <v>9</v>
      </c>
      <c r="AG46" s="150">
        <v>10014464</v>
      </c>
      <c r="AH46" s="150"/>
      <c r="AI46" s="150"/>
      <c r="AJ46" s="237">
        <f>_xlfn.DAYS(Base_CTRs_Finalizados[[#This Row],[INÍCIO VIGÊNCIA]],Base_CTRs_Finalizados[[#This Row],[Data inicio processo]])</f>
        <v>45357</v>
      </c>
      <c r="AK46" s="266" t="s">
        <v>631</v>
      </c>
      <c r="AL46" s="266"/>
      <c r="AM46" s="266"/>
      <c r="AO46" s="17" t="s">
        <v>1864</v>
      </c>
    </row>
    <row r="47" spans="2:41" ht="18.75" customHeight="1" thickTop="1" thickBot="1" x14ac:dyDescent="0.3">
      <c r="C47" s="242"/>
      <c r="D47" s="242"/>
      <c r="E47" s="136" t="s">
        <v>90</v>
      </c>
      <c r="F47" s="136" t="s">
        <v>73</v>
      </c>
      <c r="G47" s="136" t="s">
        <v>309</v>
      </c>
      <c r="H47" s="78" t="s">
        <v>5</v>
      </c>
      <c r="I47" s="78" t="s">
        <v>310</v>
      </c>
      <c r="J47" s="78" t="s">
        <v>311</v>
      </c>
      <c r="K47" s="78" t="s">
        <v>312</v>
      </c>
      <c r="L47" s="261">
        <v>2024</v>
      </c>
      <c r="M47" s="146" t="s">
        <v>20</v>
      </c>
      <c r="N47" s="146" t="s">
        <v>79</v>
      </c>
      <c r="O47" s="146" t="s">
        <v>313</v>
      </c>
      <c r="P47" s="320" t="s">
        <v>1887</v>
      </c>
      <c r="Q47" s="146" t="s">
        <v>416</v>
      </c>
      <c r="R47" s="146" t="s">
        <v>415</v>
      </c>
      <c r="S47" s="281">
        <v>2024</v>
      </c>
      <c r="T47" s="243" t="str">
        <f t="shared" si="2"/>
        <v>mai/2024</v>
      </c>
      <c r="U47" s="161">
        <v>45415</v>
      </c>
      <c r="V47" s="161">
        <v>47241</v>
      </c>
      <c r="W47" s="148">
        <f>DATEDIF(Base_CTRs_Finalizados[[#This Row],[INÍCIO VIGÊNCIA]],Base_CTRs_Finalizados[[#This Row],[FINAL 
VIGÊNCIA]],"Y")</f>
        <v>5</v>
      </c>
      <c r="X47" s="146" t="s">
        <v>314</v>
      </c>
      <c r="Y47" s="146" t="s">
        <v>33</v>
      </c>
      <c r="Z47" s="146" t="s">
        <v>315</v>
      </c>
      <c r="AA47" s="146" t="s">
        <v>316</v>
      </c>
      <c r="AB47" s="236">
        <f>DATEDIF(Base_CTRs_Finalizados[[#This Row],[INÍCIO VIGÊNCIA]],Base_CTRs_Finalizados[[#This Row],[FINAL 
VIGÊNCIA]],"M")</f>
        <v>60</v>
      </c>
      <c r="AC47" s="203">
        <f t="shared" si="4"/>
        <v>6912.5</v>
      </c>
      <c r="AD47" s="203">
        <v>414750</v>
      </c>
      <c r="AE47" s="150" t="s">
        <v>14</v>
      </c>
      <c r="AF47" s="150" t="s">
        <v>9</v>
      </c>
      <c r="AG47" s="150">
        <v>10011982</v>
      </c>
      <c r="AH47" s="150"/>
      <c r="AI47" s="150"/>
      <c r="AJ47" s="237">
        <f>_xlfn.DAYS(Base_CTRs_Finalizados[[#This Row],[INÍCIO VIGÊNCIA]],Base_CTRs_Finalizados[[#This Row],[Data inicio processo]])</f>
        <v>45415</v>
      </c>
      <c r="AK47" s="266" t="s">
        <v>635</v>
      </c>
      <c r="AL47" s="266"/>
      <c r="AM47" s="266"/>
      <c r="AO47" s="17" t="s">
        <v>1864</v>
      </c>
    </row>
    <row r="48" spans="2:41" ht="18" customHeight="1" thickTop="1" thickBot="1" x14ac:dyDescent="0.3">
      <c r="C48" s="242"/>
      <c r="D48" s="242"/>
      <c r="E48" s="136" t="s">
        <v>90</v>
      </c>
      <c r="F48" s="136" t="s">
        <v>55</v>
      </c>
      <c r="G48" s="136" t="s">
        <v>284</v>
      </c>
      <c r="H48" s="78" t="s">
        <v>5</v>
      </c>
      <c r="I48" s="78" t="s">
        <v>285</v>
      </c>
      <c r="J48" s="78" t="s">
        <v>286</v>
      </c>
      <c r="K48" s="78" t="s">
        <v>287</v>
      </c>
      <c r="L48" s="261" t="s">
        <v>155</v>
      </c>
      <c r="M48" s="146" t="s">
        <v>20</v>
      </c>
      <c r="N48" s="146" t="s">
        <v>79</v>
      </c>
      <c r="O48" s="146" t="s">
        <v>288</v>
      </c>
      <c r="P48" s="320" t="s">
        <v>1888</v>
      </c>
      <c r="Q48" s="146" t="s">
        <v>410</v>
      </c>
      <c r="R48" s="146" t="s">
        <v>409</v>
      </c>
      <c r="S48" s="281">
        <v>2024</v>
      </c>
      <c r="T48" s="243" t="str">
        <f t="shared" si="2"/>
        <v>abr/2024</v>
      </c>
      <c r="U48" s="161" t="s">
        <v>289</v>
      </c>
      <c r="V48" s="161" t="s">
        <v>290</v>
      </c>
      <c r="W48" s="148">
        <f>DATEDIF(Base_CTRs_Finalizados[[#This Row],[INÍCIO VIGÊNCIA]],Base_CTRs_Finalizados[[#This Row],[FINAL 
VIGÊNCIA]],"Y")</f>
        <v>3</v>
      </c>
      <c r="X48" s="146" t="s">
        <v>291</v>
      </c>
      <c r="Y48" s="146" t="s">
        <v>28</v>
      </c>
      <c r="Z48" s="146" t="s">
        <v>292</v>
      </c>
      <c r="AA48" s="146" t="s">
        <v>293</v>
      </c>
      <c r="AB48" s="236">
        <f>DATEDIF(Base_CTRs_Finalizados[[#This Row],[INÍCIO VIGÊNCIA]],Base_CTRs_Finalizados[[#This Row],[FINAL 
VIGÊNCIA]],"M")</f>
        <v>36</v>
      </c>
      <c r="AC48" s="203">
        <f t="shared" si="4"/>
        <v>2254.8055555555557</v>
      </c>
      <c r="AD48" s="203">
        <v>81173</v>
      </c>
      <c r="AE48" s="150" t="s">
        <v>16</v>
      </c>
      <c r="AF48" s="150" t="s">
        <v>9</v>
      </c>
      <c r="AG48" s="150">
        <v>10013758</v>
      </c>
      <c r="AH48" s="150"/>
      <c r="AI48" s="150"/>
      <c r="AJ48" s="237">
        <f>_xlfn.DAYS(Base_CTRs_Finalizados[[#This Row],[INÍCIO VIGÊNCIA]],Base_CTRs_Finalizados[[#This Row],[Data inicio processo]])</f>
        <v>45397</v>
      </c>
      <c r="AK48" s="266" t="s">
        <v>633</v>
      </c>
      <c r="AL48" s="266"/>
      <c r="AM48" s="266"/>
      <c r="AO48" s="17" t="s">
        <v>1864</v>
      </c>
    </row>
    <row r="49" spans="2:41" s="84" customFormat="1" ht="18" customHeight="1" thickTop="1" thickBot="1" x14ac:dyDescent="0.3">
      <c r="B49" s="42"/>
      <c r="C49" s="242"/>
      <c r="D49" s="242"/>
      <c r="E49" s="136" t="s">
        <v>90</v>
      </c>
      <c r="F49" s="136" t="s">
        <v>73</v>
      </c>
      <c r="G49" s="136" t="s">
        <v>294</v>
      </c>
      <c r="H49" s="78" t="s">
        <v>11</v>
      </c>
      <c r="I49" s="78" t="s">
        <v>295</v>
      </c>
      <c r="J49" s="78" t="s">
        <v>296</v>
      </c>
      <c r="K49" s="78" t="s">
        <v>297</v>
      </c>
      <c r="L49" s="261">
        <v>2024</v>
      </c>
      <c r="M49" s="146" t="s">
        <v>20</v>
      </c>
      <c r="N49" s="146" t="s">
        <v>79</v>
      </c>
      <c r="O49" s="146" t="s">
        <v>298</v>
      </c>
      <c r="P49" s="320" t="s">
        <v>1889</v>
      </c>
      <c r="Q49" s="146" t="s">
        <v>412</v>
      </c>
      <c r="R49" s="146" t="s">
        <v>411</v>
      </c>
      <c r="S49" s="281">
        <v>2024</v>
      </c>
      <c r="T49" s="243" t="str">
        <f t="shared" si="2"/>
        <v>abr/2024</v>
      </c>
      <c r="U49" s="161">
        <v>45406</v>
      </c>
      <c r="V49" s="161">
        <v>45771</v>
      </c>
      <c r="W49" s="148">
        <f>DATEDIF(Base_CTRs_Finalizados[[#This Row],[INÍCIO VIGÊNCIA]],Base_CTRs_Finalizados[[#This Row],[FINAL 
VIGÊNCIA]],"Y")</f>
        <v>1</v>
      </c>
      <c r="X49" s="146" t="s">
        <v>299</v>
      </c>
      <c r="Y49" s="146" t="s">
        <v>33</v>
      </c>
      <c r="Z49" s="146" t="s">
        <v>300</v>
      </c>
      <c r="AA49" s="146" t="s">
        <v>301</v>
      </c>
      <c r="AB49" s="236">
        <f>DATEDIF(Base_CTRs_Finalizados[[#This Row],[INÍCIO VIGÊNCIA]],Base_CTRs_Finalizados[[#This Row],[FINAL 
VIGÊNCIA]],"M")</f>
        <v>12</v>
      </c>
      <c r="AC49" s="203">
        <f t="shared" si="4"/>
        <v>9234.1666666666661</v>
      </c>
      <c r="AD49" s="203">
        <v>110810</v>
      </c>
      <c r="AE49" s="150" t="s">
        <v>14</v>
      </c>
      <c r="AF49" s="150" t="s">
        <v>9</v>
      </c>
      <c r="AG49" s="150">
        <v>10014474</v>
      </c>
      <c r="AH49" s="150"/>
      <c r="AI49" s="150"/>
      <c r="AJ49" s="237">
        <f>_xlfn.DAYS(Base_CTRs_Finalizados[[#This Row],[INÍCIO VIGÊNCIA]],Base_CTRs_Finalizados[[#This Row],[Data inicio processo]])</f>
        <v>45406</v>
      </c>
      <c r="AK49" s="266" t="s">
        <v>1231</v>
      </c>
      <c r="AL49" s="266"/>
      <c r="AM49" s="266"/>
      <c r="AO49" s="17" t="s">
        <v>1865</v>
      </c>
    </row>
    <row r="50" spans="2:41" ht="18" customHeight="1" thickTop="1" thickBot="1" x14ac:dyDescent="0.3">
      <c r="C50" s="242"/>
      <c r="D50" s="242"/>
      <c r="E50" s="136" t="s">
        <v>89</v>
      </c>
      <c r="F50" s="136" t="s">
        <v>336</v>
      </c>
      <c r="G50" s="136" t="s">
        <v>328</v>
      </c>
      <c r="H50" s="78" t="s">
        <v>4</v>
      </c>
      <c r="I50" s="78" t="s">
        <v>329</v>
      </c>
      <c r="J50" s="78" t="s">
        <v>330</v>
      </c>
      <c r="K50" s="78" t="s">
        <v>331</v>
      </c>
      <c r="L50" s="261">
        <v>2024</v>
      </c>
      <c r="M50" s="146" t="s">
        <v>20</v>
      </c>
      <c r="N50" s="146" t="s">
        <v>79</v>
      </c>
      <c r="O50" s="146" t="s">
        <v>332</v>
      </c>
      <c r="P50" s="320" t="s">
        <v>1890</v>
      </c>
      <c r="Q50" s="146" t="s">
        <v>419</v>
      </c>
      <c r="R50" s="146" t="s">
        <v>418</v>
      </c>
      <c r="S50" s="281">
        <v>2024</v>
      </c>
      <c r="T50" s="243" t="str">
        <f t="shared" si="2"/>
        <v>mai/2024</v>
      </c>
      <c r="U50" s="161">
        <v>45421</v>
      </c>
      <c r="V50" s="161">
        <v>45786</v>
      </c>
      <c r="W50" s="148">
        <f>DATEDIF(Base_CTRs_Finalizados[[#This Row],[INÍCIO VIGÊNCIA]],Base_CTRs_Finalizados[[#This Row],[FINAL 
VIGÊNCIA]],"Y")</f>
        <v>1</v>
      </c>
      <c r="X50" s="146" t="s">
        <v>333</v>
      </c>
      <c r="Y50" s="146" t="s">
        <v>33</v>
      </c>
      <c r="Z50" s="146" t="s">
        <v>334</v>
      </c>
      <c r="AA50" s="146" t="s">
        <v>335</v>
      </c>
      <c r="AB50" s="236">
        <f>DATEDIF(Base_CTRs_Finalizados[[#This Row],[INÍCIO VIGÊNCIA]],Base_CTRs_Finalizados[[#This Row],[FINAL 
VIGÊNCIA]],"M")</f>
        <v>12</v>
      </c>
      <c r="AC50" s="203">
        <f t="shared" si="4"/>
        <v>108.33333333333333</v>
      </c>
      <c r="AD50" s="203">
        <v>1300</v>
      </c>
      <c r="AE50" s="150" t="s">
        <v>14</v>
      </c>
      <c r="AF50" s="150" t="s">
        <v>9</v>
      </c>
      <c r="AG50" s="150">
        <v>10014515</v>
      </c>
      <c r="AH50" s="150"/>
      <c r="AI50" s="150"/>
      <c r="AJ50" s="237">
        <f>_xlfn.DAYS(Base_CTRs_Finalizados[[#This Row],[INÍCIO VIGÊNCIA]],Base_CTRs_Finalizados[[#This Row],[Data inicio processo]])</f>
        <v>45421</v>
      </c>
      <c r="AK50" s="266" t="s">
        <v>157</v>
      </c>
      <c r="AL50" s="266"/>
      <c r="AM50" s="266"/>
      <c r="AO50" s="17" t="s">
        <v>1865</v>
      </c>
    </row>
    <row r="51" spans="2:41" ht="18" customHeight="1" thickTop="1" thickBot="1" x14ac:dyDescent="0.3">
      <c r="C51" s="242"/>
      <c r="D51" s="242"/>
      <c r="E51" s="136" t="s">
        <v>88</v>
      </c>
      <c r="F51" s="136" t="s">
        <v>48</v>
      </c>
      <c r="G51" s="136" t="s">
        <v>302</v>
      </c>
      <c r="H51" s="78" t="s">
        <v>5</v>
      </c>
      <c r="I51" s="78" t="s">
        <v>202</v>
      </c>
      <c r="J51" s="78" t="s">
        <v>303</v>
      </c>
      <c r="K51" s="78" t="s">
        <v>304</v>
      </c>
      <c r="L51" s="261">
        <v>2024</v>
      </c>
      <c r="M51" s="146" t="s">
        <v>20</v>
      </c>
      <c r="N51" s="146" t="s">
        <v>79</v>
      </c>
      <c r="O51" s="146" t="s">
        <v>305</v>
      </c>
      <c r="P51" s="320" t="s">
        <v>1672</v>
      </c>
      <c r="Q51" s="146" t="s">
        <v>413</v>
      </c>
      <c r="R51" s="146" t="s">
        <v>414</v>
      </c>
      <c r="S51" s="281">
        <v>2024</v>
      </c>
      <c r="T51" s="243" t="str">
        <f t="shared" si="2"/>
        <v>abr/2024</v>
      </c>
      <c r="U51" s="161">
        <v>45411</v>
      </c>
      <c r="V51" s="161">
        <v>47237</v>
      </c>
      <c r="W51" s="148">
        <f>DATEDIF(Base_CTRs_Finalizados[[#This Row],[INÍCIO VIGÊNCIA]],Base_CTRs_Finalizados[[#This Row],[FINAL 
VIGÊNCIA]],"Y")</f>
        <v>5</v>
      </c>
      <c r="X51" s="146" t="s">
        <v>306</v>
      </c>
      <c r="Y51" s="146" t="s">
        <v>33</v>
      </c>
      <c r="Z51" s="146" t="s">
        <v>307</v>
      </c>
      <c r="AA51" s="146" t="s">
        <v>308</v>
      </c>
      <c r="AB51" s="236">
        <f>DATEDIF(Base_CTRs_Finalizados[[#This Row],[INÍCIO VIGÊNCIA]],Base_CTRs_Finalizados[[#This Row],[FINAL 
VIGÊNCIA]],"M")</f>
        <v>60</v>
      </c>
      <c r="AC51" s="203">
        <f t="shared" si="4"/>
        <v>10813.74</v>
      </c>
      <c r="AD51" s="203">
        <v>648824.4</v>
      </c>
      <c r="AE51" s="150" t="s">
        <v>14</v>
      </c>
      <c r="AF51" s="150" t="s">
        <v>9</v>
      </c>
      <c r="AG51" s="150">
        <v>10013883</v>
      </c>
      <c r="AH51" s="150"/>
      <c r="AI51" s="150"/>
      <c r="AJ51" s="237">
        <f>_xlfn.DAYS(Base_CTRs_Finalizados[[#This Row],[INÍCIO VIGÊNCIA]],Base_CTRs_Finalizados[[#This Row],[Data inicio processo]])</f>
        <v>45411</v>
      </c>
      <c r="AK51" s="266" t="s">
        <v>634</v>
      </c>
      <c r="AL51" s="266"/>
      <c r="AM51" s="266"/>
      <c r="AO51" s="17" t="s">
        <v>1864</v>
      </c>
    </row>
    <row r="52" spans="2:41" ht="18" customHeight="1" thickTop="1" thickBot="1" x14ac:dyDescent="0.3">
      <c r="C52" s="242"/>
      <c r="D52" s="242"/>
      <c r="E52" s="136" t="s">
        <v>88</v>
      </c>
      <c r="F52" s="136" t="s">
        <v>52</v>
      </c>
      <c r="G52" s="136" t="s">
        <v>340</v>
      </c>
      <c r="H52" s="78" t="s">
        <v>5</v>
      </c>
      <c r="I52" s="78" t="s">
        <v>343</v>
      </c>
      <c r="J52" s="78" t="s">
        <v>342</v>
      </c>
      <c r="K52" s="78" t="s">
        <v>344</v>
      </c>
      <c r="L52" s="261">
        <v>2024</v>
      </c>
      <c r="M52" s="146" t="s">
        <v>20</v>
      </c>
      <c r="N52" s="146" t="s">
        <v>79</v>
      </c>
      <c r="O52" s="146" t="s">
        <v>341</v>
      </c>
      <c r="P52" s="320" t="s">
        <v>1673</v>
      </c>
      <c r="Q52" s="146" t="s">
        <v>421</v>
      </c>
      <c r="R52" s="146" t="s">
        <v>420</v>
      </c>
      <c r="S52" s="281">
        <v>2024</v>
      </c>
      <c r="T52" s="243" t="str">
        <f t="shared" si="2"/>
        <v>mai/2024</v>
      </c>
      <c r="U52" s="161">
        <v>45439</v>
      </c>
      <c r="V52" s="161">
        <v>46230</v>
      </c>
      <c r="W52" s="148">
        <f>DATEDIF(Base_CTRs_Finalizados[[#This Row],[INÍCIO VIGÊNCIA]],Base_CTRs_Finalizados[[#This Row],[FINAL 
VIGÊNCIA]],"Y")</f>
        <v>2</v>
      </c>
      <c r="X52" s="146" t="s">
        <v>337</v>
      </c>
      <c r="Y52" s="146" t="s">
        <v>33</v>
      </c>
      <c r="Z52" s="146" t="s">
        <v>338</v>
      </c>
      <c r="AA52" s="146" t="s">
        <v>339</v>
      </c>
      <c r="AB52" s="236">
        <f>DATEDIF(Base_CTRs_Finalizados[[#This Row],[INÍCIO VIGÊNCIA]],Base_CTRs_Finalizados[[#This Row],[FINAL 
VIGÊNCIA]],"M")</f>
        <v>26</v>
      </c>
      <c r="AC52" s="203">
        <f t="shared" si="4"/>
        <v>2884.61</v>
      </c>
      <c r="AD52" s="203">
        <v>74999.86</v>
      </c>
      <c r="AE52" s="150" t="s">
        <v>14</v>
      </c>
      <c r="AF52" s="150" t="s">
        <v>9</v>
      </c>
      <c r="AG52" s="150">
        <v>10013999</v>
      </c>
      <c r="AH52" s="150"/>
      <c r="AI52" s="150"/>
      <c r="AJ52" s="237">
        <f>_xlfn.DAYS(Base_CTRs_Finalizados[[#This Row],[INÍCIO VIGÊNCIA]],Base_CTRs_Finalizados[[#This Row],[Data inicio processo]])</f>
        <v>45439</v>
      </c>
      <c r="AK52" s="266" t="s">
        <v>636</v>
      </c>
      <c r="AL52" s="266"/>
      <c r="AM52" s="266"/>
      <c r="AO52" s="17" t="s">
        <v>1864</v>
      </c>
    </row>
    <row r="53" spans="2:41" ht="18" customHeight="1" thickTop="1" thickBot="1" x14ac:dyDescent="0.3">
      <c r="C53" s="242"/>
      <c r="D53" s="242"/>
      <c r="E53" s="136" t="s">
        <v>88</v>
      </c>
      <c r="F53" s="136" t="s">
        <v>48</v>
      </c>
      <c r="G53" s="136" t="s">
        <v>353</v>
      </c>
      <c r="H53" s="78" t="s">
        <v>5</v>
      </c>
      <c r="I53" s="78" t="s">
        <v>354</v>
      </c>
      <c r="J53" s="78" t="s">
        <v>355</v>
      </c>
      <c r="K53" s="78" t="s">
        <v>356</v>
      </c>
      <c r="L53" s="261">
        <v>2024</v>
      </c>
      <c r="M53" s="146" t="s">
        <v>20</v>
      </c>
      <c r="N53" s="146" t="s">
        <v>79</v>
      </c>
      <c r="O53" s="146" t="s">
        <v>357</v>
      </c>
      <c r="P53" s="320" t="s">
        <v>1674</v>
      </c>
      <c r="Q53" s="146" t="s">
        <v>425</v>
      </c>
      <c r="R53" s="146" t="s">
        <v>424</v>
      </c>
      <c r="S53" s="281">
        <v>2024</v>
      </c>
      <c r="T53" s="243" t="str">
        <f t="shared" si="2"/>
        <v>jun/2024</v>
      </c>
      <c r="U53" s="161">
        <v>45446</v>
      </c>
      <c r="V53" s="161">
        <v>46084</v>
      </c>
      <c r="W53" s="148">
        <f>DATEDIF(Base_CTRs_Finalizados[[#This Row],[INÍCIO VIGÊNCIA]],Base_CTRs_Finalizados[[#This Row],[FINAL 
VIGÊNCIA]],"Y")</f>
        <v>1</v>
      </c>
      <c r="X53" s="146" t="s">
        <v>358</v>
      </c>
      <c r="Y53" s="146" t="s">
        <v>33</v>
      </c>
      <c r="Z53" s="146" t="s">
        <v>359</v>
      </c>
      <c r="AA53" s="146" t="s">
        <v>360</v>
      </c>
      <c r="AB53" s="236">
        <f>DATEDIF(Base_CTRs_Finalizados[[#This Row],[INÍCIO VIGÊNCIA]],Base_CTRs_Finalizados[[#This Row],[FINAL 
VIGÊNCIA]],"M")</f>
        <v>21</v>
      </c>
      <c r="AC53" s="203">
        <f t="shared" si="4"/>
        <v>39539.864285714284</v>
      </c>
      <c r="AD53" s="203">
        <v>830337.15</v>
      </c>
      <c r="AE53" s="150" t="s">
        <v>14</v>
      </c>
      <c r="AF53" s="150" t="s">
        <v>9</v>
      </c>
      <c r="AG53" s="150">
        <v>10014686</v>
      </c>
      <c r="AH53" s="150"/>
      <c r="AI53" s="150"/>
      <c r="AJ53" s="237">
        <f>_xlfn.DAYS(Base_CTRs_Finalizados[[#This Row],[INÍCIO VIGÊNCIA]],Base_CTRs_Finalizados[[#This Row],[Data inicio processo]])</f>
        <v>45446</v>
      </c>
      <c r="AK53" s="266" t="s">
        <v>1107</v>
      </c>
      <c r="AL53" s="266"/>
      <c r="AM53" s="266"/>
      <c r="AO53" s="17" t="s">
        <v>1864</v>
      </c>
    </row>
    <row r="54" spans="2:41" s="17" customFormat="1" ht="18" customHeight="1" thickTop="1" thickBot="1" x14ac:dyDescent="0.3">
      <c r="B54" s="42"/>
      <c r="C54" s="242"/>
      <c r="D54" s="242"/>
      <c r="E54" s="136" t="s">
        <v>88</v>
      </c>
      <c r="F54" s="136" t="s">
        <v>50</v>
      </c>
      <c r="G54" s="136" t="s">
        <v>345</v>
      </c>
      <c r="H54" s="78" t="s">
        <v>7</v>
      </c>
      <c r="I54" s="78" t="s">
        <v>346</v>
      </c>
      <c r="J54" s="78" t="s">
        <v>347</v>
      </c>
      <c r="K54" s="78" t="s">
        <v>348</v>
      </c>
      <c r="L54" s="261">
        <v>2024</v>
      </c>
      <c r="M54" s="146" t="s">
        <v>20</v>
      </c>
      <c r="N54" s="146" t="s">
        <v>79</v>
      </c>
      <c r="O54" s="146" t="s">
        <v>349</v>
      </c>
      <c r="P54" s="320" t="s">
        <v>1891</v>
      </c>
      <c r="Q54" s="146" t="s">
        <v>422</v>
      </c>
      <c r="R54" s="146" t="s">
        <v>423</v>
      </c>
      <c r="S54" s="281">
        <v>2024</v>
      </c>
      <c r="T54" s="243" t="str">
        <f t="shared" si="2"/>
        <v>mai/2024</v>
      </c>
      <c r="U54" s="161">
        <v>45441</v>
      </c>
      <c r="V54" s="161">
        <v>47267</v>
      </c>
      <c r="W54" s="148">
        <f>DATEDIF(Base_CTRs_Finalizados[[#This Row],[INÍCIO VIGÊNCIA]],Base_CTRs_Finalizados[[#This Row],[FINAL 
VIGÊNCIA]],"Y")</f>
        <v>5</v>
      </c>
      <c r="X54" s="146" t="s">
        <v>350</v>
      </c>
      <c r="Y54" s="146" t="s">
        <v>33</v>
      </c>
      <c r="Z54" s="146" t="s">
        <v>351</v>
      </c>
      <c r="AA54" s="146" t="s">
        <v>352</v>
      </c>
      <c r="AB54" s="236">
        <f>DATEDIF(Base_CTRs_Finalizados[[#This Row],[INÍCIO VIGÊNCIA]],Base_CTRs_Finalizados[[#This Row],[FINAL 
VIGÊNCIA]],"M")</f>
        <v>60</v>
      </c>
      <c r="AC54" s="203">
        <f t="shared" si="4"/>
        <v>184.5</v>
      </c>
      <c r="AD54" s="203">
        <v>11070</v>
      </c>
      <c r="AE54" s="150" t="s">
        <v>14</v>
      </c>
      <c r="AF54" s="150" t="s">
        <v>9</v>
      </c>
      <c r="AG54" s="150">
        <v>10014585</v>
      </c>
      <c r="AH54" s="150"/>
      <c r="AI54" s="150"/>
      <c r="AJ54" s="237">
        <f>_xlfn.DAYS(Base_CTRs_Finalizados[[#This Row],[INÍCIO VIGÊNCIA]],Base_CTRs_Finalizados[[#This Row],[Data inicio processo]])</f>
        <v>45441</v>
      </c>
      <c r="AK54" s="266" t="s">
        <v>157</v>
      </c>
      <c r="AL54" s="266"/>
      <c r="AM54" s="266"/>
      <c r="AO54" s="17" t="s">
        <v>1865</v>
      </c>
    </row>
    <row r="55" spans="2:41" s="17" customFormat="1" ht="18" customHeight="1" thickTop="1" thickBot="1" x14ac:dyDescent="0.3">
      <c r="B55" s="42"/>
      <c r="C55" s="242"/>
      <c r="D55" s="242"/>
      <c r="E55" s="136" t="s">
        <v>88</v>
      </c>
      <c r="F55" s="136" t="s">
        <v>48</v>
      </c>
      <c r="G55" s="136" t="s">
        <v>463</v>
      </c>
      <c r="H55" s="78" t="s">
        <v>4</v>
      </c>
      <c r="I55" s="78" t="s">
        <v>464</v>
      </c>
      <c r="J55" s="78" t="s">
        <v>465</v>
      </c>
      <c r="K55" s="78" t="s">
        <v>466</v>
      </c>
      <c r="L55" s="261">
        <v>2024</v>
      </c>
      <c r="M55" s="146" t="s">
        <v>20</v>
      </c>
      <c r="N55" s="146" t="s">
        <v>79</v>
      </c>
      <c r="O55" s="146" t="s">
        <v>430</v>
      </c>
      <c r="P55" s="320" t="s">
        <v>1675</v>
      </c>
      <c r="Q55" s="146" t="s">
        <v>467</v>
      </c>
      <c r="R55" s="146" t="s">
        <v>468</v>
      </c>
      <c r="S55" s="281">
        <v>2024</v>
      </c>
      <c r="T55" s="243" t="str">
        <f t="shared" si="2"/>
        <v>jun/2024</v>
      </c>
      <c r="U55" s="161">
        <v>45454</v>
      </c>
      <c r="V55" s="161">
        <v>45819</v>
      </c>
      <c r="W55" s="148">
        <f>DATEDIF(Base_CTRs_Finalizados[[#This Row],[INÍCIO VIGÊNCIA]],Base_CTRs_Finalizados[[#This Row],[FINAL 
VIGÊNCIA]],"Y")</f>
        <v>1</v>
      </c>
      <c r="X55" s="146" t="s">
        <v>469</v>
      </c>
      <c r="Y55" s="146" t="s">
        <v>33</v>
      </c>
      <c r="Z55" s="146" t="s">
        <v>470</v>
      </c>
      <c r="AA55" s="146" t="s">
        <v>471</v>
      </c>
      <c r="AB55" s="236">
        <f>DATEDIF(Base_CTRs_Finalizados[[#This Row],[INÍCIO VIGÊNCIA]],Base_CTRs_Finalizados[[#This Row],[FINAL 
VIGÊNCIA]],"M")</f>
        <v>12</v>
      </c>
      <c r="AC55" s="203">
        <f t="shared" si="4"/>
        <v>15483.333333333334</v>
      </c>
      <c r="AD55" s="203">
        <v>185800</v>
      </c>
      <c r="AE55" s="150" t="s">
        <v>14</v>
      </c>
      <c r="AF55" s="150" t="s">
        <v>9</v>
      </c>
      <c r="AG55" s="150"/>
      <c r="AH55" s="150"/>
      <c r="AI55" s="150"/>
      <c r="AJ55" s="237">
        <f>_xlfn.DAYS(Base_CTRs_Finalizados[[#This Row],[INÍCIO VIGÊNCIA]],Base_CTRs_Finalizados[[#This Row],[Data inicio processo]])</f>
        <v>45454</v>
      </c>
      <c r="AK55" s="266" t="s">
        <v>157</v>
      </c>
      <c r="AL55" s="266"/>
      <c r="AM55" s="266"/>
      <c r="AO55" s="17" t="s">
        <v>1865</v>
      </c>
    </row>
    <row r="56" spans="2:41" s="17" customFormat="1" ht="18" customHeight="1" thickTop="1" thickBot="1" x14ac:dyDescent="0.3">
      <c r="B56" s="42"/>
      <c r="C56" s="242"/>
      <c r="D56" s="242"/>
      <c r="E56" s="136" t="s">
        <v>90</v>
      </c>
      <c r="F56" s="136" t="s">
        <v>46</v>
      </c>
      <c r="G56" s="136" t="s">
        <v>479</v>
      </c>
      <c r="H56" s="78" t="s">
        <v>11</v>
      </c>
      <c r="I56" s="78" t="s">
        <v>481</v>
      </c>
      <c r="J56" s="78" t="s">
        <v>540</v>
      </c>
      <c r="K56" s="78" t="s">
        <v>484</v>
      </c>
      <c r="L56" s="261">
        <v>2024</v>
      </c>
      <c r="M56" s="146" t="s">
        <v>20</v>
      </c>
      <c r="N56" s="146" t="s">
        <v>79</v>
      </c>
      <c r="O56" s="146" t="s">
        <v>482</v>
      </c>
      <c r="P56" s="320" t="s">
        <v>1892</v>
      </c>
      <c r="Q56" s="146" t="s">
        <v>543</v>
      </c>
      <c r="R56" s="146" t="s">
        <v>542</v>
      </c>
      <c r="S56" s="281">
        <v>2024</v>
      </c>
      <c r="T56" s="243" t="str">
        <f t="shared" si="2"/>
        <v>jun/2024</v>
      </c>
      <c r="U56" s="161">
        <v>45467</v>
      </c>
      <c r="V56" s="161">
        <v>45560</v>
      </c>
      <c r="W56" s="148">
        <f>DATEDIF(Base_CTRs_Finalizados[[#This Row],[INÍCIO VIGÊNCIA]],Base_CTRs_Finalizados[[#This Row],[FINAL 
VIGÊNCIA]],"Y")</f>
        <v>0</v>
      </c>
      <c r="X56" s="146" t="s">
        <v>483</v>
      </c>
      <c r="Y56" s="146" t="s">
        <v>1224</v>
      </c>
      <c r="Z56" s="146" t="s">
        <v>485</v>
      </c>
      <c r="AA56" s="146" t="s">
        <v>486</v>
      </c>
      <c r="AB56" s="236">
        <f>DATEDIF(Base_CTRs_Finalizados[[#This Row],[INÍCIO VIGÊNCIA]],Base_CTRs_Finalizados[[#This Row],[FINAL 
VIGÊNCIA]],"M")</f>
        <v>3</v>
      </c>
      <c r="AC56" s="203">
        <f t="shared" si="4"/>
        <v>14457.426666666666</v>
      </c>
      <c r="AD56" s="203">
        <v>43372.28</v>
      </c>
      <c r="AE56" s="150" t="s">
        <v>54</v>
      </c>
      <c r="AF56" s="150" t="s">
        <v>9</v>
      </c>
      <c r="AG56" s="150"/>
      <c r="AH56" s="150"/>
      <c r="AI56" s="150"/>
      <c r="AJ56" s="237">
        <f>_xlfn.DAYS(Base_CTRs_Finalizados[[#This Row],[INÍCIO VIGÊNCIA]],Base_CTRs_Finalizados[[#This Row],[Data inicio processo]])</f>
        <v>45467</v>
      </c>
      <c r="AK56" s="266" t="s">
        <v>1232</v>
      </c>
      <c r="AL56" s="266"/>
      <c r="AM56" s="266"/>
      <c r="AO56" s="17" t="s">
        <v>1865</v>
      </c>
    </row>
    <row r="57" spans="2:41" s="86" customFormat="1" ht="18" customHeight="1" thickTop="1" thickBot="1" x14ac:dyDescent="0.3">
      <c r="B57" s="85"/>
      <c r="C57" s="242"/>
      <c r="D57" s="242"/>
      <c r="E57" s="136" t="s">
        <v>89</v>
      </c>
      <c r="F57" s="136" t="s">
        <v>336</v>
      </c>
      <c r="G57" s="136" t="s">
        <v>472</v>
      </c>
      <c r="H57" s="78" t="s">
        <v>4</v>
      </c>
      <c r="I57" s="78" t="s">
        <v>473</v>
      </c>
      <c r="J57" s="78" t="s">
        <v>474</v>
      </c>
      <c r="K57" s="78" t="s">
        <v>546</v>
      </c>
      <c r="L57" s="261">
        <v>2024</v>
      </c>
      <c r="M57" s="146" t="s">
        <v>20</v>
      </c>
      <c r="N57" s="146" t="s">
        <v>79</v>
      </c>
      <c r="O57" s="146" t="s">
        <v>772</v>
      </c>
      <c r="P57" s="320" t="s">
        <v>1676</v>
      </c>
      <c r="Q57" s="146" t="s">
        <v>548</v>
      </c>
      <c r="R57" s="146" t="s">
        <v>547</v>
      </c>
      <c r="S57" s="281">
        <v>2024</v>
      </c>
      <c r="T57" s="243" t="str">
        <f t="shared" si="2"/>
        <v>jun/2024</v>
      </c>
      <c r="U57" s="161">
        <v>45463</v>
      </c>
      <c r="V57" s="161">
        <v>45657</v>
      </c>
      <c r="W57" s="148">
        <f>DATEDIF(Base_CTRs_Finalizados[[#This Row],[INÍCIO VIGÊNCIA]],Base_CTRs_Finalizados[[#This Row],[FINAL 
VIGÊNCIA]],"Y")</f>
        <v>0</v>
      </c>
      <c r="X57" s="146" t="s">
        <v>476</v>
      </c>
      <c r="Y57" s="146" t="s">
        <v>33</v>
      </c>
      <c r="Z57" s="146" t="s">
        <v>477</v>
      </c>
      <c r="AA57" s="146" t="s">
        <v>478</v>
      </c>
      <c r="AB57" s="236">
        <f>DATEDIF(Base_CTRs_Finalizados[[#This Row],[INÍCIO VIGÊNCIA]],Base_CTRs_Finalizados[[#This Row],[FINAL 
VIGÊNCIA]],"M")</f>
        <v>6</v>
      </c>
      <c r="AC57" s="203">
        <f t="shared" si="4"/>
        <v>2246.1666666666665</v>
      </c>
      <c r="AD57" s="203">
        <v>13477</v>
      </c>
      <c r="AE57" s="150" t="s">
        <v>14</v>
      </c>
      <c r="AF57" s="150" t="s">
        <v>9</v>
      </c>
      <c r="AG57" s="150"/>
      <c r="AH57" s="150"/>
      <c r="AI57" s="150"/>
      <c r="AJ57" s="237">
        <f>_xlfn.DAYS(Base_CTRs_Finalizados[[#This Row],[INÍCIO VIGÊNCIA]],Base_CTRs_Finalizados[[#This Row],[Data inicio processo]])</f>
        <v>45463</v>
      </c>
      <c r="AK57" s="266" t="s">
        <v>157</v>
      </c>
      <c r="AL57" s="266"/>
      <c r="AM57" s="266"/>
      <c r="AO57" s="17" t="s">
        <v>1865</v>
      </c>
    </row>
    <row r="58" spans="2:41" s="86" customFormat="1" ht="18" customHeight="1" thickTop="1" thickBot="1" x14ac:dyDescent="0.3">
      <c r="B58" s="85"/>
      <c r="C58" s="242"/>
      <c r="D58" s="242"/>
      <c r="E58" s="136" t="s">
        <v>88</v>
      </c>
      <c r="F58" s="136" t="s">
        <v>48</v>
      </c>
      <c r="G58" s="136" t="s">
        <v>480</v>
      </c>
      <c r="H58" s="78" t="s">
        <v>5</v>
      </c>
      <c r="I58" s="78" t="s">
        <v>487</v>
      </c>
      <c r="J58" s="78" t="s">
        <v>541</v>
      </c>
      <c r="K58" s="78" t="s">
        <v>484</v>
      </c>
      <c r="L58" s="261">
        <v>2024</v>
      </c>
      <c r="M58" s="146" t="s">
        <v>20</v>
      </c>
      <c r="N58" s="146" t="s">
        <v>79</v>
      </c>
      <c r="O58" s="146" t="s">
        <v>488</v>
      </c>
      <c r="P58" s="320" t="s">
        <v>1893</v>
      </c>
      <c r="Q58" s="146" t="s">
        <v>545</v>
      </c>
      <c r="R58" s="146" t="s">
        <v>544</v>
      </c>
      <c r="S58" s="281">
        <v>2024</v>
      </c>
      <c r="T58" s="243" t="str">
        <f t="shared" si="2"/>
        <v>jun/2024</v>
      </c>
      <c r="U58" s="161">
        <v>45468</v>
      </c>
      <c r="V58" s="161">
        <v>47295</v>
      </c>
      <c r="W58" s="148">
        <f>DATEDIF(Base_CTRs_Finalizados[[#This Row],[INÍCIO VIGÊNCIA]],Base_CTRs_Finalizados[[#This Row],[FINAL 
VIGÊNCIA]],"Y")</f>
        <v>5</v>
      </c>
      <c r="X58" s="146" t="s">
        <v>1032</v>
      </c>
      <c r="Y58" s="146" t="s">
        <v>33</v>
      </c>
      <c r="Z58" s="146" t="s">
        <v>489</v>
      </c>
      <c r="AA58" s="146" t="s">
        <v>486</v>
      </c>
      <c r="AB58" s="236">
        <f>DATEDIF(Base_CTRs_Finalizados[[#This Row],[INÍCIO VIGÊNCIA]],Base_CTRs_Finalizados[[#This Row],[FINAL 
VIGÊNCIA]],"M")</f>
        <v>60</v>
      </c>
      <c r="AC58" s="203">
        <f t="shared" si="4"/>
        <v>11783.027833333334</v>
      </c>
      <c r="AD58" s="203">
        <v>706981.67</v>
      </c>
      <c r="AE58" s="150" t="s">
        <v>14</v>
      </c>
      <c r="AF58" s="150" t="s">
        <v>9</v>
      </c>
      <c r="AG58" s="150"/>
      <c r="AH58" s="150"/>
      <c r="AI58" s="150"/>
      <c r="AJ58" s="237">
        <f>_xlfn.DAYS(Base_CTRs_Finalizados[[#This Row],[INÍCIO VIGÊNCIA]],Base_CTRs_Finalizados[[#This Row],[Data inicio processo]])</f>
        <v>45468</v>
      </c>
      <c r="AK58" s="266" t="s">
        <v>637</v>
      </c>
      <c r="AL58" s="266"/>
      <c r="AM58" s="266"/>
      <c r="AO58" s="17" t="s">
        <v>1864</v>
      </c>
    </row>
    <row r="59" spans="2:41" s="86" customFormat="1" ht="18" customHeight="1" thickTop="1" thickBot="1" x14ac:dyDescent="0.3">
      <c r="B59" s="85"/>
      <c r="C59" s="242"/>
      <c r="D59" s="242"/>
      <c r="E59" s="136" t="s">
        <v>88</v>
      </c>
      <c r="F59" s="136" t="s">
        <v>48</v>
      </c>
      <c r="G59" s="136" t="s">
        <v>532</v>
      </c>
      <c r="H59" s="78" t="s">
        <v>5</v>
      </c>
      <c r="I59" s="78" t="s">
        <v>534</v>
      </c>
      <c r="J59" s="78" t="s">
        <v>533</v>
      </c>
      <c r="K59" s="78" t="s">
        <v>535</v>
      </c>
      <c r="L59" s="261">
        <v>2024</v>
      </c>
      <c r="M59" s="146" t="s">
        <v>20</v>
      </c>
      <c r="N59" s="146" t="s">
        <v>79</v>
      </c>
      <c r="O59" s="146" t="s">
        <v>536</v>
      </c>
      <c r="P59" s="320" t="s">
        <v>1894</v>
      </c>
      <c r="Q59" s="146" t="s">
        <v>537</v>
      </c>
      <c r="R59" s="146" t="s">
        <v>384</v>
      </c>
      <c r="S59" s="281">
        <v>2024</v>
      </c>
      <c r="T59" s="243" t="str">
        <f t="shared" si="2"/>
        <v>jul/2024</v>
      </c>
      <c r="U59" s="161">
        <v>45474</v>
      </c>
      <c r="V59" s="161">
        <v>47300</v>
      </c>
      <c r="W59" s="148">
        <f>DATEDIF(Base_CTRs_Finalizados[[#This Row],[INÍCIO VIGÊNCIA]],Base_CTRs_Finalizados[[#This Row],[FINAL 
VIGÊNCIA]],"Y")</f>
        <v>5</v>
      </c>
      <c r="X59" s="146" t="s">
        <v>533</v>
      </c>
      <c r="Y59" s="146" t="s">
        <v>33</v>
      </c>
      <c r="Z59" s="146" t="s">
        <v>538</v>
      </c>
      <c r="AA59" s="146" t="s">
        <v>539</v>
      </c>
      <c r="AB59" s="236">
        <f>DATEDIF(Base_CTRs_Finalizados[[#This Row],[INÍCIO VIGÊNCIA]],Base_CTRs_Finalizados[[#This Row],[FINAL 
VIGÊNCIA]],"M")</f>
        <v>60</v>
      </c>
      <c r="AC59" s="203">
        <f t="shared" si="4"/>
        <v>26162.44</v>
      </c>
      <c r="AD59" s="203">
        <v>1569746.4</v>
      </c>
      <c r="AE59" s="150" t="s">
        <v>14</v>
      </c>
      <c r="AF59" s="150" t="s">
        <v>9</v>
      </c>
      <c r="AG59" s="150">
        <v>10013852</v>
      </c>
      <c r="AH59" s="150"/>
      <c r="AI59" s="150"/>
      <c r="AJ59" s="237">
        <f>_xlfn.DAYS(Base_CTRs_Finalizados[[#This Row],[INÍCIO VIGÊNCIA]],Base_CTRs_Finalizados[[#This Row],[Data inicio processo]])</f>
        <v>45474</v>
      </c>
      <c r="AK59" s="266" t="s">
        <v>1106</v>
      </c>
      <c r="AL59" s="266"/>
      <c r="AM59" s="266"/>
      <c r="AO59" s="17" t="s">
        <v>1864</v>
      </c>
    </row>
    <row r="60" spans="2:41" s="86" customFormat="1" ht="18" customHeight="1" thickTop="1" thickBot="1" x14ac:dyDescent="0.3">
      <c r="B60" s="85"/>
      <c r="C60" s="242"/>
      <c r="D60" s="242"/>
      <c r="E60" s="136" t="s">
        <v>90</v>
      </c>
      <c r="F60" s="136" t="s">
        <v>73</v>
      </c>
      <c r="G60" s="136" t="s">
        <v>639</v>
      </c>
      <c r="H60" s="78" t="s">
        <v>5</v>
      </c>
      <c r="I60" s="78" t="s">
        <v>343</v>
      </c>
      <c r="J60" s="78"/>
      <c r="K60" s="78" t="s">
        <v>653</v>
      </c>
      <c r="L60" s="261">
        <v>2023</v>
      </c>
      <c r="M60" s="146" t="s">
        <v>20</v>
      </c>
      <c r="N60" s="146" t="s">
        <v>79</v>
      </c>
      <c r="O60" s="146" t="s">
        <v>645</v>
      </c>
      <c r="P60" s="320" t="s">
        <v>1895</v>
      </c>
      <c r="Q60" s="146" t="s">
        <v>654</v>
      </c>
      <c r="R60" s="146" t="s">
        <v>655</v>
      </c>
      <c r="S60" s="281">
        <v>2024</v>
      </c>
      <c r="T60" s="243" t="str">
        <f t="shared" si="2"/>
        <v>jun/2024</v>
      </c>
      <c r="U60" s="161">
        <v>45471</v>
      </c>
      <c r="V60" s="161">
        <v>45836</v>
      </c>
      <c r="W60" s="148">
        <f>DATEDIF(Base_CTRs_Finalizados[[#This Row],[INÍCIO VIGÊNCIA]],Base_CTRs_Finalizados[[#This Row],[FINAL 
VIGÊNCIA]],"Y")</f>
        <v>1</v>
      </c>
      <c r="X60" s="146" t="s">
        <v>656</v>
      </c>
      <c r="Y60" s="146" t="s">
        <v>28</v>
      </c>
      <c r="Z60" s="146" t="s">
        <v>657</v>
      </c>
      <c r="AA60" s="146" t="s">
        <v>658</v>
      </c>
      <c r="AB60" s="236">
        <f>DATEDIF(Base_CTRs_Finalizados[[#This Row],[INÍCIO VIGÊNCIA]],Base_CTRs_Finalizados[[#This Row],[FINAL 
VIGÊNCIA]],"M")</f>
        <v>12</v>
      </c>
      <c r="AC60" s="203">
        <f t="shared" si="4"/>
        <v>119702.84749999999</v>
      </c>
      <c r="AD60" s="203">
        <v>1436434.17</v>
      </c>
      <c r="AE60" s="150" t="s">
        <v>54</v>
      </c>
      <c r="AF60" s="150" t="s">
        <v>9</v>
      </c>
      <c r="AG60" s="150">
        <v>4400003036</v>
      </c>
      <c r="AH60" s="150"/>
      <c r="AI60" s="150"/>
      <c r="AJ60" s="237">
        <f>_xlfn.DAYS(Base_CTRs_Finalizados[[#This Row],[INÍCIO VIGÊNCIA]],Base_CTRs_Finalizados[[#This Row],[Data inicio processo]])</f>
        <v>45471</v>
      </c>
      <c r="AK60" s="266" t="s">
        <v>157</v>
      </c>
      <c r="AL60" s="266"/>
      <c r="AM60" s="266"/>
      <c r="AO60" s="17" t="s">
        <v>1864</v>
      </c>
    </row>
    <row r="61" spans="2:41" s="86" customFormat="1" ht="18" customHeight="1" thickTop="1" thickBot="1" x14ac:dyDescent="0.3">
      <c r="B61" s="85"/>
      <c r="C61" s="242"/>
      <c r="D61" s="242"/>
      <c r="E61" s="136" t="s">
        <v>89</v>
      </c>
      <c r="F61" s="136" t="s">
        <v>336</v>
      </c>
      <c r="G61" s="136" t="s">
        <v>640</v>
      </c>
      <c r="H61" s="78" t="s">
        <v>5</v>
      </c>
      <c r="I61" s="78" t="s">
        <v>343</v>
      </c>
      <c r="J61" s="78"/>
      <c r="K61" s="78" t="s">
        <v>659</v>
      </c>
      <c r="L61" s="261">
        <v>2023</v>
      </c>
      <c r="M61" s="146" t="s">
        <v>20</v>
      </c>
      <c r="N61" s="146" t="s">
        <v>79</v>
      </c>
      <c r="O61" s="146" t="s">
        <v>646</v>
      </c>
      <c r="P61" s="320" t="s">
        <v>1896</v>
      </c>
      <c r="Q61" s="146" t="s">
        <v>660</v>
      </c>
      <c r="R61" s="146" t="s">
        <v>661</v>
      </c>
      <c r="S61" s="281">
        <v>2024</v>
      </c>
      <c r="T61" s="243" t="str">
        <f t="shared" si="2"/>
        <v>jul/2024</v>
      </c>
      <c r="U61" s="161">
        <v>45489</v>
      </c>
      <c r="V61" s="161">
        <v>45854</v>
      </c>
      <c r="W61" s="148">
        <f>DATEDIF(Base_CTRs_Finalizados[[#This Row],[INÍCIO VIGÊNCIA]],Base_CTRs_Finalizados[[#This Row],[FINAL 
VIGÊNCIA]],"Y")</f>
        <v>1</v>
      </c>
      <c r="X61" s="146" t="s">
        <v>662</v>
      </c>
      <c r="Y61" s="146" t="s">
        <v>33</v>
      </c>
      <c r="Z61" s="146" t="s">
        <v>663</v>
      </c>
      <c r="AA61" s="146" t="s">
        <v>664</v>
      </c>
      <c r="AB61" s="236">
        <f>DATEDIF(Base_CTRs_Finalizados[[#This Row],[INÍCIO VIGÊNCIA]],Base_CTRs_Finalizados[[#This Row],[FINAL 
VIGÊNCIA]],"M")</f>
        <v>12</v>
      </c>
      <c r="AC61" s="203">
        <f t="shared" si="4"/>
        <v>8166.666666666667</v>
      </c>
      <c r="AD61" s="203">
        <v>98000</v>
      </c>
      <c r="AE61" s="150" t="s">
        <v>14</v>
      </c>
      <c r="AF61" s="150" t="s">
        <v>9</v>
      </c>
      <c r="AG61" s="150">
        <v>4400003039</v>
      </c>
      <c r="AH61" s="150"/>
      <c r="AI61" s="150"/>
      <c r="AJ61" s="237">
        <f>_xlfn.DAYS(Base_CTRs_Finalizados[[#This Row],[INÍCIO VIGÊNCIA]],Base_CTRs_Finalizados[[#This Row],[Data inicio processo]])</f>
        <v>45489</v>
      </c>
      <c r="AK61" s="266" t="s">
        <v>157</v>
      </c>
      <c r="AL61" s="266"/>
      <c r="AM61" s="266"/>
      <c r="AO61" s="17" t="s">
        <v>1864</v>
      </c>
    </row>
    <row r="62" spans="2:41" s="86" customFormat="1" ht="18" customHeight="1" thickTop="1" thickBot="1" x14ac:dyDescent="0.3">
      <c r="B62" s="85"/>
      <c r="C62" s="242"/>
      <c r="D62" s="242"/>
      <c r="E62" s="136" t="s">
        <v>90</v>
      </c>
      <c r="F62" s="136" t="s">
        <v>78</v>
      </c>
      <c r="G62" s="136" t="s">
        <v>652</v>
      </c>
      <c r="H62" s="78" t="s">
        <v>4</v>
      </c>
      <c r="I62" s="78" t="s">
        <v>505</v>
      </c>
      <c r="J62" s="78"/>
      <c r="K62" s="78" t="s">
        <v>577</v>
      </c>
      <c r="L62" s="261">
        <v>2024</v>
      </c>
      <c r="M62" s="146" t="s">
        <v>20</v>
      </c>
      <c r="N62" s="146" t="s">
        <v>79</v>
      </c>
      <c r="O62" s="146" t="s">
        <v>647</v>
      </c>
      <c r="P62" s="320" t="s">
        <v>1897</v>
      </c>
      <c r="Q62" s="146" t="s">
        <v>579</v>
      </c>
      <c r="R62" s="146" t="s">
        <v>580</v>
      </c>
      <c r="S62" s="281">
        <v>2024</v>
      </c>
      <c r="T62" s="243" t="str">
        <f t="shared" si="2"/>
        <v>jul/2024</v>
      </c>
      <c r="U62" s="161">
        <v>45491</v>
      </c>
      <c r="V62" s="161">
        <v>45657</v>
      </c>
      <c r="W62" s="148">
        <f>DATEDIF(Base_CTRs_Finalizados[[#This Row],[INÍCIO VIGÊNCIA]],Base_CTRs_Finalizados[[#This Row],[FINAL 
VIGÊNCIA]],"Y")</f>
        <v>0</v>
      </c>
      <c r="X62" s="146" t="s">
        <v>666</v>
      </c>
      <c r="Y62" s="146" t="s">
        <v>33</v>
      </c>
      <c r="Z62" s="146" t="s">
        <v>665</v>
      </c>
      <c r="AA62" s="146" t="s">
        <v>583</v>
      </c>
      <c r="AB62" s="236">
        <f>DATEDIF(Base_CTRs_Finalizados[[#This Row],[INÍCIO VIGÊNCIA]],Base_CTRs_Finalizados[[#This Row],[FINAL 
VIGÊNCIA]],"M")</f>
        <v>5</v>
      </c>
      <c r="AC62" s="203">
        <f t="shared" si="4"/>
        <v>11997.6</v>
      </c>
      <c r="AD62" s="203">
        <v>59988</v>
      </c>
      <c r="AE62" s="150" t="s">
        <v>14</v>
      </c>
      <c r="AF62" s="150" t="s">
        <v>9</v>
      </c>
      <c r="AG62" s="150">
        <v>4400003038</v>
      </c>
      <c r="AH62" s="150"/>
      <c r="AI62" s="150"/>
      <c r="AJ62" s="237">
        <f>_xlfn.DAYS(Base_CTRs_Finalizados[[#This Row],[INÍCIO VIGÊNCIA]],Base_CTRs_Finalizados[[#This Row],[Data inicio processo]])</f>
        <v>45491</v>
      </c>
      <c r="AK62" s="266" t="s">
        <v>157</v>
      </c>
      <c r="AL62" s="266"/>
      <c r="AM62" s="266"/>
      <c r="AO62" s="17" t="s">
        <v>1865</v>
      </c>
    </row>
    <row r="63" spans="2:41" s="86" customFormat="1" ht="18" customHeight="1" thickTop="1" thickBot="1" x14ac:dyDescent="0.3">
      <c r="B63" s="85"/>
      <c r="C63" s="242"/>
      <c r="D63" s="242"/>
      <c r="E63" s="136" t="s">
        <v>88</v>
      </c>
      <c r="F63" s="136" t="s">
        <v>52</v>
      </c>
      <c r="G63" s="136" t="s">
        <v>641</v>
      </c>
      <c r="H63" s="78" t="s">
        <v>5</v>
      </c>
      <c r="I63" s="78" t="s">
        <v>343</v>
      </c>
      <c r="J63" s="78"/>
      <c r="K63" s="78" t="s">
        <v>667</v>
      </c>
      <c r="L63" s="261">
        <v>2024</v>
      </c>
      <c r="M63" s="146" t="s">
        <v>20</v>
      </c>
      <c r="N63" s="146" t="s">
        <v>79</v>
      </c>
      <c r="O63" s="146" t="s">
        <v>648</v>
      </c>
      <c r="P63" s="320" t="s">
        <v>1898</v>
      </c>
      <c r="Q63" s="146" t="s">
        <v>669</v>
      </c>
      <c r="R63" s="146" t="s">
        <v>668</v>
      </c>
      <c r="S63" s="281">
        <v>2024</v>
      </c>
      <c r="T63" s="243" t="str">
        <f t="shared" si="2"/>
        <v>jul/2024</v>
      </c>
      <c r="U63" s="161">
        <v>45492</v>
      </c>
      <c r="V63" s="161">
        <v>47318</v>
      </c>
      <c r="W63" s="148">
        <f>DATEDIF(Base_CTRs_Finalizados[[#This Row],[INÍCIO VIGÊNCIA]],Base_CTRs_Finalizados[[#This Row],[FINAL 
VIGÊNCIA]],"Y")</f>
        <v>5</v>
      </c>
      <c r="X63" s="146" t="s">
        <v>688</v>
      </c>
      <c r="Y63" s="146" t="s">
        <v>33</v>
      </c>
      <c r="Z63" s="146" t="s">
        <v>670</v>
      </c>
      <c r="AA63" s="146" t="s">
        <v>671</v>
      </c>
      <c r="AB63" s="236">
        <f>DATEDIF(Base_CTRs_Finalizados[[#This Row],[INÍCIO VIGÊNCIA]],Base_CTRs_Finalizados[[#This Row],[FINAL 
VIGÊNCIA]],"M")</f>
        <v>60</v>
      </c>
      <c r="AC63" s="203">
        <f t="shared" si="4"/>
        <v>4440.2400000000007</v>
      </c>
      <c r="AD63" s="203">
        <v>266414.40000000002</v>
      </c>
      <c r="AE63" s="150" t="s">
        <v>14</v>
      </c>
      <c r="AF63" s="150" t="s">
        <v>9</v>
      </c>
      <c r="AG63" s="150">
        <v>4400003040</v>
      </c>
      <c r="AH63" s="150"/>
      <c r="AI63" s="150"/>
      <c r="AJ63" s="237">
        <f>_xlfn.DAYS(Base_CTRs_Finalizados[[#This Row],[INÍCIO VIGÊNCIA]],Base_CTRs_Finalizados[[#This Row],[Data inicio processo]])</f>
        <v>45492</v>
      </c>
      <c r="AK63" s="266" t="s">
        <v>157</v>
      </c>
      <c r="AL63" s="266"/>
      <c r="AM63" s="266"/>
      <c r="AO63" s="17" t="s">
        <v>1864</v>
      </c>
    </row>
    <row r="64" spans="2:41" s="86" customFormat="1" ht="18" customHeight="1" thickTop="1" thickBot="1" x14ac:dyDescent="0.3">
      <c r="B64" s="85"/>
      <c r="C64" s="242"/>
      <c r="D64" s="242"/>
      <c r="E64" s="136" t="s">
        <v>90</v>
      </c>
      <c r="F64" s="136" t="s">
        <v>73</v>
      </c>
      <c r="G64" s="136" t="s">
        <v>642</v>
      </c>
      <c r="H64" s="78" t="s">
        <v>5</v>
      </c>
      <c r="I64" s="78" t="s">
        <v>343</v>
      </c>
      <c r="J64" s="78"/>
      <c r="K64" s="78" t="s">
        <v>672</v>
      </c>
      <c r="L64" s="261">
        <v>2024</v>
      </c>
      <c r="M64" s="146" t="s">
        <v>20</v>
      </c>
      <c r="N64" s="146" t="s">
        <v>79</v>
      </c>
      <c r="O64" s="146" t="s">
        <v>649</v>
      </c>
      <c r="P64" s="320" t="s">
        <v>1899</v>
      </c>
      <c r="Q64" s="146" t="s">
        <v>674</v>
      </c>
      <c r="R64" s="146" t="s">
        <v>673</v>
      </c>
      <c r="S64" s="281">
        <v>2024</v>
      </c>
      <c r="T64" s="243" t="str">
        <f t="shared" si="2"/>
        <v>ago/2024</v>
      </c>
      <c r="U64" s="161">
        <v>45506</v>
      </c>
      <c r="V64" s="161">
        <v>45871</v>
      </c>
      <c r="W64" s="148">
        <f>DATEDIF(Base_CTRs_Finalizados[[#This Row],[INÍCIO VIGÊNCIA]],Base_CTRs_Finalizados[[#This Row],[FINAL 
VIGÊNCIA]],"Y")</f>
        <v>1</v>
      </c>
      <c r="X64" s="146" t="s">
        <v>675</v>
      </c>
      <c r="Y64" s="146" t="s">
        <v>33</v>
      </c>
      <c r="Z64" s="146" t="s">
        <v>676</v>
      </c>
      <c r="AA64" s="146" t="s">
        <v>677</v>
      </c>
      <c r="AB64" s="236">
        <f>DATEDIF(Base_CTRs_Finalizados[[#This Row],[INÍCIO VIGÊNCIA]],Base_CTRs_Finalizados[[#This Row],[FINAL 
VIGÊNCIA]],"M")</f>
        <v>12</v>
      </c>
      <c r="AC64" s="203">
        <f t="shared" si="4"/>
        <v>894785.41666666663</v>
      </c>
      <c r="AD64" s="203">
        <v>10737425</v>
      </c>
      <c r="AE64" s="150" t="s">
        <v>14</v>
      </c>
      <c r="AF64" s="150" t="s">
        <v>9</v>
      </c>
      <c r="AG64" s="150">
        <v>4400003043</v>
      </c>
      <c r="AH64" s="150"/>
      <c r="AI64" s="150"/>
      <c r="AJ64" s="237">
        <f>_xlfn.DAYS(Base_CTRs_Finalizados[[#This Row],[INÍCIO VIGÊNCIA]],Base_CTRs_Finalizados[[#This Row],[Data inicio processo]])</f>
        <v>45506</v>
      </c>
      <c r="AK64" s="266" t="s">
        <v>157</v>
      </c>
      <c r="AL64" s="266"/>
      <c r="AM64" s="266"/>
      <c r="AO64" s="17" t="s">
        <v>1864</v>
      </c>
    </row>
    <row r="65" spans="2:41" s="86" customFormat="1" ht="18" customHeight="1" thickTop="1" thickBot="1" x14ac:dyDescent="0.3">
      <c r="B65" s="85"/>
      <c r="C65" s="242"/>
      <c r="D65" s="242"/>
      <c r="E65" s="136" t="s">
        <v>90</v>
      </c>
      <c r="F65" s="136" t="s">
        <v>46</v>
      </c>
      <c r="G65" s="136" t="s">
        <v>643</v>
      </c>
      <c r="H65" s="78" t="s">
        <v>11</v>
      </c>
      <c r="I65" s="78" t="s">
        <v>700</v>
      </c>
      <c r="J65" s="78"/>
      <c r="K65" s="78" t="s">
        <v>678</v>
      </c>
      <c r="L65" s="261">
        <v>2024</v>
      </c>
      <c r="M65" s="146" t="s">
        <v>20</v>
      </c>
      <c r="N65" s="146" t="s">
        <v>79</v>
      </c>
      <c r="O65" s="146" t="s">
        <v>650</v>
      </c>
      <c r="P65" s="320" t="s">
        <v>1900</v>
      </c>
      <c r="Q65" s="146" t="s">
        <v>679</v>
      </c>
      <c r="R65" s="146" t="s">
        <v>680</v>
      </c>
      <c r="S65" s="281">
        <v>2024</v>
      </c>
      <c r="T65" s="243" t="str">
        <f t="shared" si="2"/>
        <v>set/2024</v>
      </c>
      <c r="U65" s="161">
        <v>45537</v>
      </c>
      <c r="V65" s="161">
        <v>45628</v>
      </c>
      <c r="W65" s="148">
        <f>DATEDIF(Base_CTRs_Finalizados[[#This Row],[INÍCIO VIGÊNCIA]],Base_CTRs_Finalizados[[#This Row],[FINAL 
VIGÊNCIA]],"Y")</f>
        <v>0</v>
      </c>
      <c r="X65" s="146" t="s">
        <v>681</v>
      </c>
      <c r="Y65" s="146" t="s">
        <v>1224</v>
      </c>
      <c r="Z65" s="146" t="s">
        <v>682</v>
      </c>
      <c r="AA65" s="146" t="s">
        <v>683</v>
      </c>
      <c r="AB65" s="236">
        <f>DATEDIF(Base_CTRs_Finalizados[[#This Row],[INÍCIO VIGÊNCIA]],Base_CTRs_Finalizados[[#This Row],[FINAL 
VIGÊNCIA]],"M")</f>
        <v>3</v>
      </c>
      <c r="AC65" s="203">
        <f t="shared" si="4"/>
        <v>68229.41333333333</v>
      </c>
      <c r="AD65" s="203">
        <v>204688.24</v>
      </c>
      <c r="AE65" s="150" t="s">
        <v>54</v>
      </c>
      <c r="AF65" s="150" t="s">
        <v>9</v>
      </c>
      <c r="AG65" s="150">
        <v>10014854</v>
      </c>
      <c r="AH65" s="150"/>
      <c r="AI65" s="150"/>
      <c r="AJ65" s="237">
        <f>_xlfn.DAYS(Base_CTRs_Finalizados[[#This Row],[INÍCIO VIGÊNCIA]],Base_CTRs_Finalizados[[#This Row],[Data inicio processo]])</f>
        <v>45537</v>
      </c>
      <c r="AK65" s="266" t="s">
        <v>1225</v>
      </c>
      <c r="AL65" s="266"/>
      <c r="AM65" s="266"/>
      <c r="AO65" s="17" t="s">
        <v>1865</v>
      </c>
    </row>
    <row r="66" spans="2:41" s="86" customFormat="1" ht="18" customHeight="1" thickTop="1" thickBot="1" x14ac:dyDescent="0.3">
      <c r="B66" s="85"/>
      <c r="C66" s="242"/>
      <c r="D66" s="242"/>
      <c r="E66" s="136" t="s">
        <v>88</v>
      </c>
      <c r="F66" s="136" t="s">
        <v>74</v>
      </c>
      <c r="G66" s="136" t="s">
        <v>644</v>
      </c>
      <c r="H66" s="78" t="s">
        <v>5</v>
      </c>
      <c r="I66" s="78" t="s">
        <v>343</v>
      </c>
      <c r="J66" s="78"/>
      <c r="K66" s="78" t="s">
        <v>684</v>
      </c>
      <c r="L66" s="261">
        <v>2024</v>
      </c>
      <c r="M66" s="146" t="s">
        <v>20</v>
      </c>
      <c r="N66" s="146" t="s">
        <v>79</v>
      </c>
      <c r="O66" s="146" t="s">
        <v>651</v>
      </c>
      <c r="P66" s="320" t="s">
        <v>1689</v>
      </c>
      <c r="Q66" s="146" t="s">
        <v>685</v>
      </c>
      <c r="R66" s="146" t="s">
        <v>686</v>
      </c>
      <c r="S66" s="281">
        <v>2024</v>
      </c>
      <c r="T66" s="243" t="str">
        <f t="shared" si="2"/>
        <v>set/2024</v>
      </c>
      <c r="U66" s="161">
        <v>45538</v>
      </c>
      <c r="V66" s="161">
        <v>46633</v>
      </c>
      <c r="W66" s="148">
        <f>DATEDIF(Base_CTRs_Finalizados[[#This Row],[INÍCIO VIGÊNCIA]],Base_CTRs_Finalizados[[#This Row],[FINAL 
VIGÊNCIA]],"Y")</f>
        <v>3</v>
      </c>
      <c r="X66" s="146" t="s">
        <v>687</v>
      </c>
      <c r="Y66" s="146" t="s">
        <v>33</v>
      </c>
      <c r="Z66" s="146" t="s">
        <v>689</v>
      </c>
      <c r="AA66" s="146" t="s">
        <v>690</v>
      </c>
      <c r="AB66" s="236">
        <f>DATEDIF(Base_CTRs_Finalizados[[#This Row],[INÍCIO VIGÊNCIA]],Base_CTRs_Finalizados[[#This Row],[FINAL 
VIGÊNCIA]],"M")</f>
        <v>36</v>
      </c>
      <c r="AC66" s="203">
        <f t="shared" si="4"/>
        <v>12222.222222222223</v>
      </c>
      <c r="AD66" s="203">
        <v>440000</v>
      </c>
      <c r="AE66" s="150" t="s">
        <v>14</v>
      </c>
      <c r="AF66" s="150" t="s">
        <v>9</v>
      </c>
      <c r="AG66" s="150">
        <v>4400003047</v>
      </c>
      <c r="AH66" s="150"/>
      <c r="AI66" s="150"/>
      <c r="AJ66" s="237">
        <f>_xlfn.DAYS(Base_CTRs_Finalizados[[#This Row],[INÍCIO VIGÊNCIA]],Base_CTRs_Finalizados[[#This Row],[Data inicio processo]])</f>
        <v>45538</v>
      </c>
      <c r="AK66" s="266" t="s">
        <v>157</v>
      </c>
      <c r="AL66" s="266"/>
      <c r="AM66" s="266"/>
      <c r="AO66" s="17" t="s">
        <v>1864</v>
      </c>
    </row>
    <row r="67" spans="2:41" s="86" customFormat="1" ht="18" customHeight="1" thickTop="1" thickBot="1" x14ac:dyDescent="0.3">
      <c r="B67" s="85"/>
      <c r="C67" s="242"/>
      <c r="D67" s="242"/>
      <c r="E67" s="136" t="s">
        <v>88</v>
      </c>
      <c r="F67" s="136" t="s">
        <v>692</v>
      </c>
      <c r="G67" s="136" t="s">
        <v>693</v>
      </c>
      <c r="H67" s="78" t="s">
        <v>7</v>
      </c>
      <c r="I67" s="78" t="s">
        <v>202</v>
      </c>
      <c r="J67" s="78"/>
      <c r="K67" s="78" t="s">
        <v>694</v>
      </c>
      <c r="L67" s="261">
        <v>2024</v>
      </c>
      <c r="M67" s="146" t="s">
        <v>20</v>
      </c>
      <c r="N67" s="146" t="s">
        <v>79</v>
      </c>
      <c r="O67" s="146" t="s">
        <v>691</v>
      </c>
      <c r="P67" s="320" t="s">
        <v>1901</v>
      </c>
      <c r="Q67" s="146" t="s">
        <v>695</v>
      </c>
      <c r="R67" s="146" t="s">
        <v>696</v>
      </c>
      <c r="S67" s="281">
        <v>2024</v>
      </c>
      <c r="T67" s="243" t="str">
        <f t="shared" si="2"/>
        <v>set/2024</v>
      </c>
      <c r="U67" s="161">
        <v>45561</v>
      </c>
      <c r="V67" s="161">
        <v>45926</v>
      </c>
      <c r="W67" s="148">
        <f>DATEDIF(Base_CTRs_Finalizados[[#This Row],[INÍCIO VIGÊNCIA]],Base_CTRs_Finalizados[[#This Row],[FINAL 
VIGÊNCIA]],"Y")</f>
        <v>1</v>
      </c>
      <c r="X67" s="146" t="s">
        <v>1033</v>
      </c>
      <c r="Y67" s="146" t="s">
        <v>33</v>
      </c>
      <c r="Z67" s="146" t="s">
        <v>698</v>
      </c>
      <c r="AA67" s="146" t="s">
        <v>699</v>
      </c>
      <c r="AB67" s="236">
        <f>DATEDIF(Base_CTRs_Finalizados[[#This Row],[INÍCIO VIGÊNCIA]],Base_CTRs_Finalizados[[#This Row],[FINAL 
VIGÊNCIA]],"M")</f>
        <v>12</v>
      </c>
      <c r="AC67" s="203">
        <f t="shared" si="4"/>
        <v>158.4</v>
      </c>
      <c r="AD67" s="203">
        <v>1900.8</v>
      </c>
      <c r="AE67" s="150" t="s">
        <v>14</v>
      </c>
      <c r="AF67" s="150" t="s">
        <v>9</v>
      </c>
      <c r="AG67" s="150"/>
      <c r="AH67" s="150"/>
      <c r="AI67" s="150"/>
      <c r="AJ67" s="237">
        <f>_xlfn.DAYS(Base_CTRs_Finalizados[[#This Row],[INÍCIO VIGÊNCIA]],Base_CTRs_Finalizados[[#This Row],[Data inicio processo]])</f>
        <v>45561</v>
      </c>
      <c r="AK67" s="266" t="s">
        <v>157</v>
      </c>
      <c r="AL67" s="266"/>
      <c r="AM67" s="266"/>
      <c r="AO67" s="17" t="s">
        <v>1865</v>
      </c>
    </row>
    <row r="68" spans="2:41" s="86" customFormat="1" ht="18" customHeight="1" thickTop="1" thickBot="1" x14ac:dyDescent="0.3">
      <c r="B68" s="85"/>
      <c r="C68" s="242"/>
      <c r="D68" s="242"/>
      <c r="E68" s="136" t="s">
        <v>88</v>
      </c>
      <c r="F68" s="136" t="s">
        <v>52</v>
      </c>
      <c r="G68" s="136" t="s">
        <v>718</v>
      </c>
      <c r="H68" s="78" t="s">
        <v>5</v>
      </c>
      <c r="I68" s="78" t="s">
        <v>343</v>
      </c>
      <c r="J68" s="78" t="s">
        <v>720</v>
      </c>
      <c r="K68" s="78" t="s">
        <v>719</v>
      </c>
      <c r="L68" s="261">
        <v>2024</v>
      </c>
      <c r="M68" s="146" t="s">
        <v>20</v>
      </c>
      <c r="N68" s="146" t="s">
        <v>79</v>
      </c>
      <c r="O68" s="146" t="s">
        <v>717</v>
      </c>
      <c r="P68" s="320" t="s">
        <v>1902</v>
      </c>
      <c r="Q68" s="146" t="s">
        <v>721</v>
      </c>
      <c r="R68" s="146" t="s">
        <v>722</v>
      </c>
      <c r="S68" s="281">
        <v>2024</v>
      </c>
      <c r="T68" s="243" t="str">
        <f t="shared" si="2"/>
        <v>out/2024</v>
      </c>
      <c r="U68" s="161">
        <v>45580</v>
      </c>
      <c r="V68" s="161">
        <v>47406</v>
      </c>
      <c r="W68" s="148">
        <f>DATEDIF(Base_CTRs_Finalizados[[#This Row],[INÍCIO VIGÊNCIA]],Base_CTRs_Finalizados[[#This Row],[FINAL 
VIGÊNCIA]],"Y")</f>
        <v>5</v>
      </c>
      <c r="X68" s="146" t="s">
        <v>723</v>
      </c>
      <c r="Y68" s="146" t="s">
        <v>33</v>
      </c>
      <c r="Z68" s="146" t="s">
        <v>724</v>
      </c>
      <c r="AA68" s="146" t="s">
        <v>725</v>
      </c>
      <c r="AB68" s="236">
        <f>DATEDIF(Base_CTRs_Finalizados[[#This Row],[INÍCIO VIGÊNCIA]],Base_CTRs_Finalizados[[#This Row],[FINAL 
VIGÊNCIA]],"M")</f>
        <v>60</v>
      </c>
      <c r="AC68" s="203">
        <f t="shared" si="4"/>
        <v>131931.6</v>
      </c>
      <c r="AD68" s="203">
        <v>7915896</v>
      </c>
      <c r="AE68" s="150" t="s">
        <v>14</v>
      </c>
      <c r="AF68" s="150" t="s">
        <v>9</v>
      </c>
      <c r="AG68" s="150">
        <v>10014929</v>
      </c>
      <c r="AH68" s="150"/>
      <c r="AI68" s="150"/>
      <c r="AJ68" s="237">
        <f>_xlfn.DAYS(Base_CTRs_Finalizados[[#This Row],[INÍCIO VIGÊNCIA]],Base_CTRs_Finalizados[[#This Row],[Data inicio processo]])</f>
        <v>45580</v>
      </c>
      <c r="AK68" s="266">
        <v>10014929</v>
      </c>
      <c r="AL68" s="266"/>
      <c r="AM68" s="266"/>
      <c r="AO68" s="17" t="s">
        <v>1864</v>
      </c>
    </row>
    <row r="69" spans="2:41" ht="18" customHeight="1" thickTop="1" thickBot="1" x14ac:dyDescent="0.3">
      <c r="C69" s="242"/>
      <c r="D69" s="242"/>
      <c r="E69" s="136" t="s">
        <v>88</v>
      </c>
      <c r="F69" s="136" t="s">
        <v>52</v>
      </c>
      <c r="G69" s="136" t="s">
        <v>763</v>
      </c>
      <c r="H69" s="78" t="s">
        <v>7</v>
      </c>
      <c r="I69" s="78" t="s">
        <v>764</v>
      </c>
      <c r="J69" s="78" t="s">
        <v>765</v>
      </c>
      <c r="K69" s="78" t="s">
        <v>766</v>
      </c>
      <c r="L69" s="261">
        <v>2024</v>
      </c>
      <c r="M69" s="146" t="s">
        <v>20</v>
      </c>
      <c r="N69" s="146" t="s">
        <v>79</v>
      </c>
      <c r="O69" s="146" t="s">
        <v>762</v>
      </c>
      <c r="P69" s="320" t="s">
        <v>1694</v>
      </c>
      <c r="Q69" s="146" t="s">
        <v>767</v>
      </c>
      <c r="R69" s="146" t="s">
        <v>768</v>
      </c>
      <c r="S69" s="281">
        <v>2024</v>
      </c>
      <c r="T69" s="243" t="str">
        <f t="shared" ref="T69:T100" si="5">TEXT(U69,"mmm/aaaa")</f>
        <v>nov/2024</v>
      </c>
      <c r="U69" s="161">
        <v>45604</v>
      </c>
      <c r="V69" s="161">
        <v>46355</v>
      </c>
      <c r="W69" s="148">
        <f>DATEDIF(Base_CTRs_Finalizados[[#This Row],[INÍCIO VIGÊNCIA]],Base_CTRs_Finalizados[[#This Row],[FINAL 
VIGÊNCIA]],"Y")</f>
        <v>2</v>
      </c>
      <c r="X69" s="146" t="s">
        <v>769</v>
      </c>
      <c r="Y69" s="146" t="s">
        <v>33</v>
      </c>
      <c r="Z69" s="146" t="s">
        <v>770</v>
      </c>
      <c r="AA69" s="146" t="s">
        <v>771</v>
      </c>
      <c r="AB69" s="236">
        <f>DATEDIF(Base_CTRs_Finalizados[[#This Row],[INÍCIO VIGÊNCIA]],Base_CTRs_Finalizados[[#This Row],[FINAL 
VIGÊNCIA]],"M")</f>
        <v>24</v>
      </c>
      <c r="AC69" s="203">
        <f t="shared" si="4"/>
        <v>165.41666666666666</v>
      </c>
      <c r="AD69" s="203">
        <v>3970</v>
      </c>
      <c r="AE69" s="150" t="s">
        <v>14</v>
      </c>
      <c r="AF69" s="150" t="s">
        <v>9</v>
      </c>
      <c r="AG69" s="150">
        <v>10014964</v>
      </c>
      <c r="AH69" s="150"/>
      <c r="AI69" s="150"/>
      <c r="AJ69" s="237">
        <f>_xlfn.DAYS(Base_CTRs_Finalizados[[#This Row],[INÍCIO VIGÊNCIA]],Base_CTRs_Finalizados[[#This Row],[Data inicio processo]])</f>
        <v>45604</v>
      </c>
      <c r="AK69" s="266" t="s">
        <v>157</v>
      </c>
      <c r="AL69" s="266"/>
      <c r="AM69" s="266"/>
      <c r="AO69" s="17" t="s">
        <v>1865</v>
      </c>
    </row>
    <row r="70" spans="2:41" ht="18" customHeight="1" thickTop="1" thickBot="1" x14ac:dyDescent="0.3">
      <c r="C70" s="242"/>
      <c r="D70" s="242"/>
      <c r="E70" s="136" t="s">
        <v>88</v>
      </c>
      <c r="F70" s="136" t="s">
        <v>48</v>
      </c>
      <c r="G70" s="136" t="s">
        <v>361</v>
      </c>
      <c r="H70" s="78" t="s">
        <v>5</v>
      </c>
      <c r="I70" s="78" t="s">
        <v>343</v>
      </c>
      <c r="J70" s="78" t="s">
        <v>778</v>
      </c>
      <c r="K70" s="78" t="s">
        <v>777</v>
      </c>
      <c r="L70" s="261">
        <v>2024</v>
      </c>
      <c r="M70" s="146" t="s">
        <v>20</v>
      </c>
      <c r="N70" s="146" t="s">
        <v>79</v>
      </c>
      <c r="O70" s="146" t="s">
        <v>774</v>
      </c>
      <c r="P70" s="320" t="s">
        <v>1903</v>
      </c>
      <c r="Q70" s="146" t="s">
        <v>786</v>
      </c>
      <c r="R70" s="146" t="s">
        <v>787</v>
      </c>
      <c r="S70" s="281">
        <v>2024</v>
      </c>
      <c r="T70" s="243" t="str">
        <f t="shared" si="5"/>
        <v>nov/2024</v>
      </c>
      <c r="U70" s="161">
        <v>45623</v>
      </c>
      <c r="V70" s="161">
        <v>46018</v>
      </c>
      <c r="W70" s="148">
        <f>DATEDIF(Base_CTRs_Finalizados[[#This Row],[INÍCIO VIGÊNCIA]],Base_CTRs_Finalizados[[#This Row],[FINAL 
VIGÊNCIA]],"Y")</f>
        <v>1</v>
      </c>
      <c r="X70" s="146" t="s">
        <v>780</v>
      </c>
      <c r="Y70" s="146" t="s">
        <v>28</v>
      </c>
      <c r="Z70" s="146" t="s">
        <v>781</v>
      </c>
      <c r="AA70" s="146" t="s">
        <v>365</v>
      </c>
      <c r="AB70" s="236">
        <f>DATEDIF(Base_CTRs_Finalizados[[#This Row],[INÍCIO VIGÊNCIA]],Base_CTRs_Finalizados[[#This Row],[FINAL 
VIGÊNCIA]],"M")</f>
        <v>13</v>
      </c>
      <c r="AC70" s="203">
        <f t="shared" si="4"/>
        <v>5192.3076923076924</v>
      </c>
      <c r="AD70" s="203">
        <v>67500</v>
      </c>
      <c r="AE70" s="150" t="s">
        <v>16</v>
      </c>
      <c r="AF70" s="150" t="s">
        <v>9</v>
      </c>
      <c r="AG70" s="150"/>
      <c r="AH70" s="150"/>
      <c r="AI70" s="150"/>
      <c r="AJ70" s="237">
        <f>_xlfn.DAYS(Base_CTRs_Finalizados[[#This Row],[INÍCIO VIGÊNCIA]],Base_CTRs_Finalizados[[#This Row],[Data inicio processo]])</f>
        <v>45623</v>
      </c>
      <c r="AK70" s="266" t="s">
        <v>157</v>
      </c>
      <c r="AL70" s="266"/>
      <c r="AM70" s="266"/>
      <c r="AO70" s="17" t="s">
        <v>1864</v>
      </c>
    </row>
    <row r="71" spans="2:41" ht="18" customHeight="1" thickTop="1" thickBot="1" x14ac:dyDescent="0.3">
      <c r="C71" s="242"/>
      <c r="D71" s="242"/>
      <c r="E71" s="136" t="s">
        <v>90</v>
      </c>
      <c r="F71" s="136" t="s">
        <v>200</v>
      </c>
      <c r="G71" s="136" t="s">
        <v>775</v>
      </c>
      <c r="H71" s="78" t="s">
        <v>5</v>
      </c>
      <c r="I71" s="78" t="s">
        <v>343</v>
      </c>
      <c r="J71" s="78" t="s">
        <v>779</v>
      </c>
      <c r="K71" s="78" t="s">
        <v>776</v>
      </c>
      <c r="L71" s="261">
        <v>2024</v>
      </c>
      <c r="M71" s="146" t="s">
        <v>20</v>
      </c>
      <c r="N71" s="146" t="s">
        <v>80</v>
      </c>
      <c r="O71" s="146" t="s">
        <v>773</v>
      </c>
      <c r="P71" s="343" t="s">
        <v>461</v>
      </c>
      <c r="Q71" s="146" t="s">
        <v>788</v>
      </c>
      <c r="R71" s="146" t="s">
        <v>789</v>
      </c>
      <c r="S71" s="281">
        <v>2024</v>
      </c>
      <c r="T71" s="243" t="str">
        <f t="shared" si="5"/>
        <v>nov/2024</v>
      </c>
      <c r="U71" s="161">
        <v>45624</v>
      </c>
      <c r="V71" s="161">
        <v>47450</v>
      </c>
      <c r="W71" s="148">
        <f>DATEDIF(Base_CTRs_Finalizados[[#This Row],[INÍCIO VIGÊNCIA]],Base_CTRs_Finalizados[[#This Row],[FINAL 
VIGÊNCIA]],"Y")</f>
        <v>5</v>
      </c>
      <c r="X71" s="146" t="s">
        <v>782</v>
      </c>
      <c r="Y71" s="146" t="s">
        <v>33</v>
      </c>
      <c r="Z71" s="146" t="s">
        <v>783</v>
      </c>
      <c r="AA71" s="146" t="s">
        <v>784</v>
      </c>
      <c r="AB71" s="236">
        <f>DATEDIF(Base_CTRs_Finalizados[[#This Row],[INÍCIO VIGÊNCIA]],Base_CTRs_Finalizados[[#This Row],[FINAL 
VIGÊNCIA]],"M")</f>
        <v>60</v>
      </c>
      <c r="AC71" s="203">
        <f t="shared" si="4"/>
        <v>3196.14</v>
      </c>
      <c r="AD71" s="203">
        <v>191768.4</v>
      </c>
      <c r="AE71" s="150" t="s">
        <v>14</v>
      </c>
      <c r="AF71" s="150" t="s">
        <v>9</v>
      </c>
      <c r="AG71" s="150"/>
      <c r="AH71" s="150"/>
      <c r="AI71" s="150"/>
      <c r="AJ71" s="237">
        <f>_xlfn.DAYS(Base_CTRs_Finalizados[[#This Row],[INÍCIO VIGÊNCIA]],Base_CTRs_Finalizados[[#This Row],[Data inicio processo]])</f>
        <v>45624</v>
      </c>
      <c r="AK71" s="266" t="s">
        <v>157</v>
      </c>
      <c r="AL71" s="266"/>
      <c r="AM71" s="266"/>
      <c r="AO71" s="17" t="s">
        <v>1864</v>
      </c>
    </row>
    <row r="72" spans="2:41" ht="18" customHeight="1" thickTop="1" thickBot="1" x14ac:dyDescent="0.3">
      <c r="C72" s="242"/>
      <c r="D72" s="242"/>
      <c r="E72" s="136" t="s">
        <v>89</v>
      </c>
      <c r="F72" s="136" t="s">
        <v>792</v>
      </c>
      <c r="G72" s="136" t="s">
        <v>793</v>
      </c>
      <c r="H72" s="78" t="s">
        <v>7</v>
      </c>
      <c r="I72" s="78" t="s">
        <v>764</v>
      </c>
      <c r="J72" s="78" t="s">
        <v>794</v>
      </c>
      <c r="K72" s="78" t="s">
        <v>795</v>
      </c>
      <c r="L72" s="261" t="s">
        <v>155</v>
      </c>
      <c r="M72" s="146" t="s">
        <v>20</v>
      </c>
      <c r="N72" s="146" t="s">
        <v>79</v>
      </c>
      <c r="O72" s="146" t="s">
        <v>790</v>
      </c>
      <c r="P72" s="320" t="s">
        <v>1904</v>
      </c>
      <c r="Q72" s="146" t="s">
        <v>809</v>
      </c>
      <c r="R72" s="146" t="s">
        <v>395</v>
      </c>
      <c r="S72" s="281">
        <v>2024</v>
      </c>
      <c r="T72" s="243" t="str">
        <f t="shared" si="5"/>
        <v>dez/2024</v>
      </c>
      <c r="U72" s="161" t="s">
        <v>796</v>
      </c>
      <c r="V72" s="161" t="s">
        <v>797</v>
      </c>
      <c r="W72" s="146">
        <f>DATEDIF(Base_CTRs_Finalizados[[#This Row],[INÍCIO VIGÊNCIA]],Base_CTRs_Finalizados[[#This Row],[FINAL 
VIGÊNCIA]],"Y")</f>
        <v>1</v>
      </c>
      <c r="X72" s="146" t="s">
        <v>798</v>
      </c>
      <c r="Y72" s="146" t="s">
        <v>33</v>
      </c>
      <c r="Z72" s="146" t="s">
        <v>799</v>
      </c>
      <c r="AA72" s="146" t="s">
        <v>800</v>
      </c>
      <c r="AB72" s="236">
        <f>DATEDIF(Base_CTRs_Finalizados[[#This Row],[INÍCIO VIGÊNCIA]],Base_CTRs_Finalizados[[#This Row],[FINAL 
VIGÊNCIA]],"M")</f>
        <v>12</v>
      </c>
      <c r="AC72" s="203">
        <f t="shared" si="4"/>
        <v>375</v>
      </c>
      <c r="AD72" s="203">
        <v>4500</v>
      </c>
      <c r="AE72" s="150" t="s">
        <v>14</v>
      </c>
      <c r="AF72" s="150" t="s">
        <v>9</v>
      </c>
      <c r="AG72" s="150"/>
      <c r="AH72" s="150"/>
      <c r="AI72" s="150"/>
      <c r="AJ72" s="237">
        <f>_xlfn.DAYS(Base_CTRs_Finalizados[[#This Row],[INÍCIO VIGÊNCIA]],Base_CTRs_Finalizados[[#This Row],[Data inicio processo]])</f>
        <v>45636</v>
      </c>
      <c r="AK72" s="266" t="s">
        <v>157</v>
      </c>
      <c r="AL72" s="266"/>
      <c r="AM72" s="266"/>
      <c r="AO72" s="17" t="s">
        <v>1865</v>
      </c>
    </row>
    <row r="73" spans="2:41" ht="18" customHeight="1" thickTop="1" thickBot="1" x14ac:dyDescent="0.3">
      <c r="C73" s="242"/>
      <c r="D73" s="242"/>
      <c r="E73" s="136" t="s">
        <v>88</v>
      </c>
      <c r="F73" s="136" t="s">
        <v>48</v>
      </c>
      <c r="G73" s="136" t="s">
        <v>801</v>
      </c>
      <c r="H73" s="78" t="s">
        <v>7</v>
      </c>
      <c r="I73" s="78" t="s">
        <v>764</v>
      </c>
      <c r="J73" s="78" t="s">
        <v>802</v>
      </c>
      <c r="K73" s="78" t="s">
        <v>803</v>
      </c>
      <c r="L73" s="261" t="s">
        <v>155</v>
      </c>
      <c r="M73" s="146" t="s">
        <v>20</v>
      </c>
      <c r="N73" s="146" t="s">
        <v>79</v>
      </c>
      <c r="O73" s="146" t="s">
        <v>791</v>
      </c>
      <c r="P73" s="320" t="s">
        <v>1695</v>
      </c>
      <c r="Q73" s="146" t="s">
        <v>810</v>
      </c>
      <c r="R73" s="146" t="s">
        <v>811</v>
      </c>
      <c r="S73" s="281">
        <v>2024</v>
      </c>
      <c r="T73" s="243" t="str">
        <f t="shared" si="5"/>
        <v>dez/2024</v>
      </c>
      <c r="U73" s="161" t="s">
        <v>804</v>
      </c>
      <c r="V73" s="161" t="s">
        <v>805</v>
      </c>
      <c r="W73" s="146">
        <f>DATEDIF(Base_CTRs_Finalizados[[#This Row],[INÍCIO VIGÊNCIA]],Base_CTRs_Finalizados[[#This Row],[FINAL 
VIGÊNCIA]],"Y")</f>
        <v>5</v>
      </c>
      <c r="X73" s="146" t="s">
        <v>806</v>
      </c>
      <c r="Y73" s="146" t="s">
        <v>33</v>
      </c>
      <c r="Z73" s="146" t="s">
        <v>807</v>
      </c>
      <c r="AA73" s="146" t="s">
        <v>808</v>
      </c>
      <c r="AB73" s="236">
        <f>DATEDIF(Base_CTRs_Finalizados[[#This Row],[INÍCIO VIGÊNCIA]],Base_CTRs_Finalizados[[#This Row],[FINAL 
VIGÊNCIA]],"M")</f>
        <v>60</v>
      </c>
      <c r="AC73" s="203">
        <f t="shared" si="4"/>
        <v>170.98999999999998</v>
      </c>
      <c r="AD73" s="203">
        <v>10259.4</v>
      </c>
      <c r="AE73" s="150" t="s">
        <v>14</v>
      </c>
      <c r="AF73" s="150" t="s">
        <v>9</v>
      </c>
      <c r="AG73" s="150"/>
      <c r="AH73" s="150"/>
      <c r="AI73" s="150"/>
      <c r="AJ73" s="237">
        <f>_xlfn.DAYS(Base_CTRs_Finalizados[[#This Row],[INÍCIO VIGÊNCIA]],Base_CTRs_Finalizados[[#This Row],[Data inicio processo]])</f>
        <v>45643</v>
      </c>
      <c r="AK73" s="266" t="s">
        <v>157</v>
      </c>
      <c r="AL73" s="266"/>
      <c r="AM73" s="266"/>
      <c r="AO73" s="17" t="s">
        <v>1865</v>
      </c>
    </row>
    <row r="74" spans="2:41" s="17" customFormat="1" ht="18" customHeight="1" thickTop="1" thickBot="1" x14ac:dyDescent="0.3">
      <c r="B74" s="42"/>
      <c r="C74" s="242"/>
      <c r="D74" s="242"/>
      <c r="E74" s="136" t="s">
        <v>90</v>
      </c>
      <c r="F74" s="136" t="s">
        <v>46</v>
      </c>
      <c r="G74" s="136" t="s">
        <v>817</v>
      </c>
      <c r="H74" s="78" t="s">
        <v>11</v>
      </c>
      <c r="I74" s="78" t="s">
        <v>700</v>
      </c>
      <c r="J74" s="78" t="s">
        <v>818</v>
      </c>
      <c r="K74" s="78" t="s">
        <v>819</v>
      </c>
      <c r="L74" s="261" t="s">
        <v>155</v>
      </c>
      <c r="M74" s="146" t="s">
        <v>20</v>
      </c>
      <c r="N74" s="146" t="s">
        <v>79</v>
      </c>
      <c r="O74" s="146" t="s">
        <v>812</v>
      </c>
      <c r="P74" s="320" t="s">
        <v>1905</v>
      </c>
      <c r="Q74" s="146" t="s">
        <v>849</v>
      </c>
      <c r="R74" s="146" t="s">
        <v>388</v>
      </c>
      <c r="S74" s="281">
        <v>2024</v>
      </c>
      <c r="T74" s="243" t="str">
        <f t="shared" si="5"/>
        <v>dez/2024</v>
      </c>
      <c r="U74" s="161" t="s">
        <v>821</v>
      </c>
      <c r="V74" s="161" t="s">
        <v>822</v>
      </c>
      <c r="W74" s="146">
        <f>DATEDIF(Base_CTRs_Finalizados[[#This Row],[INÍCIO VIGÊNCIA]],Base_CTRs_Finalizados[[#This Row],[FINAL 
VIGÊNCIA]],"Y")</f>
        <v>4</v>
      </c>
      <c r="X74" s="146" t="s">
        <v>1103</v>
      </c>
      <c r="Y74" s="146" t="s">
        <v>1224</v>
      </c>
      <c r="Z74" s="146" t="s">
        <v>827</v>
      </c>
      <c r="AA74" s="146" t="s">
        <v>832</v>
      </c>
      <c r="AB74" s="236">
        <f>DATEDIF(Base_CTRs_Finalizados[[#This Row],[INÍCIO VIGÊNCIA]],Base_CTRs_Finalizados[[#This Row],[FINAL 
VIGÊNCIA]],"M")</f>
        <v>48</v>
      </c>
      <c r="AC74" s="203">
        <f t="shared" si="4"/>
        <v>26767.111875000002</v>
      </c>
      <c r="AD74" s="203">
        <v>1284821.3700000001</v>
      </c>
      <c r="AE74" s="150" t="s">
        <v>54</v>
      </c>
      <c r="AF74" s="150" t="s">
        <v>9</v>
      </c>
      <c r="AG74" s="150"/>
      <c r="AH74" s="150"/>
      <c r="AI74" s="150"/>
      <c r="AJ74" s="237">
        <f>_xlfn.DAYS(Base_CTRs_Finalizados[[#This Row],[INÍCIO VIGÊNCIA]],Base_CTRs_Finalizados[[#This Row],[Data inicio processo]])</f>
        <v>45644</v>
      </c>
      <c r="AK74" s="266" t="s">
        <v>1228</v>
      </c>
      <c r="AL74" s="266"/>
      <c r="AM74" s="266"/>
      <c r="AO74" s="17" t="s">
        <v>1865</v>
      </c>
    </row>
    <row r="75" spans="2:41" s="17" customFormat="1" ht="18" customHeight="1" thickTop="1" thickBot="1" x14ac:dyDescent="0.3">
      <c r="B75" s="42"/>
      <c r="C75" s="242"/>
      <c r="D75" s="242"/>
      <c r="E75" s="136" t="s">
        <v>90</v>
      </c>
      <c r="F75" s="136" t="s">
        <v>46</v>
      </c>
      <c r="G75" s="136" t="s">
        <v>817</v>
      </c>
      <c r="H75" s="78" t="s">
        <v>11</v>
      </c>
      <c r="I75" s="78" t="s">
        <v>700</v>
      </c>
      <c r="J75" s="78" t="s">
        <v>818</v>
      </c>
      <c r="K75" s="78" t="s">
        <v>819</v>
      </c>
      <c r="L75" s="261" t="s">
        <v>155</v>
      </c>
      <c r="M75" s="146" t="s">
        <v>20</v>
      </c>
      <c r="N75" s="146" t="s">
        <v>79</v>
      </c>
      <c r="O75" s="146" t="s">
        <v>813</v>
      </c>
      <c r="P75" s="320" t="s">
        <v>1906</v>
      </c>
      <c r="Q75" s="146" t="s">
        <v>848</v>
      </c>
      <c r="R75" s="146" t="s">
        <v>850</v>
      </c>
      <c r="S75" s="281">
        <v>2024</v>
      </c>
      <c r="T75" s="243" t="str">
        <f t="shared" si="5"/>
        <v>dez/2024</v>
      </c>
      <c r="U75" s="161" t="s">
        <v>821</v>
      </c>
      <c r="V75" s="161" t="s">
        <v>822</v>
      </c>
      <c r="W75" s="146">
        <f>DATEDIF(Base_CTRs_Finalizados[[#This Row],[INÍCIO VIGÊNCIA]],Base_CTRs_Finalizados[[#This Row],[FINAL 
VIGÊNCIA]],"Y")</f>
        <v>4</v>
      </c>
      <c r="X75" s="146" t="s">
        <v>1101</v>
      </c>
      <c r="Y75" s="146" t="s">
        <v>1224</v>
      </c>
      <c r="Z75" s="146" t="s">
        <v>828</v>
      </c>
      <c r="AA75" s="146" t="s">
        <v>831</v>
      </c>
      <c r="AB75" s="236">
        <f>DATEDIF(Base_CTRs_Finalizados[[#This Row],[INÍCIO VIGÊNCIA]],Base_CTRs_Finalizados[[#This Row],[FINAL 
VIGÊNCIA]],"M")</f>
        <v>48</v>
      </c>
      <c r="AC75" s="203">
        <f t="shared" si="4"/>
        <v>199970.92500000002</v>
      </c>
      <c r="AD75" s="203">
        <v>9598604.4000000004</v>
      </c>
      <c r="AE75" s="150" t="s">
        <v>54</v>
      </c>
      <c r="AF75" s="150" t="s">
        <v>9</v>
      </c>
      <c r="AG75" s="150"/>
      <c r="AH75" s="150"/>
      <c r="AI75" s="150"/>
      <c r="AJ75" s="237">
        <f>_xlfn.DAYS(Base_CTRs_Finalizados[[#This Row],[INÍCIO VIGÊNCIA]],Base_CTRs_Finalizados[[#This Row],[Data inicio processo]])</f>
        <v>45644</v>
      </c>
      <c r="AK75" s="266" t="s">
        <v>1228</v>
      </c>
      <c r="AL75" s="266"/>
      <c r="AM75" s="266"/>
      <c r="AO75" s="17" t="s">
        <v>1865</v>
      </c>
    </row>
    <row r="76" spans="2:41" s="17" customFormat="1" ht="18" customHeight="1" thickTop="1" thickBot="1" x14ac:dyDescent="0.3">
      <c r="B76" s="42"/>
      <c r="C76" s="242"/>
      <c r="D76" s="242"/>
      <c r="E76" s="136" t="s">
        <v>90</v>
      </c>
      <c r="F76" s="136" t="s">
        <v>46</v>
      </c>
      <c r="G76" s="136" t="s">
        <v>817</v>
      </c>
      <c r="H76" s="78" t="s">
        <v>11</v>
      </c>
      <c r="I76" s="78" t="s">
        <v>700</v>
      </c>
      <c r="J76" s="78" t="s">
        <v>818</v>
      </c>
      <c r="K76" s="78" t="s">
        <v>819</v>
      </c>
      <c r="L76" s="261" t="s">
        <v>155</v>
      </c>
      <c r="M76" s="146" t="s">
        <v>20</v>
      </c>
      <c r="N76" s="146" t="s">
        <v>79</v>
      </c>
      <c r="O76" s="146" t="s">
        <v>814</v>
      </c>
      <c r="P76" s="320" t="s">
        <v>1907</v>
      </c>
      <c r="Q76" s="146" t="s">
        <v>847</v>
      </c>
      <c r="R76" s="146" t="s">
        <v>850</v>
      </c>
      <c r="S76" s="281">
        <v>2024</v>
      </c>
      <c r="T76" s="243" t="str">
        <f t="shared" si="5"/>
        <v>dez/2024</v>
      </c>
      <c r="U76" s="161" t="s">
        <v>823</v>
      </c>
      <c r="V76" s="161" t="s">
        <v>824</v>
      </c>
      <c r="W76" s="146">
        <f>DATEDIF(Base_CTRs_Finalizados[[#This Row],[INÍCIO VIGÊNCIA]],Base_CTRs_Finalizados[[#This Row],[FINAL 
VIGÊNCIA]],"Y")</f>
        <v>4</v>
      </c>
      <c r="X76" s="146" t="s">
        <v>1102</v>
      </c>
      <c r="Y76" s="146" t="s">
        <v>1224</v>
      </c>
      <c r="Z76" s="146" t="s">
        <v>829</v>
      </c>
      <c r="AA76" s="146" t="s">
        <v>830</v>
      </c>
      <c r="AB76" s="236">
        <f>DATEDIF(Base_CTRs_Finalizados[[#This Row],[INÍCIO VIGÊNCIA]],Base_CTRs_Finalizados[[#This Row],[FINAL 
VIGÊNCIA]],"M")</f>
        <v>48</v>
      </c>
      <c r="AC76" s="203">
        <f t="shared" si="4"/>
        <v>12050.060416666667</v>
      </c>
      <c r="AD76" s="203">
        <v>578402.9</v>
      </c>
      <c r="AE76" s="150" t="s">
        <v>54</v>
      </c>
      <c r="AF76" s="150" t="s">
        <v>9</v>
      </c>
      <c r="AG76" s="150"/>
      <c r="AH76" s="150"/>
      <c r="AI76" s="150"/>
      <c r="AJ76" s="237">
        <f>_xlfn.DAYS(Base_CTRs_Finalizados[[#This Row],[INÍCIO VIGÊNCIA]],Base_CTRs_Finalizados[[#This Row],[Data inicio processo]])</f>
        <v>45645</v>
      </c>
      <c r="AK76" s="266" t="s">
        <v>1228</v>
      </c>
      <c r="AL76" s="266"/>
      <c r="AM76" s="266"/>
      <c r="AO76" s="17" t="s">
        <v>1865</v>
      </c>
    </row>
    <row r="77" spans="2:41" s="17" customFormat="1" ht="18" customHeight="1" thickTop="1" thickBot="1" x14ac:dyDescent="0.3">
      <c r="B77" s="42"/>
      <c r="C77" s="242"/>
      <c r="D77" s="242"/>
      <c r="E77" s="136" t="s">
        <v>90</v>
      </c>
      <c r="F77" s="136" t="s">
        <v>46</v>
      </c>
      <c r="G77" s="136" t="s">
        <v>833</v>
      </c>
      <c r="H77" s="78" t="s">
        <v>11</v>
      </c>
      <c r="I77" s="78" t="s">
        <v>700</v>
      </c>
      <c r="J77" s="78" t="s">
        <v>834</v>
      </c>
      <c r="K77" s="78" t="s">
        <v>835</v>
      </c>
      <c r="L77" s="261" t="s">
        <v>155</v>
      </c>
      <c r="M77" s="146" t="s">
        <v>20</v>
      </c>
      <c r="N77" s="146" t="s">
        <v>79</v>
      </c>
      <c r="O77" s="202" t="s">
        <v>815</v>
      </c>
      <c r="P77" s="320" t="s">
        <v>1696</v>
      </c>
      <c r="Q77" s="146" t="s">
        <v>851</v>
      </c>
      <c r="R77" s="146" t="s">
        <v>853</v>
      </c>
      <c r="S77" s="281">
        <v>2024</v>
      </c>
      <c r="T77" s="243" t="str">
        <f t="shared" si="5"/>
        <v>dez/2024</v>
      </c>
      <c r="U77" s="161" t="s">
        <v>836</v>
      </c>
      <c r="V77" s="161" t="s">
        <v>837</v>
      </c>
      <c r="W77" s="146">
        <f>DATEDIF(Base_CTRs_Finalizados[[#This Row],[INÍCIO VIGÊNCIA]],Base_CTRs_Finalizados[[#This Row],[FINAL 
VIGÊNCIA]],"Y")</f>
        <v>4</v>
      </c>
      <c r="X77" s="146" t="s">
        <v>1104</v>
      </c>
      <c r="Y77" s="146" t="s">
        <v>1224</v>
      </c>
      <c r="Z77" s="146" t="s">
        <v>828</v>
      </c>
      <c r="AA77" s="146" t="s">
        <v>831</v>
      </c>
      <c r="AB77" s="236">
        <f>DATEDIF(Base_CTRs_Finalizados[[#This Row],[INÍCIO VIGÊNCIA]],Base_CTRs_Finalizados[[#This Row],[FINAL 
VIGÊNCIA]],"M")</f>
        <v>48</v>
      </c>
      <c r="AC77" s="203">
        <f t="shared" si="4"/>
        <v>931843.07874999999</v>
      </c>
      <c r="AD77" s="203">
        <v>44728467.780000001</v>
      </c>
      <c r="AE77" s="150" t="s">
        <v>54</v>
      </c>
      <c r="AF77" s="150" t="s">
        <v>9</v>
      </c>
      <c r="AG77" s="150"/>
      <c r="AH77" s="150"/>
      <c r="AI77" s="150"/>
      <c r="AJ77" s="237">
        <f>_xlfn.DAYS(Base_CTRs_Finalizados[[#This Row],[INÍCIO VIGÊNCIA]],Base_CTRs_Finalizados[[#This Row],[Data inicio processo]])</f>
        <v>45653</v>
      </c>
      <c r="AK77" s="266" t="s">
        <v>1229</v>
      </c>
      <c r="AL77" s="266"/>
      <c r="AM77" s="266"/>
      <c r="AO77" s="17" t="s">
        <v>1865</v>
      </c>
    </row>
    <row r="78" spans="2:41" s="17" customFormat="1" ht="18" customHeight="1" thickTop="1" thickBot="1" x14ac:dyDescent="0.3">
      <c r="B78" s="42"/>
      <c r="C78" s="242"/>
      <c r="D78" s="242"/>
      <c r="E78" s="136" t="s">
        <v>90</v>
      </c>
      <c r="F78" s="136" t="s">
        <v>46</v>
      </c>
      <c r="G78" s="136" t="s">
        <v>833</v>
      </c>
      <c r="H78" s="78" t="s">
        <v>11</v>
      </c>
      <c r="I78" s="78" t="s">
        <v>700</v>
      </c>
      <c r="J78" s="78" t="s">
        <v>834</v>
      </c>
      <c r="K78" s="78" t="s">
        <v>835</v>
      </c>
      <c r="L78" s="261" t="s">
        <v>155</v>
      </c>
      <c r="M78" s="146" t="s">
        <v>20</v>
      </c>
      <c r="N78" s="146" t="s">
        <v>79</v>
      </c>
      <c r="O78" s="202" t="s">
        <v>816</v>
      </c>
      <c r="P78" s="320" t="s">
        <v>1697</v>
      </c>
      <c r="Q78" s="146" t="s">
        <v>852</v>
      </c>
      <c r="R78" s="146" t="s">
        <v>853</v>
      </c>
      <c r="S78" s="281">
        <v>2024</v>
      </c>
      <c r="T78" s="243" t="str">
        <f t="shared" si="5"/>
        <v>dez/2024</v>
      </c>
      <c r="U78" s="161" t="s">
        <v>836</v>
      </c>
      <c r="V78" s="161" t="s">
        <v>837</v>
      </c>
      <c r="W78" s="146">
        <f>DATEDIF(Base_CTRs_Finalizados[[#This Row],[INÍCIO VIGÊNCIA]],Base_CTRs_Finalizados[[#This Row],[FINAL 
VIGÊNCIA]],"Y")</f>
        <v>4</v>
      </c>
      <c r="X78" s="146" t="s">
        <v>1105</v>
      </c>
      <c r="Y78" s="146" t="s">
        <v>1224</v>
      </c>
      <c r="Z78" s="146" t="s">
        <v>839</v>
      </c>
      <c r="AA78" s="146" t="s">
        <v>840</v>
      </c>
      <c r="AB78" s="236">
        <f>DATEDIF(Base_CTRs_Finalizados[[#This Row],[INÍCIO VIGÊNCIA]],Base_CTRs_Finalizados[[#This Row],[FINAL 
VIGÊNCIA]],"M")</f>
        <v>48</v>
      </c>
      <c r="AC78" s="203">
        <f t="shared" si="4"/>
        <v>53431.744791666664</v>
      </c>
      <c r="AD78" s="203">
        <v>2564723.75</v>
      </c>
      <c r="AE78" s="150" t="s">
        <v>54</v>
      </c>
      <c r="AF78" s="150" t="s">
        <v>9</v>
      </c>
      <c r="AG78" s="150"/>
      <c r="AH78" s="150"/>
      <c r="AI78" s="150"/>
      <c r="AJ78" s="237">
        <f>_xlfn.DAYS(Base_CTRs_Finalizados[[#This Row],[INÍCIO VIGÊNCIA]],Base_CTRs_Finalizados[[#This Row],[Data inicio processo]])</f>
        <v>45653</v>
      </c>
      <c r="AK78" s="266" t="s">
        <v>1229</v>
      </c>
      <c r="AL78" s="266"/>
      <c r="AM78" s="266"/>
      <c r="AO78" s="17" t="s">
        <v>1865</v>
      </c>
    </row>
    <row r="79" spans="2:41" ht="18" customHeight="1" thickTop="1" thickBot="1" x14ac:dyDescent="0.3">
      <c r="C79" s="242"/>
      <c r="D79" s="242"/>
      <c r="E79" s="136" t="s">
        <v>89</v>
      </c>
      <c r="F79" s="136" t="s">
        <v>150</v>
      </c>
      <c r="G79" s="136" t="s">
        <v>863</v>
      </c>
      <c r="H79" s="78" t="s">
        <v>4</v>
      </c>
      <c r="I79" s="78" t="s">
        <v>505</v>
      </c>
      <c r="J79" s="78" t="s">
        <v>923</v>
      </c>
      <c r="K79" s="78" t="s">
        <v>924</v>
      </c>
      <c r="L79" s="261" t="s">
        <v>155</v>
      </c>
      <c r="M79" s="146" t="s">
        <v>21</v>
      </c>
      <c r="N79" s="146" t="s">
        <v>79</v>
      </c>
      <c r="O79" s="202" t="s">
        <v>879</v>
      </c>
      <c r="P79" s="320" t="s">
        <v>1698</v>
      </c>
      <c r="Q79" s="202" t="s">
        <v>925</v>
      </c>
      <c r="R79" s="202" t="s">
        <v>706</v>
      </c>
      <c r="S79" s="281">
        <v>2024</v>
      </c>
      <c r="T79" s="243" t="str">
        <f t="shared" si="5"/>
        <v>ago/2024</v>
      </c>
      <c r="U79" s="161" t="s">
        <v>926</v>
      </c>
      <c r="V79" s="161" t="s">
        <v>927</v>
      </c>
      <c r="W79" s="146">
        <f>DATEDIF(Base_CTRs_Finalizados[[#This Row],[INÍCIO VIGÊNCIA]],Base_CTRs_Finalizados[[#This Row],[FINAL 
VIGÊNCIA]],"Y")</f>
        <v>1</v>
      </c>
      <c r="X79" s="244" t="s">
        <v>895</v>
      </c>
      <c r="Y79" s="244" t="s">
        <v>33</v>
      </c>
      <c r="Z79" s="146" t="s">
        <v>928</v>
      </c>
      <c r="AA79" s="146" t="s">
        <v>929</v>
      </c>
      <c r="AB79" s="236">
        <f>DATEDIF(Base_CTRs_Finalizados[[#This Row],[INÍCIO VIGÊNCIA]],Base_CTRs_Finalizados[[#This Row],[FINAL 
VIGÊNCIA]],"M")</f>
        <v>12</v>
      </c>
      <c r="AC79" s="203">
        <f t="shared" si="4"/>
        <v>249.4</v>
      </c>
      <c r="AD79" s="203">
        <v>2992.8</v>
      </c>
      <c r="AE79" s="150" t="s">
        <v>14</v>
      </c>
      <c r="AF79" s="150" t="s">
        <v>9</v>
      </c>
      <c r="AG79" s="150"/>
      <c r="AH79" s="150"/>
      <c r="AI79" s="150"/>
      <c r="AJ79" s="237">
        <f>_xlfn.DAYS(Base_CTRs_Finalizados[[#This Row],[INÍCIO VIGÊNCIA]],Base_CTRs_Finalizados[[#This Row],[Data inicio processo]])</f>
        <v>45533</v>
      </c>
      <c r="AK79" s="266" t="s">
        <v>157</v>
      </c>
      <c r="AL79" s="266"/>
      <c r="AM79" s="266"/>
      <c r="AO79" s="17" t="s">
        <v>1865</v>
      </c>
    </row>
    <row r="80" spans="2:41" ht="18" customHeight="1" thickTop="1" thickBot="1" x14ac:dyDescent="0.3">
      <c r="C80" s="242"/>
      <c r="D80" s="242"/>
      <c r="E80" s="136" t="s">
        <v>88</v>
      </c>
      <c r="F80" s="136" t="s">
        <v>48</v>
      </c>
      <c r="G80" s="136" t="s">
        <v>864</v>
      </c>
      <c r="H80" s="78" t="s">
        <v>7</v>
      </c>
      <c r="I80" s="78" t="s">
        <v>764</v>
      </c>
      <c r="J80" s="78" t="s">
        <v>931</v>
      </c>
      <c r="K80" s="78" t="s">
        <v>930</v>
      </c>
      <c r="L80" s="261" t="s">
        <v>155</v>
      </c>
      <c r="M80" s="146" t="s">
        <v>21</v>
      </c>
      <c r="N80" s="146" t="s">
        <v>79</v>
      </c>
      <c r="O80" s="202" t="s">
        <v>880</v>
      </c>
      <c r="P80" s="320" t="s">
        <v>1699</v>
      </c>
      <c r="Q80" s="202" t="s">
        <v>932</v>
      </c>
      <c r="R80" s="202" t="s">
        <v>562</v>
      </c>
      <c r="S80" s="281">
        <v>2024</v>
      </c>
      <c r="T80" s="243" t="str">
        <f t="shared" si="5"/>
        <v>nov/2024</v>
      </c>
      <c r="U80" s="161" t="s">
        <v>933</v>
      </c>
      <c r="V80" s="161" t="s">
        <v>934</v>
      </c>
      <c r="W80" s="146">
        <f>DATEDIF(Base_CTRs_Finalizados[[#This Row],[INÍCIO VIGÊNCIA]],Base_CTRs_Finalizados[[#This Row],[FINAL 
VIGÊNCIA]],"Y")</f>
        <v>1</v>
      </c>
      <c r="X80" s="244" t="s">
        <v>896</v>
      </c>
      <c r="Y80" s="244" t="s">
        <v>33</v>
      </c>
      <c r="Z80" s="146" t="s">
        <v>935</v>
      </c>
      <c r="AA80" s="146" t="s">
        <v>936</v>
      </c>
      <c r="AB80" s="236">
        <f>DATEDIF(Base_CTRs_Finalizados[[#This Row],[INÍCIO VIGÊNCIA]],Base_CTRs_Finalizados[[#This Row],[FINAL 
VIGÊNCIA]],"M")</f>
        <v>12</v>
      </c>
      <c r="AC80" s="203">
        <f t="shared" si="4"/>
        <v>2458.3333333333335</v>
      </c>
      <c r="AD80" s="203">
        <v>29500</v>
      </c>
      <c r="AE80" s="150" t="s">
        <v>14</v>
      </c>
      <c r="AF80" s="150" t="s">
        <v>9</v>
      </c>
      <c r="AG80" s="150"/>
      <c r="AH80" s="150"/>
      <c r="AI80" s="150"/>
      <c r="AJ80" s="237">
        <f>_xlfn.DAYS(Base_CTRs_Finalizados[[#This Row],[INÍCIO VIGÊNCIA]],Base_CTRs_Finalizados[[#This Row],[Data inicio processo]])</f>
        <v>45604</v>
      </c>
      <c r="AK80" s="266" t="s">
        <v>157</v>
      </c>
      <c r="AL80" s="266"/>
      <c r="AM80" s="266"/>
      <c r="AO80" s="17" t="s">
        <v>1865</v>
      </c>
    </row>
    <row r="81" spans="3:41" ht="18" customHeight="1" thickTop="1" thickBot="1" x14ac:dyDescent="0.3">
      <c r="C81" s="242"/>
      <c r="D81" s="242"/>
      <c r="E81" s="136" t="s">
        <v>88</v>
      </c>
      <c r="F81" s="136" t="s">
        <v>49</v>
      </c>
      <c r="G81" s="136" t="s">
        <v>865</v>
      </c>
      <c r="H81" s="78" t="s">
        <v>4</v>
      </c>
      <c r="I81" s="78" t="s">
        <v>505</v>
      </c>
      <c r="J81" s="78" t="s">
        <v>938</v>
      </c>
      <c r="K81" s="78" t="s">
        <v>937</v>
      </c>
      <c r="L81" s="261" t="s">
        <v>155</v>
      </c>
      <c r="M81" s="146" t="s">
        <v>21</v>
      </c>
      <c r="N81" s="146" t="s">
        <v>79</v>
      </c>
      <c r="O81" s="202" t="s">
        <v>881</v>
      </c>
      <c r="P81" s="320" t="s">
        <v>1700</v>
      </c>
      <c r="Q81" s="202" t="s">
        <v>939</v>
      </c>
      <c r="R81" s="202" t="s">
        <v>738</v>
      </c>
      <c r="S81" s="281">
        <v>2024</v>
      </c>
      <c r="T81" s="243" t="str">
        <f t="shared" si="5"/>
        <v>nov/2024</v>
      </c>
      <c r="U81" s="161" t="s">
        <v>940</v>
      </c>
      <c r="V81" s="161" t="s">
        <v>941</v>
      </c>
      <c r="W81" s="146">
        <f>DATEDIF(Base_CTRs_Finalizados[[#This Row],[INÍCIO VIGÊNCIA]],Base_CTRs_Finalizados[[#This Row],[FINAL 
VIGÊNCIA]],"Y")</f>
        <v>1</v>
      </c>
      <c r="X81" s="244" t="s">
        <v>897</v>
      </c>
      <c r="Y81" s="244" t="s">
        <v>33</v>
      </c>
      <c r="Z81" s="146" t="s">
        <v>235</v>
      </c>
      <c r="AA81" s="146" t="s">
        <v>236</v>
      </c>
      <c r="AB81" s="236">
        <f>DATEDIF(Base_CTRs_Finalizados[[#This Row],[INÍCIO VIGÊNCIA]],Base_CTRs_Finalizados[[#This Row],[FINAL 
VIGÊNCIA]],"M")</f>
        <v>12</v>
      </c>
      <c r="AC81" s="203">
        <f t="shared" si="4"/>
        <v>328.66666666666669</v>
      </c>
      <c r="AD81" s="203">
        <v>3944</v>
      </c>
      <c r="AE81" s="150" t="s">
        <v>14</v>
      </c>
      <c r="AF81" s="150" t="s">
        <v>9</v>
      </c>
      <c r="AG81" s="150"/>
      <c r="AH81" s="150"/>
      <c r="AI81" s="150"/>
      <c r="AJ81" s="237">
        <f>_xlfn.DAYS(Base_CTRs_Finalizados[[#This Row],[INÍCIO VIGÊNCIA]],Base_CTRs_Finalizados[[#This Row],[Data inicio processo]])</f>
        <v>45623</v>
      </c>
      <c r="AK81" s="266" t="s">
        <v>157</v>
      </c>
      <c r="AL81" s="266"/>
      <c r="AM81" s="266"/>
      <c r="AO81" s="17" t="s">
        <v>1865</v>
      </c>
    </row>
    <row r="82" spans="3:41" ht="18" customHeight="1" thickTop="1" thickBot="1" x14ac:dyDescent="0.3">
      <c r="C82" s="242"/>
      <c r="D82" s="242"/>
      <c r="E82" s="136" t="s">
        <v>88</v>
      </c>
      <c r="F82" s="136" t="s">
        <v>52</v>
      </c>
      <c r="G82" s="136" t="s">
        <v>866</v>
      </c>
      <c r="H82" s="78" t="s">
        <v>4</v>
      </c>
      <c r="I82" s="78" t="s">
        <v>505</v>
      </c>
      <c r="J82" s="78" t="s">
        <v>949</v>
      </c>
      <c r="K82" s="78" t="s">
        <v>942</v>
      </c>
      <c r="L82" s="261" t="s">
        <v>155</v>
      </c>
      <c r="M82" s="146" t="s">
        <v>21</v>
      </c>
      <c r="N82" s="146" t="s">
        <v>79</v>
      </c>
      <c r="O82" s="202" t="s">
        <v>882</v>
      </c>
      <c r="P82" s="320" t="s">
        <v>1701</v>
      </c>
      <c r="Q82" s="202" t="s">
        <v>943</v>
      </c>
      <c r="R82" s="202" t="s">
        <v>510</v>
      </c>
      <c r="S82" s="281">
        <v>2024</v>
      </c>
      <c r="T82" s="243" t="str">
        <f t="shared" si="5"/>
        <v>nov/2024</v>
      </c>
      <c r="U82" s="161" t="s">
        <v>944</v>
      </c>
      <c r="V82" s="161" t="s">
        <v>945</v>
      </c>
      <c r="W82" s="146">
        <f>DATEDIF(Base_CTRs_Finalizados[[#This Row],[INÍCIO VIGÊNCIA]],Base_CTRs_Finalizados[[#This Row],[FINAL 
VIGÊNCIA]],"Y")</f>
        <v>1</v>
      </c>
      <c r="X82" s="244" t="s">
        <v>898</v>
      </c>
      <c r="Y82" s="244" t="s">
        <v>33</v>
      </c>
      <c r="Z82" s="146" t="s">
        <v>946</v>
      </c>
      <c r="AA82" s="146" t="s">
        <v>478</v>
      </c>
      <c r="AB82" s="236">
        <f>DATEDIF(Base_CTRs_Finalizados[[#This Row],[INÍCIO VIGÊNCIA]],Base_CTRs_Finalizados[[#This Row],[FINAL 
VIGÊNCIA]],"M")</f>
        <v>12</v>
      </c>
      <c r="AC82" s="203">
        <f t="shared" si="4"/>
        <v>3066.6666666666665</v>
      </c>
      <c r="AD82" s="203">
        <v>36800</v>
      </c>
      <c r="AE82" s="150" t="s">
        <v>14</v>
      </c>
      <c r="AF82" s="150" t="s">
        <v>9</v>
      </c>
      <c r="AG82" s="150"/>
      <c r="AH82" s="150"/>
      <c r="AI82" s="150"/>
      <c r="AJ82" s="237">
        <f>_xlfn.DAYS(Base_CTRs_Finalizados[[#This Row],[INÍCIO VIGÊNCIA]],Base_CTRs_Finalizados[[#This Row],[Data inicio processo]])</f>
        <v>45625</v>
      </c>
      <c r="AK82" s="266" t="s">
        <v>157</v>
      </c>
      <c r="AL82" s="266"/>
      <c r="AM82" s="266"/>
      <c r="AO82" s="17" t="s">
        <v>1865</v>
      </c>
    </row>
    <row r="83" spans="3:41" ht="18" customHeight="1" thickTop="1" thickBot="1" x14ac:dyDescent="0.3">
      <c r="C83" s="242"/>
      <c r="D83" s="242"/>
      <c r="E83" s="136" t="s">
        <v>90</v>
      </c>
      <c r="F83" s="136" t="s">
        <v>947</v>
      </c>
      <c r="G83" s="136" t="s">
        <v>867</v>
      </c>
      <c r="H83" s="78" t="s">
        <v>4</v>
      </c>
      <c r="I83" s="78" t="s">
        <v>505</v>
      </c>
      <c r="J83" s="78" t="s">
        <v>950</v>
      </c>
      <c r="K83" s="78" t="s">
        <v>948</v>
      </c>
      <c r="L83" s="261" t="s">
        <v>155</v>
      </c>
      <c r="M83" s="146" t="s">
        <v>21</v>
      </c>
      <c r="N83" s="146" t="s">
        <v>79</v>
      </c>
      <c r="O83" s="202" t="s">
        <v>883</v>
      </c>
      <c r="P83" s="320" t="s">
        <v>1702</v>
      </c>
      <c r="Q83" s="202" t="s">
        <v>951</v>
      </c>
      <c r="R83" s="202" t="s">
        <v>510</v>
      </c>
      <c r="S83" s="281">
        <v>2024</v>
      </c>
      <c r="T83" s="243" t="str">
        <f t="shared" si="5"/>
        <v>dez/2024</v>
      </c>
      <c r="U83" s="161" t="s">
        <v>952</v>
      </c>
      <c r="V83" s="161" t="s">
        <v>953</v>
      </c>
      <c r="W83" s="146">
        <f>DATEDIF(Base_CTRs_Finalizados[[#This Row],[INÍCIO VIGÊNCIA]],Base_CTRs_Finalizados[[#This Row],[FINAL 
VIGÊNCIA]],"Y")</f>
        <v>1</v>
      </c>
      <c r="X83" s="244" t="s">
        <v>899</v>
      </c>
      <c r="Y83" s="244" t="s">
        <v>33</v>
      </c>
      <c r="Z83" s="146" t="s">
        <v>954</v>
      </c>
      <c r="AA83" s="146" t="s">
        <v>955</v>
      </c>
      <c r="AB83" s="236">
        <f>DATEDIF(Base_CTRs_Finalizados[[#This Row],[INÍCIO VIGÊNCIA]],Base_CTRs_Finalizados[[#This Row],[FINAL 
VIGÊNCIA]],"M")</f>
        <v>12</v>
      </c>
      <c r="AC83" s="203">
        <f t="shared" si="4"/>
        <v>449.77500000000003</v>
      </c>
      <c r="AD83" s="203">
        <v>5397.3</v>
      </c>
      <c r="AE83" s="150" t="s">
        <v>14</v>
      </c>
      <c r="AF83" s="150" t="s">
        <v>9</v>
      </c>
      <c r="AG83" s="150"/>
      <c r="AH83" s="150"/>
      <c r="AI83" s="150"/>
      <c r="AJ83" s="237">
        <f>_xlfn.DAYS(Base_CTRs_Finalizados[[#This Row],[INÍCIO VIGÊNCIA]],Base_CTRs_Finalizados[[#This Row],[Data inicio processo]])</f>
        <v>45628</v>
      </c>
      <c r="AK83" s="266" t="s">
        <v>157</v>
      </c>
      <c r="AL83" s="266"/>
      <c r="AM83" s="266"/>
      <c r="AO83" s="17" t="s">
        <v>1865</v>
      </c>
    </row>
    <row r="84" spans="3:41" ht="18" customHeight="1" thickTop="1" thickBot="1" x14ac:dyDescent="0.3">
      <c r="C84" s="242"/>
      <c r="D84" s="242"/>
      <c r="E84" s="136" t="s">
        <v>88</v>
      </c>
      <c r="F84" s="136" t="s">
        <v>52</v>
      </c>
      <c r="G84" s="136" t="s">
        <v>868</v>
      </c>
      <c r="H84" s="78" t="s">
        <v>4</v>
      </c>
      <c r="I84" s="78" t="s">
        <v>505</v>
      </c>
      <c r="J84" s="78" t="s">
        <v>956</v>
      </c>
      <c r="K84" s="78" t="s">
        <v>957</v>
      </c>
      <c r="L84" s="261" t="s">
        <v>155</v>
      </c>
      <c r="M84" s="146" t="s">
        <v>21</v>
      </c>
      <c r="N84" s="146" t="s">
        <v>79</v>
      </c>
      <c r="O84" s="202" t="s">
        <v>884</v>
      </c>
      <c r="P84" s="320" t="s">
        <v>1703</v>
      </c>
      <c r="Q84" s="202" t="s">
        <v>958</v>
      </c>
      <c r="R84" s="202" t="s">
        <v>959</v>
      </c>
      <c r="S84" s="281">
        <v>2024</v>
      </c>
      <c r="T84" s="243" t="str">
        <f t="shared" si="5"/>
        <v>dez/2024</v>
      </c>
      <c r="U84" s="161" t="s">
        <v>952</v>
      </c>
      <c r="V84" s="161" t="s">
        <v>953</v>
      </c>
      <c r="W84" s="146">
        <f>DATEDIF(Base_CTRs_Finalizados[[#This Row],[INÍCIO VIGÊNCIA]],Base_CTRs_Finalizados[[#This Row],[FINAL 
VIGÊNCIA]],"Y")</f>
        <v>1</v>
      </c>
      <c r="X84" s="244" t="s">
        <v>900</v>
      </c>
      <c r="Y84" s="244" t="s">
        <v>33</v>
      </c>
      <c r="Z84" s="146" t="s">
        <v>960</v>
      </c>
      <c r="AA84" s="146" t="s">
        <v>961</v>
      </c>
      <c r="AB84" s="236">
        <f>DATEDIF(Base_CTRs_Finalizados[[#This Row],[INÍCIO VIGÊNCIA]],Base_CTRs_Finalizados[[#This Row],[FINAL 
VIGÊNCIA]],"M")</f>
        <v>12</v>
      </c>
      <c r="AC84" s="203">
        <f t="shared" si="4"/>
        <v>208.08333333333334</v>
      </c>
      <c r="AD84" s="203">
        <v>2497</v>
      </c>
      <c r="AE84" s="150" t="s">
        <v>14</v>
      </c>
      <c r="AF84" s="150" t="s">
        <v>9</v>
      </c>
      <c r="AG84" s="150"/>
      <c r="AH84" s="150"/>
      <c r="AI84" s="150"/>
      <c r="AJ84" s="237">
        <f>_xlfn.DAYS(Base_CTRs_Finalizados[[#This Row],[INÍCIO VIGÊNCIA]],Base_CTRs_Finalizados[[#This Row],[Data inicio processo]])</f>
        <v>45628</v>
      </c>
      <c r="AK84" s="266" t="s">
        <v>157</v>
      </c>
      <c r="AL84" s="266"/>
      <c r="AM84" s="266"/>
      <c r="AO84" s="17" t="s">
        <v>1865</v>
      </c>
    </row>
    <row r="85" spans="3:41" ht="18" customHeight="1" thickTop="1" thickBot="1" x14ac:dyDescent="0.3">
      <c r="C85" s="242"/>
      <c r="D85" s="242"/>
      <c r="E85" s="136" t="s">
        <v>88</v>
      </c>
      <c r="F85" s="136" t="s">
        <v>52</v>
      </c>
      <c r="G85" s="136" t="s">
        <v>869</v>
      </c>
      <c r="H85" s="78" t="s">
        <v>4</v>
      </c>
      <c r="I85" s="78" t="s">
        <v>505</v>
      </c>
      <c r="J85" s="78" t="s">
        <v>962</v>
      </c>
      <c r="K85" s="78" t="s">
        <v>963</v>
      </c>
      <c r="L85" s="261" t="s">
        <v>155</v>
      </c>
      <c r="M85" s="146" t="s">
        <v>21</v>
      </c>
      <c r="N85" s="146" t="s">
        <v>79</v>
      </c>
      <c r="O85" s="202" t="s">
        <v>885</v>
      </c>
      <c r="P85" s="320" t="s">
        <v>1704</v>
      </c>
      <c r="Q85" s="202" t="s">
        <v>964</v>
      </c>
      <c r="R85" s="202" t="s">
        <v>965</v>
      </c>
      <c r="S85" s="281">
        <v>2024</v>
      </c>
      <c r="T85" s="243" t="str">
        <f t="shared" si="5"/>
        <v>dez/2024</v>
      </c>
      <c r="U85" s="161" t="s">
        <v>952</v>
      </c>
      <c r="V85" s="161" t="s">
        <v>953</v>
      </c>
      <c r="W85" s="146">
        <f>DATEDIF(Base_CTRs_Finalizados[[#This Row],[INÍCIO VIGÊNCIA]],Base_CTRs_Finalizados[[#This Row],[FINAL 
VIGÊNCIA]],"Y")</f>
        <v>1</v>
      </c>
      <c r="X85" s="244" t="s">
        <v>901</v>
      </c>
      <c r="Y85" s="244" t="s">
        <v>33</v>
      </c>
      <c r="Z85" s="146" t="s">
        <v>966</v>
      </c>
      <c r="AA85" s="146" t="s">
        <v>967</v>
      </c>
      <c r="AB85" s="236">
        <f>DATEDIF(Base_CTRs_Finalizados[[#This Row],[INÍCIO VIGÊNCIA]],Base_CTRs_Finalizados[[#This Row],[FINAL 
VIGÊNCIA]],"M")</f>
        <v>12</v>
      </c>
      <c r="AC85" s="203">
        <f t="shared" si="4"/>
        <v>666.66666666666663</v>
      </c>
      <c r="AD85" s="203">
        <v>8000</v>
      </c>
      <c r="AE85" s="150" t="s">
        <v>14</v>
      </c>
      <c r="AF85" s="150" t="s">
        <v>9</v>
      </c>
      <c r="AG85" s="150"/>
      <c r="AH85" s="150"/>
      <c r="AI85" s="150"/>
      <c r="AJ85" s="237">
        <f>_xlfn.DAYS(Base_CTRs_Finalizados[[#This Row],[INÍCIO VIGÊNCIA]],Base_CTRs_Finalizados[[#This Row],[Data inicio processo]])</f>
        <v>45628</v>
      </c>
      <c r="AK85" s="266" t="s">
        <v>157</v>
      </c>
      <c r="AL85" s="266"/>
      <c r="AM85" s="266"/>
      <c r="AO85" s="17" t="s">
        <v>1865</v>
      </c>
    </row>
    <row r="86" spans="3:41" ht="18" customHeight="1" thickTop="1" thickBot="1" x14ac:dyDescent="0.3">
      <c r="C86" s="242"/>
      <c r="D86" s="242"/>
      <c r="E86" s="136" t="s">
        <v>88</v>
      </c>
      <c r="F86" s="136" t="s">
        <v>52</v>
      </c>
      <c r="G86" s="136" t="s">
        <v>870</v>
      </c>
      <c r="H86" s="78" t="s">
        <v>4</v>
      </c>
      <c r="I86" s="78" t="s">
        <v>505</v>
      </c>
      <c r="J86" s="78" t="s">
        <v>968</v>
      </c>
      <c r="K86" s="78" t="s">
        <v>969</v>
      </c>
      <c r="L86" s="261" t="s">
        <v>155</v>
      </c>
      <c r="M86" s="146" t="s">
        <v>21</v>
      </c>
      <c r="N86" s="146" t="s">
        <v>79</v>
      </c>
      <c r="O86" s="202" t="s">
        <v>886</v>
      </c>
      <c r="P86" s="320" t="s">
        <v>1705</v>
      </c>
      <c r="Q86" s="202" t="s">
        <v>970</v>
      </c>
      <c r="R86" s="202" t="s">
        <v>510</v>
      </c>
      <c r="S86" s="281">
        <v>2024</v>
      </c>
      <c r="T86" s="243" t="str">
        <f t="shared" si="5"/>
        <v>dez/2024</v>
      </c>
      <c r="U86" s="161" t="s">
        <v>971</v>
      </c>
      <c r="V86" s="161" t="s">
        <v>972</v>
      </c>
      <c r="W86" s="146">
        <f>DATEDIF(Base_CTRs_Finalizados[[#This Row],[INÍCIO VIGÊNCIA]],Base_CTRs_Finalizados[[#This Row],[FINAL 
VIGÊNCIA]],"Y")</f>
        <v>1</v>
      </c>
      <c r="X86" s="244" t="s">
        <v>902</v>
      </c>
      <c r="Y86" s="244" t="s">
        <v>33</v>
      </c>
      <c r="Z86" s="146" t="s">
        <v>973</v>
      </c>
      <c r="AA86" s="146" t="s">
        <v>974</v>
      </c>
      <c r="AB86" s="236">
        <f>DATEDIF(Base_CTRs_Finalizados[[#This Row],[INÍCIO VIGÊNCIA]],Base_CTRs_Finalizados[[#This Row],[FINAL 
VIGÊNCIA]],"M")</f>
        <v>12</v>
      </c>
      <c r="AC86" s="203">
        <f t="shared" si="4"/>
        <v>41.583333333333336</v>
      </c>
      <c r="AD86" s="203">
        <v>499</v>
      </c>
      <c r="AE86" s="150" t="s">
        <v>14</v>
      </c>
      <c r="AF86" s="150" t="s">
        <v>9</v>
      </c>
      <c r="AG86" s="150"/>
      <c r="AH86" s="150"/>
      <c r="AI86" s="150"/>
      <c r="AJ86" s="237">
        <f>_xlfn.DAYS(Base_CTRs_Finalizados[[#This Row],[INÍCIO VIGÊNCIA]],Base_CTRs_Finalizados[[#This Row],[Data inicio processo]])</f>
        <v>45630</v>
      </c>
      <c r="AK86" s="266" t="s">
        <v>157</v>
      </c>
      <c r="AL86" s="266"/>
      <c r="AM86" s="266"/>
      <c r="AO86" s="17" t="s">
        <v>1865</v>
      </c>
    </row>
    <row r="87" spans="3:41" ht="18" customHeight="1" thickTop="1" thickBot="1" x14ac:dyDescent="0.3">
      <c r="C87" s="242"/>
      <c r="D87" s="242"/>
      <c r="E87" s="136" t="s">
        <v>90</v>
      </c>
      <c r="F87" s="136" t="s">
        <v>200</v>
      </c>
      <c r="G87" s="136" t="s">
        <v>871</v>
      </c>
      <c r="H87" s="78" t="s">
        <v>4</v>
      </c>
      <c r="I87" s="78" t="s">
        <v>505</v>
      </c>
      <c r="J87" s="78" t="s">
        <v>975</v>
      </c>
      <c r="K87" s="78" t="s">
        <v>976</v>
      </c>
      <c r="L87" s="261" t="s">
        <v>155</v>
      </c>
      <c r="M87" s="146" t="s">
        <v>21</v>
      </c>
      <c r="N87" s="146" t="s">
        <v>79</v>
      </c>
      <c r="O87" s="202" t="s">
        <v>887</v>
      </c>
      <c r="P87" s="320" t="s">
        <v>1706</v>
      </c>
      <c r="Q87" s="202" t="s">
        <v>977</v>
      </c>
      <c r="R87" s="202" t="s">
        <v>510</v>
      </c>
      <c r="S87" s="281">
        <v>2024</v>
      </c>
      <c r="T87" s="243" t="str">
        <f t="shared" si="5"/>
        <v>dez/2024</v>
      </c>
      <c r="U87" s="161" t="s">
        <v>980</v>
      </c>
      <c r="V87" s="161" t="s">
        <v>981</v>
      </c>
      <c r="W87" s="146">
        <f>DATEDIF(Base_CTRs_Finalizados[[#This Row],[INÍCIO VIGÊNCIA]],Base_CTRs_Finalizados[[#This Row],[FINAL 
VIGÊNCIA]],"Y")</f>
        <v>1</v>
      </c>
      <c r="X87" s="244" t="s">
        <v>903</v>
      </c>
      <c r="Y87" s="244" t="s">
        <v>33</v>
      </c>
      <c r="Z87" s="146" t="s">
        <v>978</v>
      </c>
      <c r="AA87" s="146" t="s">
        <v>979</v>
      </c>
      <c r="AB87" s="236">
        <f>DATEDIF(Base_CTRs_Finalizados[[#This Row],[INÍCIO VIGÊNCIA]],Base_CTRs_Finalizados[[#This Row],[FINAL 
VIGÊNCIA]],"M")</f>
        <v>12</v>
      </c>
      <c r="AC87" s="203">
        <f t="shared" si="4"/>
        <v>487.5</v>
      </c>
      <c r="AD87" s="203">
        <v>5850</v>
      </c>
      <c r="AE87" s="150" t="s">
        <v>14</v>
      </c>
      <c r="AF87" s="150" t="s">
        <v>9</v>
      </c>
      <c r="AG87" s="150"/>
      <c r="AH87" s="150"/>
      <c r="AI87" s="150"/>
      <c r="AJ87" s="237">
        <f>_xlfn.DAYS(Base_CTRs_Finalizados[[#This Row],[INÍCIO VIGÊNCIA]],Base_CTRs_Finalizados[[#This Row],[Data inicio processo]])</f>
        <v>45631</v>
      </c>
      <c r="AK87" s="266" t="s">
        <v>157</v>
      </c>
      <c r="AL87" s="266"/>
      <c r="AM87" s="266"/>
      <c r="AO87" s="17" t="s">
        <v>1865</v>
      </c>
    </row>
    <row r="88" spans="3:41" ht="18" customHeight="1" thickTop="1" thickBot="1" x14ac:dyDescent="0.3">
      <c r="C88" s="242"/>
      <c r="D88" s="242"/>
      <c r="E88" s="136" t="s">
        <v>90</v>
      </c>
      <c r="F88" s="136" t="s">
        <v>200</v>
      </c>
      <c r="G88" s="136" t="s">
        <v>872</v>
      </c>
      <c r="H88" s="78" t="s">
        <v>4</v>
      </c>
      <c r="I88" s="78" t="s">
        <v>505</v>
      </c>
      <c r="J88" s="78" t="s">
        <v>987</v>
      </c>
      <c r="K88" s="78" t="s">
        <v>982</v>
      </c>
      <c r="L88" s="261" t="s">
        <v>155</v>
      </c>
      <c r="M88" s="146" t="s">
        <v>21</v>
      </c>
      <c r="N88" s="146" t="s">
        <v>79</v>
      </c>
      <c r="O88" s="202" t="s">
        <v>888</v>
      </c>
      <c r="P88" s="320" t="s">
        <v>1707</v>
      </c>
      <c r="Q88" s="202" t="s">
        <v>983</v>
      </c>
      <c r="R88" s="202" t="s">
        <v>510</v>
      </c>
      <c r="S88" s="281">
        <v>2024</v>
      </c>
      <c r="T88" s="243" t="str">
        <f t="shared" si="5"/>
        <v>dez/2024</v>
      </c>
      <c r="U88" s="161" t="s">
        <v>980</v>
      </c>
      <c r="V88" s="161" t="s">
        <v>981</v>
      </c>
      <c r="W88" s="146">
        <f>DATEDIF(Base_CTRs_Finalizados[[#This Row],[INÍCIO VIGÊNCIA]],Base_CTRs_Finalizados[[#This Row],[FINAL 
VIGÊNCIA]],"Y")</f>
        <v>1</v>
      </c>
      <c r="X88" s="244" t="s">
        <v>904</v>
      </c>
      <c r="Y88" s="244" t="s">
        <v>33</v>
      </c>
      <c r="Z88" s="146" t="s">
        <v>984</v>
      </c>
      <c r="AA88" s="146" t="s">
        <v>985</v>
      </c>
      <c r="AB88" s="236">
        <f>DATEDIF(Base_CTRs_Finalizados[[#This Row],[INÍCIO VIGÊNCIA]],Base_CTRs_Finalizados[[#This Row],[FINAL 
VIGÊNCIA]],"M")</f>
        <v>12</v>
      </c>
      <c r="AC88" s="203">
        <f t="shared" si="4"/>
        <v>430.83333333333331</v>
      </c>
      <c r="AD88" s="203">
        <v>5170</v>
      </c>
      <c r="AE88" s="150" t="s">
        <v>14</v>
      </c>
      <c r="AF88" s="150" t="s">
        <v>9</v>
      </c>
      <c r="AG88" s="150"/>
      <c r="AH88" s="150"/>
      <c r="AI88" s="150"/>
      <c r="AJ88" s="237">
        <f>_xlfn.DAYS(Base_CTRs_Finalizados[[#This Row],[INÍCIO VIGÊNCIA]],Base_CTRs_Finalizados[[#This Row],[Data inicio processo]])</f>
        <v>45631</v>
      </c>
      <c r="AK88" s="266" t="s">
        <v>157</v>
      </c>
      <c r="AL88" s="266"/>
      <c r="AM88" s="266"/>
      <c r="AO88" s="17" t="s">
        <v>1865</v>
      </c>
    </row>
    <row r="89" spans="3:41" ht="18" customHeight="1" thickTop="1" thickBot="1" x14ac:dyDescent="0.3">
      <c r="C89" s="242"/>
      <c r="D89" s="242"/>
      <c r="E89" s="136" t="s">
        <v>88</v>
      </c>
      <c r="F89" s="136" t="s">
        <v>52</v>
      </c>
      <c r="G89" s="136" t="s">
        <v>873</v>
      </c>
      <c r="H89" s="78" t="s">
        <v>4</v>
      </c>
      <c r="I89" s="78" t="s">
        <v>505</v>
      </c>
      <c r="J89" s="78" t="s">
        <v>986</v>
      </c>
      <c r="K89" s="78" t="s">
        <v>988</v>
      </c>
      <c r="L89" s="261" t="s">
        <v>155</v>
      </c>
      <c r="M89" s="146" t="s">
        <v>21</v>
      </c>
      <c r="N89" s="146" t="s">
        <v>79</v>
      </c>
      <c r="O89" s="202" t="s">
        <v>889</v>
      </c>
      <c r="P89" s="320" t="s">
        <v>1708</v>
      </c>
      <c r="Q89" s="202" t="s">
        <v>989</v>
      </c>
      <c r="R89" s="202" t="s">
        <v>510</v>
      </c>
      <c r="S89" s="281">
        <v>2024</v>
      </c>
      <c r="T89" s="243" t="str">
        <f t="shared" si="5"/>
        <v>dez/2024</v>
      </c>
      <c r="U89" s="161" t="s">
        <v>980</v>
      </c>
      <c r="V89" s="161" t="s">
        <v>981</v>
      </c>
      <c r="W89" s="146">
        <f>DATEDIF(Base_CTRs_Finalizados[[#This Row],[INÍCIO VIGÊNCIA]],Base_CTRs_Finalizados[[#This Row],[FINAL 
VIGÊNCIA]],"Y")</f>
        <v>1</v>
      </c>
      <c r="X89" s="244" t="s">
        <v>905</v>
      </c>
      <c r="Y89" s="244" t="s">
        <v>33</v>
      </c>
      <c r="Z89" s="146" t="s">
        <v>990</v>
      </c>
      <c r="AA89" s="146" t="s">
        <v>991</v>
      </c>
      <c r="AB89" s="236">
        <f>DATEDIF(Base_CTRs_Finalizados[[#This Row],[INÍCIO VIGÊNCIA]],Base_CTRs_Finalizados[[#This Row],[FINAL 
VIGÊNCIA]],"M")</f>
        <v>12</v>
      </c>
      <c r="AC89" s="203">
        <f t="shared" si="4"/>
        <v>233.75</v>
      </c>
      <c r="AD89" s="203">
        <v>2805</v>
      </c>
      <c r="AE89" s="150" t="s">
        <v>14</v>
      </c>
      <c r="AF89" s="150" t="s">
        <v>9</v>
      </c>
      <c r="AG89" s="150"/>
      <c r="AH89" s="150"/>
      <c r="AI89" s="150"/>
      <c r="AJ89" s="237">
        <f>_xlfn.DAYS(Base_CTRs_Finalizados[[#This Row],[INÍCIO VIGÊNCIA]],Base_CTRs_Finalizados[[#This Row],[Data inicio processo]])</f>
        <v>45631</v>
      </c>
      <c r="AK89" s="266" t="s">
        <v>157</v>
      </c>
      <c r="AL89" s="266"/>
      <c r="AM89" s="266"/>
      <c r="AO89" s="17" t="s">
        <v>1865</v>
      </c>
    </row>
    <row r="90" spans="3:41" ht="18" customHeight="1" thickTop="1" thickBot="1" x14ac:dyDescent="0.3">
      <c r="C90" s="242"/>
      <c r="D90" s="242"/>
      <c r="E90" s="136" t="s">
        <v>995</v>
      </c>
      <c r="F90" s="136" t="s">
        <v>995</v>
      </c>
      <c r="G90" s="136" t="s">
        <v>874</v>
      </c>
      <c r="H90" s="78" t="s">
        <v>4</v>
      </c>
      <c r="I90" s="78" t="s">
        <v>505</v>
      </c>
      <c r="J90" s="78" t="s">
        <v>992</v>
      </c>
      <c r="K90" s="78" t="s">
        <v>993</v>
      </c>
      <c r="L90" s="261" t="s">
        <v>155</v>
      </c>
      <c r="M90" s="146" t="s">
        <v>21</v>
      </c>
      <c r="N90" s="146" t="s">
        <v>79</v>
      </c>
      <c r="O90" s="202" t="s">
        <v>890</v>
      </c>
      <c r="P90" s="320" t="s">
        <v>1709</v>
      </c>
      <c r="Q90" s="202" t="s">
        <v>994</v>
      </c>
      <c r="R90" s="202" t="s">
        <v>510</v>
      </c>
      <c r="S90" s="281">
        <v>2024</v>
      </c>
      <c r="T90" s="243" t="str">
        <f t="shared" si="5"/>
        <v>dez/2024</v>
      </c>
      <c r="U90" s="161" t="s">
        <v>980</v>
      </c>
      <c r="V90" s="161" t="s">
        <v>981</v>
      </c>
      <c r="W90" s="146">
        <f>DATEDIF(Base_CTRs_Finalizados[[#This Row],[INÍCIO VIGÊNCIA]],Base_CTRs_Finalizados[[#This Row],[FINAL 
VIGÊNCIA]],"Y")</f>
        <v>1</v>
      </c>
      <c r="X90" s="244" t="s">
        <v>906</v>
      </c>
      <c r="Y90" s="244" t="s">
        <v>33</v>
      </c>
      <c r="Z90" s="146" t="s">
        <v>984</v>
      </c>
      <c r="AA90" s="146" t="s">
        <v>985</v>
      </c>
      <c r="AB90" s="236">
        <f>DATEDIF(Base_CTRs_Finalizados[[#This Row],[INÍCIO VIGÊNCIA]],Base_CTRs_Finalizados[[#This Row],[FINAL 
VIGÊNCIA]],"M")</f>
        <v>12</v>
      </c>
      <c r="AC90" s="203">
        <f>AD90/AB90</f>
        <v>590</v>
      </c>
      <c r="AD90" s="203">
        <v>7080</v>
      </c>
      <c r="AE90" s="150" t="s">
        <v>14</v>
      </c>
      <c r="AF90" s="150" t="s">
        <v>9</v>
      </c>
      <c r="AG90" s="150"/>
      <c r="AH90" s="150"/>
      <c r="AI90" s="150"/>
      <c r="AJ90" s="237">
        <f>_xlfn.DAYS(Base_CTRs_Finalizados[[#This Row],[INÍCIO VIGÊNCIA]],Base_CTRs_Finalizados[[#This Row],[Data inicio processo]])</f>
        <v>45631</v>
      </c>
      <c r="AK90" s="266" t="s">
        <v>157</v>
      </c>
      <c r="AL90" s="266"/>
      <c r="AM90" s="266"/>
      <c r="AO90" s="17" t="s">
        <v>1865</v>
      </c>
    </row>
    <row r="91" spans="3:41" ht="17.25" customHeight="1" thickTop="1" thickBot="1" x14ac:dyDescent="0.3">
      <c r="C91" s="242"/>
      <c r="D91" s="242"/>
      <c r="E91" s="136" t="s">
        <v>995</v>
      </c>
      <c r="F91" s="136" t="s">
        <v>995</v>
      </c>
      <c r="G91" s="136" t="s">
        <v>875</v>
      </c>
      <c r="H91" s="78" t="s">
        <v>4</v>
      </c>
      <c r="I91" s="78" t="s">
        <v>505</v>
      </c>
      <c r="J91" s="78" t="s">
        <v>998</v>
      </c>
      <c r="K91" s="78" t="s">
        <v>996</v>
      </c>
      <c r="L91" s="261" t="s">
        <v>155</v>
      </c>
      <c r="M91" s="146" t="s">
        <v>21</v>
      </c>
      <c r="N91" s="146" t="s">
        <v>79</v>
      </c>
      <c r="O91" s="202" t="s">
        <v>891</v>
      </c>
      <c r="P91" s="320" t="s">
        <v>1710</v>
      </c>
      <c r="Q91" s="202" t="s">
        <v>997</v>
      </c>
      <c r="R91" s="202" t="s">
        <v>510</v>
      </c>
      <c r="S91" s="281">
        <v>2024</v>
      </c>
      <c r="T91" s="243" t="str">
        <f t="shared" si="5"/>
        <v>dez/2024</v>
      </c>
      <c r="U91" s="161" t="s">
        <v>980</v>
      </c>
      <c r="V91" s="161" t="s">
        <v>981</v>
      </c>
      <c r="W91" s="146">
        <f>DATEDIF(Base_CTRs_Finalizados[[#This Row],[INÍCIO VIGÊNCIA]],Base_CTRs_Finalizados[[#This Row],[FINAL 
VIGÊNCIA]],"Y")</f>
        <v>1</v>
      </c>
      <c r="X91" s="244" t="s">
        <v>907</v>
      </c>
      <c r="Y91" s="244" t="s">
        <v>33</v>
      </c>
      <c r="Z91" s="146" t="s">
        <v>984</v>
      </c>
      <c r="AA91" s="146" t="s">
        <v>985</v>
      </c>
      <c r="AB91" s="236">
        <f>DATEDIF(Base_CTRs_Finalizados[[#This Row],[INÍCIO VIGÊNCIA]],Base_CTRs_Finalizados[[#This Row],[FINAL 
VIGÊNCIA]],"M")</f>
        <v>12</v>
      </c>
      <c r="AC91" s="203">
        <f t="shared" si="4"/>
        <v>451.25</v>
      </c>
      <c r="AD91" s="203">
        <v>5415</v>
      </c>
      <c r="AE91" s="150" t="s">
        <v>14</v>
      </c>
      <c r="AF91" s="150" t="s">
        <v>9</v>
      </c>
      <c r="AG91" s="150"/>
      <c r="AH91" s="150"/>
      <c r="AI91" s="150"/>
      <c r="AJ91" s="237">
        <f>_xlfn.DAYS(Base_CTRs_Finalizados[[#This Row],[INÍCIO VIGÊNCIA]],Base_CTRs_Finalizados[[#This Row],[Data inicio processo]])</f>
        <v>45631</v>
      </c>
      <c r="AK91" s="266" t="s">
        <v>157</v>
      </c>
      <c r="AL91" s="266"/>
      <c r="AM91" s="266"/>
      <c r="AO91" s="17" t="s">
        <v>1865</v>
      </c>
    </row>
    <row r="92" spans="3:41" ht="17.25" customHeight="1" thickTop="1" thickBot="1" x14ac:dyDescent="0.3">
      <c r="C92" s="242"/>
      <c r="D92" s="242"/>
      <c r="E92" s="136" t="s">
        <v>88</v>
      </c>
      <c r="F92" s="136" t="s">
        <v>52</v>
      </c>
      <c r="G92" s="136" t="s">
        <v>876</v>
      </c>
      <c r="H92" s="78" t="s">
        <v>4</v>
      </c>
      <c r="I92" s="78" t="s">
        <v>505</v>
      </c>
      <c r="J92" s="78" t="s">
        <v>999</v>
      </c>
      <c r="K92" s="78" t="s">
        <v>1000</v>
      </c>
      <c r="L92" s="261" t="s">
        <v>155</v>
      </c>
      <c r="M92" s="146" t="s">
        <v>21</v>
      </c>
      <c r="N92" s="146" t="s">
        <v>79</v>
      </c>
      <c r="O92" s="202" t="s">
        <v>892</v>
      </c>
      <c r="P92" s="320" t="s">
        <v>1711</v>
      </c>
      <c r="Q92" s="202" t="s">
        <v>1001</v>
      </c>
      <c r="R92" s="202" t="s">
        <v>510</v>
      </c>
      <c r="S92" s="281">
        <v>2024</v>
      </c>
      <c r="T92" s="243" t="str">
        <f t="shared" si="5"/>
        <v>dez/2024</v>
      </c>
      <c r="U92" s="161" t="s">
        <v>980</v>
      </c>
      <c r="V92" s="161" t="s">
        <v>981</v>
      </c>
      <c r="W92" s="146">
        <f>DATEDIF(Base_CTRs_Finalizados[[#This Row],[INÍCIO VIGÊNCIA]],Base_CTRs_Finalizados[[#This Row],[FINAL 
VIGÊNCIA]],"Y")</f>
        <v>1</v>
      </c>
      <c r="X92" s="244" t="s">
        <v>908</v>
      </c>
      <c r="Y92" s="244" t="s">
        <v>33</v>
      </c>
      <c r="Z92" s="146" t="s">
        <v>1002</v>
      </c>
      <c r="AA92" s="146" t="s">
        <v>1003</v>
      </c>
      <c r="AB92" s="236">
        <f>DATEDIF(Base_CTRs_Finalizados[[#This Row],[INÍCIO VIGÊNCIA]],Base_CTRs_Finalizados[[#This Row],[FINAL 
VIGÊNCIA]],"M")</f>
        <v>12</v>
      </c>
      <c r="AC92" s="203">
        <f t="shared" ref="AC92:AC106" si="6">AD92/AB92</f>
        <v>1838.8333333333333</v>
      </c>
      <c r="AD92" s="203">
        <v>22066</v>
      </c>
      <c r="AE92" s="150" t="s">
        <v>14</v>
      </c>
      <c r="AF92" s="150" t="s">
        <v>9</v>
      </c>
      <c r="AG92" s="150"/>
      <c r="AH92" s="150"/>
      <c r="AI92" s="150"/>
      <c r="AJ92" s="237">
        <f>_xlfn.DAYS(Base_CTRs_Finalizados[[#This Row],[INÍCIO VIGÊNCIA]],Base_CTRs_Finalizados[[#This Row],[Data inicio processo]])</f>
        <v>45631</v>
      </c>
      <c r="AK92" s="266" t="s">
        <v>157</v>
      </c>
      <c r="AL92" s="266"/>
      <c r="AM92" s="266"/>
      <c r="AO92" s="17" t="s">
        <v>1865</v>
      </c>
    </row>
    <row r="93" spans="3:41" ht="17.25" customHeight="1" thickTop="1" thickBot="1" x14ac:dyDescent="0.3">
      <c r="C93" s="242"/>
      <c r="D93" s="242"/>
      <c r="E93" s="136" t="s">
        <v>88</v>
      </c>
      <c r="F93" s="136" t="s">
        <v>52</v>
      </c>
      <c r="G93" s="136" t="s">
        <v>877</v>
      </c>
      <c r="H93" s="78" t="s">
        <v>4</v>
      </c>
      <c r="I93" s="78" t="s">
        <v>505</v>
      </c>
      <c r="J93" s="78" t="s">
        <v>999</v>
      </c>
      <c r="K93" s="78" t="s">
        <v>1004</v>
      </c>
      <c r="L93" s="261" t="s">
        <v>155</v>
      </c>
      <c r="M93" s="146" t="s">
        <v>21</v>
      </c>
      <c r="N93" s="146" t="s">
        <v>79</v>
      </c>
      <c r="O93" s="202" t="s">
        <v>893</v>
      </c>
      <c r="P93" s="320" t="s">
        <v>1712</v>
      </c>
      <c r="Q93" s="202" t="s">
        <v>1005</v>
      </c>
      <c r="R93" s="202" t="s">
        <v>510</v>
      </c>
      <c r="S93" s="281">
        <v>2024</v>
      </c>
      <c r="T93" s="243" t="str">
        <f t="shared" si="5"/>
        <v>dez/2024</v>
      </c>
      <c r="U93" s="161" t="s">
        <v>980</v>
      </c>
      <c r="V93" s="161" t="s">
        <v>981</v>
      </c>
      <c r="W93" s="146">
        <f>DATEDIF(Base_CTRs_Finalizados[[#This Row],[INÍCIO VIGÊNCIA]],Base_CTRs_Finalizados[[#This Row],[FINAL 
VIGÊNCIA]],"Y")</f>
        <v>1</v>
      </c>
      <c r="X93" s="244" t="s">
        <v>909</v>
      </c>
      <c r="Y93" s="244" t="s">
        <v>33</v>
      </c>
      <c r="Z93" s="146" t="s">
        <v>1006</v>
      </c>
      <c r="AA93" s="146" t="s">
        <v>1007</v>
      </c>
      <c r="AB93" s="236">
        <f>DATEDIF(Base_CTRs_Finalizados[[#This Row],[INÍCIO VIGÊNCIA]],Base_CTRs_Finalizados[[#This Row],[FINAL 
VIGÊNCIA]],"M")</f>
        <v>12</v>
      </c>
      <c r="AC93" s="203">
        <f t="shared" si="6"/>
        <v>206.66666666666666</v>
      </c>
      <c r="AD93" s="203">
        <v>2480</v>
      </c>
      <c r="AE93" s="150" t="s">
        <v>14</v>
      </c>
      <c r="AF93" s="150" t="s">
        <v>9</v>
      </c>
      <c r="AG93" s="150"/>
      <c r="AH93" s="150"/>
      <c r="AI93" s="150"/>
      <c r="AJ93" s="237">
        <f>_xlfn.DAYS(Base_CTRs_Finalizados[[#This Row],[INÍCIO VIGÊNCIA]],Base_CTRs_Finalizados[[#This Row],[Data inicio processo]])</f>
        <v>45631</v>
      </c>
      <c r="AK93" s="266" t="s">
        <v>157</v>
      </c>
      <c r="AL93" s="266"/>
      <c r="AM93" s="266"/>
      <c r="AO93" s="17" t="s">
        <v>1865</v>
      </c>
    </row>
    <row r="94" spans="3:41" ht="17.25" customHeight="1" thickTop="1" thickBot="1" x14ac:dyDescent="0.3">
      <c r="C94" s="242"/>
      <c r="D94" s="242"/>
      <c r="E94" s="136" t="s">
        <v>90</v>
      </c>
      <c r="F94" s="136" t="s">
        <v>200</v>
      </c>
      <c r="G94" s="136" t="s">
        <v>878</v>
      </c>
      <c r="H94" s="78" t="s">
        <v>4</v>
      </c>
      <c r="I94" s="78" t="s">
        <v>505</v>
      </c>
      <c r="J94" s="78" t="s">
        <v>1008</v>
      </c>
      <c r="K94" s="78" t="s">
        <v>1009</v>
      </c>
      <c r="L94" s="261" t="s">
        <v>155</v>
      </c>
      <c r="M94" s="146" t="s">
        <v>21</v>
      </c>
      <c r="N94" s="146" t="s">
        <v>79</v>
      </c>
      <c r="O94" s="202" t="s">
        <v>894</v>
      </c>
      <c r="P94" s="320" t="s">
        <v>1713</v>
      </c>
      <c r="Q94" s="202" t="s">
        <v>1010</v>
      </c>
      <c r="R94" s="202" t="s">
        <v>510</v>
      </c>
      <c r="S94" s="281">
        <v>2024</v>
      </c>
      <c r="T94" s="243" t="str">
        <f t="shared" si="5"/>
        <v>dez/2024</v>
      </c>
      <c r="U94" s="161" t="s">
        <v>804</v>
      </c>
      <c r="V94" s="161" t="s">
        <v>1011</v>
      </c>
      <c r="W94" s="146">
        <f>DATEDIF(Base_CTRs_Finalizados[[#This Row],[INÍCIO VIGÊNCIA]],Base_CTRs_Finalizados[[#This Row],[FINAL 
VIGÊNCIA]],"Y")</f>
        <v>1</v>
      </c>
      <c r="X94" s="244" t="s">
        <v>910</v>
      </c>
      <c r="Y94" s="244" t="s">
        <v>33</v>
      </c>
      <c r="Z94" s="146" t="s">
        <v>1012</v>
      </c>
      <c r="AA94" s="146" t="s">
        <v>1013</v>
      </c>
      <c r="AB94" s="236">
        <f>DATEDIF(Base_CTRs_Finalizados[[#This Row],[INÍCIO VIGÊNCIA]],Base_CTRs_Finalizados[[#This Row],[FINAL 
VIGÊNCIA]],"M")</f>
        <v>12</v>
      </c>
      <c r="AC94" s="203">
        <f t="shared" si="6"/>
        <v>1102.8775000000001</v>
      </c>
      <c r="AD94" s="203">
        <v>13234.53</v>
      </c>
      <c r="AE94" s="150" t="s">
        <v>14</v>
      </c>
      <c r="AF94" s="150" t="s">
        <v>9</v>
      </c>
      <c r="AG94" s="150"/>
      <c r="AH94" s="150"/>
      <c r="AI94" s="150"/>
      <c r="AJ94" s="237">
        <f>_xlfn.DAYS(Base_CTRs_Finalizados[[#This Row],[INÍCIO VIGÊNCIA]],Base_CTRs_Finalizados[[#This Row],[Data inicio processo]])</f>
        <v>45643</v>
      </c>
      <c r="AK94" s="266" t="s">
        <v>157</v>
      </c>
      <c r="AL94" s="266"/>
      <c r="AM94" s="266"/>
      <c r="AO94" s="17" t="s">
        <v>1865</v>
      </c>
    </row>
    <row r="95" spans="3:41" ht="17.25" customHeight="1" thickTop="1" thickBot="1" x14ac:dyDescent="0.3">
      <c r="C95" s="242">
        <v>45532</v>
      </c>
      <c r="D95" s="242"/>
      <c r="E95" s="136" t="s">
        <v>90</v>
      </c>
      <c r="F95" s="136" t="s">
        <v>200</v>
      </c>
      <c r="G95" s="136" t="s">
        <v>855</v>
      </c>
      <c r="H95" s="78" t="s">
        <v>5</v>
      </c>
      <c r="I95" s="78" t="s">
        <v>343</v>
      </c>
      <c r="J95" s="78" t="s">
        <v>856</v>
      </c>
      <c r="K95" s="78" t="s">
        <v>857</v>
      </c>
      <c r="L95" s="261" t="s">
        <v>155</v>
      </c>
      <c r="M95" s="146" t="s">
        <v>20</v>
      </c>
      <c r="N95" s="146" t="s">
        <v>79</v>
      </c>
      <c r="O95" s="202" t="s">
        <v>854</v>
      </c>
      <c r="P95" s="320" t="s">
        <v>1908</v>
      </c>
      <c r="Q95" s="146" t="s">
        <v>912</v>
      </c>
      <c r="R95" s="146" t="s">
        <v>911</v>
      </c>
      <c r="S95" s="281">
        <v>2025</v>
      </c>
      <c r="T95" s="243" t="str">
        <f t="shared" si="5"/>
        <v>jan/2025</v>
      </c>
      <c r="U95" s="161" t="s">
        <v>858</v>
      </c>
      <c r="V95" s="161" t="s">
        <v>859</v>
      </c>
      <c r="W95" s="146">
        <f>DATEDIF(Base_CTRs_Finalizados[[#This Row],[INÍCIO VIGÊNCIA]],Base_CTRs_Finalizados[[#This Row],[FINAL 
VIGÊNCIA]],"Y")</f>
        <v>5</v>
      </c>
      <c r="X95" s="146" t="s">
        <v>860</v>
      </c>
      <c r="Y95" s="146" t="s">
        <v>33</v>
      </c>
      <c r="Z95" s="146" t="s">
        <v>861</v>
      </c>
      <c r="AA95" s="146" t="s">
        <v>862</v>
      </c>
      <c r="AB95" s="236">
        <f>DATEDIF(Base_CTRs_Finalizados[[#This Row],[INÍCIO VIGÊNCIA]],Base_CTRs_Finalizados[[#This Row],[FINAL 
VIGÊNCIA]],"M")</f>
        <v>60</v>
      </c>
      <c r="AC95" s="203">
        <f t="shared" si="6"/>
        <v>181457.16999999998</v>
      </c>
      <c r="AD95" s="203">
        <v>10887430.199999999</v>
      </c>
      <c r="AE95" s="150" t="s">
        <v>14</v>
      </c>
      <c r="AF95" s="150" t="s">
        <v>9</v>
      </c>
      <c r="AG95" s="150" t="s">
        <v>1335</v>
      </c>
      <c r="AH95" s="150" t="s">
        <v>1336</v>
      </c>
      <c r="AI95" s="150"/>
      <c r="AJ95" s="237">
        <f>_xlfn.DAYS(Base_CTRs_Finalizados[[#This Row],[INÍCIO VIGÊNCIA]],Base_CTRs_Finalizados[[#This Row],[Data inicio processo]])</f>
        <v>149</v>
      </c>
      <c r="AK95" s="266" t="s">
        <v>1168</v>
      </c>
      <c r="AL95" s="266" t="s">
        <v>1197</v>
      </c>
      <c r="AM95" s="266" t="s">
        <v>1198</v>
      </c>
      <c r="AO95" s="17" t="s">
        <v>1864</v>
      </c>
    </row>
    <row r="96" spans="3:41" ht="17.25" customHeight="1" thickTop="1" thickBot="1" x14ac:dyDescent="0.3">
      <c r="C96" s="242">
        <v>45538</v>
      </c>
      <c r="D96" s="242"/>
      <c r="E96" s="136" t="s">
        <v>88</v>
      </c>
      <c r="F96" s="136" t="s">
        <v>48</v>
      </c>
      <c r="G96" s="136" t="s">
        <v>915</v>
      </c>
      <c r="H96" s="78" t="s">
        <v>5</v>
      </c>
      <c r="I96" s="78" t="s">
        <v>343</v>
      </c>
      <c r="J96" s="78" t="s">
        <v>917</v>
      </c>
      <c r="K96" s="78" t="s">
        <v>916</v>
      </c>
      <c r="L96" s="261" t="s">
        <v>155</v>
      </c>
      <c r="M96" s="146" t="s">
        <v>20</v>
      </c>
      <c r="N96" s="146" t="s">
        <v>79</v>
      </c>
      <c r="O96" s="202" t="s">
        <v>914</v>
      </c>
      <c r="P96" s="320" t="s">
        <v>1909</v>
      </c>
      <c r="Q96" s="146" t="s">
        <v>1023</v>
      </c>
      <c r="R96" s="146" t="s">
        <v>414</v>
      </c>
      <c r="S96" s="281">
        <v>2025</v>
      </c>
      <c r="T96" s="243" t="str">
        <f t="shared" si="5"/>
        <v>fev/2025</v>
      </c>
      <c r="U96" s="161" t="s">
        <v>918</v>
      </c>
      <c r="V96" s="161" t="s">
        <v>919</v>
      </c>
      <c r="W96" s="146">
        <f>DATEDIF(Base_CTRs_Finalizados[[#This Row],[INÍCIO VIGÊNCIA]],Base_CTRs_Finalizados[[#This Row],[FINAL 
VIGÊNCIA]],"Y")</f>
        <v>1</v>
      </c>
      <c r="X96" s="244" t="s">
        <v>920</v>
      </c>
      <c r="Y96" s="244" t="s">
        <v>33</v>
      </c>
      <c r="Z96" s="146" t="s">
        <v>921</v>
      </c>
      <c r="AA96" s="146" t="s">
        <v>922</v>
      </c>
      <c r="AB96" s="236">
        <f>DATEDIF(Base_CTRs_Finalizados[[#This Row],[INÍCIO VIGÊNCIA]],Base_CTRs_Finalizados[[#This Row],[FINAL 
VIGÊNCIA]],"M")</f>
        <v>12</v>
      </c>
      <c r="AC96" s="203">
        <f t="shared" si="6"/>
        <v>43404.06</v>
      </c>
      <c r="AD96" s="203">
        <v>520848.72</v>
      </c>
      <c r="AE96" s="150" t="s">
        <v>14</v>
      </c>
      <c r="AF96" s="150" t="s">
        <v>9</v>
      </c>
      <c r="AG96" s="150"/>
      <c r="AH96" s="150"/>
      <c r="AI96" s="150"/>
      <c r="AJ96" s="237">
        <f>_xlfn.DAYS(Base_CTRs_Finalizados[[#This Row],[INÍCIO VIGÊNCIA]],Base_CTRs_Finalizados[[#This Row],[Data inicio processo]])</f>
        <v>157</v>
      </c>
      <c r="AK96" s="266" t="s">
        <v>1167</v>
      </c>
      <c r="AL96" s="266" t="s">
        <v>1199</v>
      </c>
      <c r="AM96" s="266" t="s">
        <v>1198</v>
      </c>
      <c r="AO96" s="17" t="s">
        <v>1864</v>
      </c>
    </row>
    <row r="97" spans="2:41" ht="17.25" customHeight="1" thickTop="1" thickBot="1" x14ac:dyDescent="0.3">
      <c r="C97" s="242">
        <v>45453</v>
      </c>
      <c r="D97" s="242"/>
      <c r="E97" s="136" t="s">
        <v>90</v>
      </c>
      <c r="F97" s="136" t="s">
        <v>46</v>
      </c>
      <c r="G97" s="136" t="s">
        <v>1014</v>
      </c>
      <c r="H97" s="78" t="s">
        <v>11</v>
      </c>
      <c r="I97" s="78" t="s">
        <v>700</v>
      </c>
      <c r="J97" s="78" t="s">
        <v>1015</v>
      </c>
      <c r="K97" s="78" t="s">
        <v>1016</v>
      </c>
      <c r="L97" s="261" t="s">
        <v>155</v>
      </c>
      <c r="M97" s="146" t="s">
        <v>20</v>
      </c>
      <c r="N97" s="146" t="s">
        <v>79</v>
      </c>
      <c r="O97" s="202" t="s">
        <v>913</v>
      </c>
      <c r="P97" s="320" t="s">
        <v>1650</v>
      </c>
      <c r="Q97" s="146" t="s">
        <v>1035</v>
      </c>
      <c r="R97" s="146" t="s">
        <v>1034</v>
      </c>
      <c r="S97" s="281">
        <v>2025</v>
      </c>
      <c r="T97" s="243" t="str">
        <f t="shared" si="5"/>
        <v>fev/2025</v>
      </c>
      <c r="U97" s="161" t="s">
        <v>1017</v>
      </c>
      <c r="V97" s="161" t="s">
        <v>1018</v>
      </c>
      <c r="W97" s="146">
        <f>DATEDIF(Base_CTRs_Finalizados[[#This Row],[INÍCIO VIGÊNCIA]],Base_CTRs_Finalizados[[#This Row],[FINAL 
VIGÊNCIA]],"Y")</f>
        <v>5</v>
      </c>
      <c r="X97" s="244" t="s">
        <v>1019</v>
      </c>
      <c r="Y97" s="244" t="s">
        <v>1224</v>
      </c>
      <c r="Z97" s="146" t="s">
        <v>1020</v>
      </c>
      <c r="AA97" s="146" t="s">
        <v>1021</v>
      </c>
      <c r="AB97" s="236">
        <f>DATEDIF(Base_CTRs_Finalizados[[#This Row],[INÍCIO VIGÊNCIA]],Base_CTRs_Finalizados[[#This Row],[FINAL 
VIGÊNCIA]],"M")</f>
        <v>60</v>
      </c>
      <c r="AC97" s="203">
        <f t="shared" si="6"/>
        <v>315313.27049999998</v>
      </c>
      <c r="AD97" s="203">
        <v>18918796.23</v>
      </c>
      <c r="AE97" s="150" t="s">
        <v>54</v>
      </c>
      <c r="AF97" s="150" t="s">
        <v>9</v>
      </c>
      <c r="AG97" s="150" t="s">
        <v>1337</v>
      </c>
      <c r="AH97" s="150" t="s">
        <v>1338</v>
      </c>
      <c r="AI97" s="150"/>
      <c r="AJ97" s="237">
        <f>_xlfn.DAYS(Base_CTRs_Finalizados[[#This Row],[INÍCIO VIGÊNCIA]],Base_CTRs_Finalizados[[#This Row],[Data inicio processo]])</f>
        <v>241</v>
      </c>
      <c r="AK97" s="266" t="s">
        <v>1226</v>
      </c>
      <c r="AL97" s="266" t="s">
        <v>1453</v>
      </c>
      <c r="AM97" s="266" t="s">
        <v>1200</v>
      </c>
      <c r="AO97" s="17" t="s">
        <v>1865</v>
      </c>
    </row>
    <row r="98" spans="2:41" ht="17.25" customHeight="1" thickTop="1" thickBot="1" x14ac:dyDescent="0.3">
      <c r="C98" s="242">
        <v>45510</v>
      </c>
      <c r="D98" s="242"/>
      <c r="E98" s="136" t="s">
        <v>90</v>
      </c>
      <c r="F98" s="136" t="s">
        <v>46</v>
      </c>
      <c r="G98" s="136" t="s">
        <v>1025</v>
      </c>
      <c r="H98" s="78" t="s">
        <v>11</v>
      </c>
      <c r="I98" s="78" t="s">
        <v>700</v>
      </c>
      <c r="J98" s="78" t="s">
        <v>1026</v>
      </c>
      <c r="K98" s="78" t="s">
        <v>1027</v>
      </c>
      <c r="L98" s="261" t="s">
        <v>1022</v>
      </c>
      <c r="M98" s="146" t="s">
        <v>20</v>
      </c>
      <c r="N98" s="146" t="s">
        <v>79</v>
      </c>
      <c r="O98" s="202" t="s">
        <v>1024</v>
      </c>
      <c r="P98" s="320" t="s">
        <v>1910</v>
      </c>
      <c r="Q98" s="146" t="s">
        <v>1108</v>
      </c>
      <c r="R98" s="146" t="s">
        <v>853</v>
      </c>
      <c r="S98" s="281">
        <v>2025</v>
      </c>
      <c r="T98" s="243" t="str">
        <f t="shared" si="5"/>
        <v>fev/2025</v>
      </c>
      <c r="U98" s="161">
        <v>45707</v>
      </c>
      <c r="V98" s="161" t="s">
        <v>1029</v>
      </c>
      <c r="W98" s="146">
        <f>DATEDIF(Base_CTRs_Finalizados[[#This Row],[INÍCIO VIGÊNCIA]],Base_CTRs_Finalizados[[#This Row],[FINAL 
VIGÊNCIA]],"Y")</f>
        <v>3</v>
      </c>
      <c r="X98" s="244" t="s">
        <v>1030</v>
      </c>
      <c r="Y98" s="244" t="s">
        <v>1224</v>
      </c>
      <c r="Z98" s="146" t="s">
        <v>1031</v>
      </c>
      <c r="AA98" s="146" t="s">
        <v>1045</v>
      </c>
      <c r="AB98" s="236">
        <f>DATEDIF(Base_CTRs_Finalizados[[#This Row],[INÍCIO VIGÊNCIA]],Base_CTRs_Finalizados[[#This Row],[FINAL 
VIGÊNCIA]],"M")</f>
        <v>36</v>
      </c>
      <c r="AC98" s="203">
        <f t="shared" si="6"/>
        <v>3389903.0588888889</v>
      </c>
      <c r="AD98" s="203">
        <v>122036510.12</v>
      </c>
      <c r="AE98" s="150" t="s">
        <v>54</v>
      </c>
      <c r="AF98" s="150" t="s">
        <v>9</v>
      </c>
      <c r="AG98" s="150" t="s">
        <v>1339</v>
      </c>
      <c r="AH98" s="150" t="s">
        <v>1340</v>
      </c>
      <c r="AI98" s="150"/>
      <c r="AJ98" s="237">
        <f>_xlfn.DAYS(Base_CTRs_Finalizados[[#This Row],[INÍCIO VIGÊNCIA]],Base_CTRs_Finalizados[[#This Row],[Data inicio processo]])</f>
        <v>197</v>
      </c>
      <c r="AK98" s="266" t="s">
        <v>1227</v>
      </c>
      <c r="AL98" s="266" t="s">
        <v>1453</v>
      </c>
      <c r="AM98" s="266" t="s">
        <v>1200</v>
      </c>
      <c r="AO98" s="17" t="s">
        <v>1865</v>
      </c>
    </row>
    <row r="99" spans="2:41" s="17" customFormat="1" ht="17.25" customHeight="1" thickTop="1" thickBot="1" x14ac:dyDescent="0.3">
      <c r="B99" s="42"/>
      <c r="C99" s="242"/>
      <c r="D99" s="242"/>
      <c r="E99" s="136" t="s">
        <v>89</v>
      </c>
      <c r="F99" s="136" t="s">
        <v>336</v>
      </c>
      <c r="G99" s="136" t="s">
        <v>1036</v>
      </c>
      <c r="H99" s="78" t="s">
        <v>4</v>
      </c>
      <c r="I99" s="78" t="s">
        <v>1037</v>
      </c>
      <c r="J99" s="78"/>
      <c r="K99" s="78"/>
      <c r="L99" s="261" t="s">
        <v>155</v>
      </c>
      <c r="M99" s="146" t="s">
        <v>85</v>
      </c>
      <c r="N99" s="146" t="s">
        <v>79</v>
      </c>
      <c r="O99" s="202" t="s">
        <v>1038</v>
      </c>
      <c r="P99" s="320" t="s">
        <v>1714</v>
      </c>
      <c r="Q99" s="146" t="s">
        <v>1039</v>
      </c>
      <c r="R99" s="146" t="s">
        <v>1040</v>
      </c>
      <c r="S99" s="281">
        <v>2024</v>
      </c>
      <c r="T99" s="243" t="str">
        <f t="shared" si="5"/>
        <v>jul/2024</v>
      </c>
      <c r="U99" s="161" t="s">
        <v>1041</v>
      </c>
      <c r="V99" s="161" t="s">
        <v>1042</v>
      </c>
      <c r="W99" s="146">
        <f>DATEDIF(Base_CTRs_Finalizados[[#This Row],[INÍCIO VIGÊNCIA]],Base_CTRs_Finalizados[[#This Row],[FINAL 
VIGÊNCIA]],"Y")</f>
        <v>1</v>
      </c>
      <c r="X99" s="244" t="s">
        <v>1043</v>
      </c>
      <c r="Y99" s="244" t="s">
        <v>33</v>
      </c>
      <c r="Z99" s="146" t="s">
        <v>1044</v>
      </c>
      <c r="AA99" s="146" t="s">
        <v>583</v>
      </c>
      <c r="AB99" s="236">
        <f>DATEDIF(Base_CTRs_Finalizados[[#This Row],[INÍCIO VIGÊNCIA]],Base_CTRs_Finalizados[[#This Row],[FINAL 
VIGÊNCIA]],"M")</f>
        <v>12</v>
      </c>
      <c r="AC99" s="203">
        <f t="shared" si="6"/>
        <v>512.5</v>
      </c>
      <c r="AD99" s="203">
        <v>6150</v>
      </c>
      <c r="AE99" s="150" t="s">
        <v>14</v>
      </c>
      <c r="AF99" s="150" t="s">
        <v>9</v>
      </c>
      <c r="AG99" s="150"/>
      <c r="AH99" s="150"/>
      <c r="AI99" s="150"/>
      <c r="AJ99" s="237"/>
      <c r="AK99" s="266" t="s">
        <v>157</v>
      </c>
      <c r="AL99" s="266"/>
      <c r="AM99" s="266"/>
      <c r="AO99" s="17" t="s">
        <v>1865</v>
      </c>
    </row>
    <row r="100" spans="2:41" ht="17.25" customHeight="1" thickTop="1" thickBot="1" x14ac:dyDescent="0.3">
      <c r="C100" s="242">
        <v>45481</v>
      </c>
      <c r="D100" s="242"/>
      <c r="E100" s="136" t="s">
        <v>88</v>
      </c>
      <c r="F100" s="136" t="s">
        <v>48</v>
      </c>
      <c r="G100" s="136" t="s">
        <v>1046</v>
      </c>
      <c r="H100" s="78" t="s">
        <v>5</v>
      </c>
      <c r="I100" s="78" t="s">
        <v>343</v>
      </c>
      <c r="J100" s="78" t="s">
        <v>1047</v>
      </c>
      <c r="K100" s="78" t="s">
        <v>1048</v>
      </c>
      <c r="L100" s="261" t="s">
        <v>1022</v>
      </c>
      <c r="M100" s="146" t="s">
        <v>20</v>
      </c>
      <c r="N100" s="146" t="s">
        <v>79</v>
      </c>
      <c r="O100" s="202" t="s">
        <v>1049</v>
      </c>
      <c r="P100" s="320" t="s">
        <v>1651</v>
      </c>
      <c r="Q100" s="146" t="s">
        <v>1109</v>
      </c>
      <c r="R100" s="146" t="s">
        <v>811</v>
      </c>
      <c r="S100" s="281">
        <v>2025</v>
      </c>
      <c r="T100" s="243" t="str">
        <f t="shared" si="5"/>
        <v>fev/2025</v>
      </c>
      <c r="U100" s="161" t="s">
        <v>1050</v>
      </c>
      <c r="V100" s="161" t="s">
        <v>1051</v>
      </c>
      <c r="W100" s="146">
        <f>DATEDIF(Base_CTRs_Finalizados[[#This Row],[INÍCIO VIGÊNCIA]],Base_CTRs_Finalizados[[#This Row],[FINAL 
VIGÊNCIA]],"Y")</f>
        <v>5</v>
      </c>
      <c r="X100" s="244" t="s">
        <v>1052</v>
      </c>
      <c r="Y100" s="244" t="s">
        <v>33</v>
      </c>
      <c r="Z100" s="146" t="s">
        <v>1053</v>
      </c>
      <c r="AA100" s="146" t="s">
        <v>1054</v>
      </c>
      <c r="AB100" s="236">
        <f>DATEDIF(Base_CTRs_Finalizados[[#This Row],[INÍCIO VIGÊNCIA]],Base_CTRs_Finalizados[[#This Row],[FINAL 
VIGÊNCIA]],"M")</f>
        <v>60</v>
      </c>
      <c r="AC100" s="203">
        <f t="shared" si="6"/>
        <v>88090</v>
      </c>
      <c r="AD100" s="203">
        <v>5285400</v>
      </c>
      <c r="AE100" s="150" t="s">
        <v>14</v>
      </c>
      <c r="AF100" s="150" t="s">
        <v>9</v>
      </c>
      <c r="AG100" s="150"/>
      <c r="AH100" s="150"/>
      <c r="AI100" s="150"/>
      <c r="AJ100" s="237">
        <f>_xlfn.DAYS(Base_CTRs_Finalizados[[#This Row],[INÍCIO VIGÊNCIA]],Base_CTRs_Finalizados[[#This Row],[Data inicio processo]])</f>
        <v>235</v>
      </c>
      <c r="AK100" s="266" t="s">
        <v>1169</v>
      </c>
      <c r="AL100" s="266" t="s">
        <v>1206</v>
      </c>
      <c r="AM100" s="266" t="s">
        <v>1198</v>
      </c>
      <c r="AO100" s="17" t="s">
        <v>1864</v>
      </c>
    </row>
    <row r="101" spans="2:41" ht="17.25" customHeight="1" thickTop="1" thickBot="1" x14ac:dyDescent="0.3">
      <c r="C101" s="242">
        <v>45604</v>
      </c>
      <c r="D101" s="242"/>
      <c r="E101" s="136" t="s">
        <v>88</v>
      </c>
      <c r="F101" s="136" t="s">
        <v>48</v>
      </c>
      <c r="G101" s="136" t="s">
        <v>1056</v>
      </c>
      <c r="H101" s="78" t="s">
        <v>5</v>
      </c>
      <c r="I101" s="78" t="s">
        <v>343</v>
      </c>
      <c r="J101" s="78" t="s">
        <v>1057</v>
      </c>
      <c r="K101" s="78" t="s">
        <v>1058</v>
      </c>
      <c r="L101" s="261" t="s">
        <v>155</v>
      </c>
      <c r="M101" s="146" t="s">
        <v>20</v>
      </c>
      <c r="N101" s="146" t="s">
        <v>79</v>
      </c>
      <c r="O101" s="202" t="s">
        <v>1055</v>
      </c>
      <c r="P101" s="320" t="s">
        <v>1911</v>
      </c>
      <c r="Q101" s="146" t="s">
        <v>1110</v>
      </c>
      <c r="R101" s="146" t="s">
        <v>1111</v>
      </c>
      <c r="S101" s="281">
        <v>2025</v>
      </c>
      <c r="T101" s="243" t="str">
        <f t="shared" ref="T101:T132" si="7">TEXT(U101,"mmm/aaaa")</f>
        <v>mar/2025</v>
      </c>
      <c r="U101" s="161" t="s">
        <v>1059</v>
      </c>
      <c r="V101" s="161" t="s">
        <v>1060</v>
      </c>
      <c r="W101" s="146">
        <f>DATEDIF(Base_CTRs_Finalizados[[#This Row],[INÍCIO VIGÊNCIA]],Base_CTRs_Finalizados[[#This Row],[FINAL 
VIGÊNCIA]],"Y")</f>
        <v>5</v>
      </c>
      <c r="X101" s="244" t="s">
        <v>1061</v>
      </c>
      <c r="Y101" s="244" t="s">
        <v>33</v>
      </c>
      <c r="Z101" s="146" t="s">
        <v>1062</v>
      </c>
      <c r="AA101" s="146" t="s">
        <v>1063</v>
      </c>
      <c r="AB101" s="236">
        <f>DATEDIF(Base_CTRs_Finalizados[[#This Row],[INÍCIO VIGÊNCIA]],Base_CTRs_Finalizados[[#This Row],[FINAL 
VIGÊNCIA]],"M")</f>
        <v>60</v>
      </c>
      <c r="AC101" s="203">
        <f t="shared" si="6"/>
        <v>9133.3326666666653</v>
      </c>
      <c r="AD101" s="203">
        <v>547999.96</v>
      </c>
      <c r="AE101" s="150" t="s">
        <v>14</v>
      </c>
      <c r="AF101" s="150" t="s">
        <v>9</v>
      </c>
      <c r="AG101" s="150"/>
      <c r="AH101" s="150"/>
      <c r="AI101" s="150"/>
      <c r="AJ101" s="237">
        <f>_xlfn.DAYS(Base_CTRs_Finalizados[[#This Row],[INÍCIO VIGÊNCIA]],Base_CTRs_Finalizados[[#This Row],[Data inicio processo]])</f>
        <v>119</v>
      </c>
      <c r="AK101" s="266" t="s">
        <v>1170</v>
      </c>
      <c r="AL101" s="266" t="s">
        <v>1207</v>
      </c>
      <c r="AM101" s="266" t="s">
        <v>1198</v>
      </c>
      <c r="AO101" s="17" t="s">
        <v>1864</v>
      </c>
    </row>
    <row r="102" spans="2:41" ht="17.25" customHeight="1" thickTop="1" thickBot="1" x14ac:dyDescent="0.3">
      <c r="C102" s="242">
        <v>45670</v>
      </c>
      <c r="D102" s="242"/>
      <c r="E102" s="136" t="s">
        <v>88</v>
      </c>
      <c r="F102" s="136" t="s">
        <v>74</v>
      </c>
      <c r="G102" s="136" t="s">
        <v>1117</v>
      </c>
      <c r="H102" s="78" t="s">
        <v>7</v>
      </c>
      <c r="I102" s="78" t="s">
        <v>764</v>
      </c>
      <c r="J102" s="78" t="s">
        <v>1119</v>
      </c>
      <c r="K102" s="78" t="s">
        <v>1118</v>
      </c>
      <c r="L102" s="261" t="s">
        <v>1022</v>
      </c>
      <c r="M102" s="146" t="s">
        <v>20</v>
      </c>
      <c r="N102" s="146" t="s">
        <v>79</v>
      </c>
      <c r="O102" s="202" t="s">
        <v>1112</v>
      </c>
      <c r="P102" s="320" t="s">
        <v>1912</v>
      </c>
      <c r="Q102" s="146" t="s">
        <v>1120</v>
      </c>
      <c r="R102" s="146" t="s">
        <v>1121</v>
      </c>
      <c r="S102" s="281">
        <v>2025</v>
      </c>
      <c r="T102" s="243" t="str">
        <f t="shared" si="7"/>
        <v>abr/2025</v>
      </c>
      <c r="U102" s="161" t="s">
        <v>1122</v>
      </c>
      <c r="V102" s="161" t="s">
        <v>1123</v>
      </c>
      <c r="W102" s="146">
        <f>DATEDIF(Base_CTRs_Finalizados[[#This Row],[INÍCIO VIGÊNCIA]],Base_CTRs_Finalizados[[#This Row],[FINAL 
VIGÊNCIA]],"Y")</f>
        <v>3</v>
      </c>
      <c r="X102" s="146" t="s">
        <v>1124</v>
      </c>
      <c r="Y102" s="146" t="s">
        <v>33</v>
      </c>
      <c r="Z102" s="146" t="s">
        <v>1125</v>
      </c>
      <c r="AA102" s="146" t="s">
        <v>1126</v>
      </c>
      <c r="AB102" s="236">
        <f>DATEDIF(Base_CTRs_Finalizados[[#This Row],[INÍCIO VIGÊNCIA]],Base_CTRs_Finalizados[[#This Row],[FINAL 
VIGÊNCIA]],"M")</f>
        <v>36</v>
      </c>
      <c r="AC102" s="203">
        <f t="shared" si="6"/>
        <v>819.44444444444446</v>
      </c>
      <c r="AD102" s="203">
        <v>29500</v>
      </c>
      <c r="AE102" s="150" t="s">
        <v>14</v>
      </c>
      <c r="AF102" s="150" t="s">
        <v>9</v>
      </c>
      <c r="AG102" s="150"/>
      <c r="AH102" s="150"/>
      <c r="AI102" s="150"/>
      <c r="AJ102" s="237">
        <f>_xlfn.DAYS(Base_CTRs_Finalizados[[#This Row],[INÍCIO VIGÊNCIA]],Base_CTRs_Finalizados[[#This Row],[Data inicio processo]])</f>
        <v>78</v>
      </c>
      <c r="AK102" s="266" t="s">
        <v>1170</v>
      </c>
      <c r="AL102" s="266" t="s">
        <v>1208</v>
      </c>
      <c r="AM102" s="266" t="s">
        <v>1198</v>
      </c>
      <c r="AO102" s="17" t="s">
        <v>1864</v>
      </c>
    </row>
    <row r="103" spans="2:41" ht="17.25" customHeight="1" thickTop="1" thickBot="1" x14ac:dyDescent="0.3">
      <c r="C103" s="242">
        <v>45587</v>
      </c>
      <c r="D103" s="242"/>
      <c r="E103" s="136" t="s">
        <v>90</v>
      </c>
      <c r="F103" s="136" t="s">
        <v>200</v>
      </c>
      <c r="G103" s="136" t="s">
        <v>1127</v>
      </c>
      <c r="H103" s="78" t="s">
        <v>1083</v>
      </c>
      <c r="I103" s="78" t="s">
        <v>343</v>
      </c>
      <c r="J103" s="78" t="s">
        <v>1128</v>
      </c>
      <c r="K103" s="78" t="s">
        <v>1268</v>
      </c>
      <c r="L103" s="261" t="s">
        <v>1022</v>
      </c>
      <c r="M103" s="146" t="s">
        <v>20</v>
      </c>
      <c r="N103" s="146" t="s">
        <v>79</v>
      </c>
      <c r="O103" s="202" t="s">
        <v>1113</v>
      </c>
      <c r="P103" s="320" t="s">
        <v>1913</v>
      </c>
      <c r="Q103" s="146" t="s">
        <v>1129</v>
      </c>
      <c r="R103" s="146" t="s">
        <v>911</v>
      </c>
      <c r="S103" s="281">
        <v>2025</v>
      </c>
      <c r="T103" s="243" t="str">
        <f t="shared" si="7"/>
        <v>mar/2025</v>
      </c>
      <c r="U103" s="161" t="s">
        <v>1131</v>
      </c>
      <c r="V103" s="161" t="s">
        <v>1132</v>
      </c>
      <c r="W103" s="146">
        <f>DATEDIF(Base_CTRs_Finalizados[[#This Row],[INÍCIO VIGÊNCIA]],Base_CTRs_Finalizados[[#This Row],[FINAL 
VIGÊNCIA]],"Y")</f>
        <v>3</v>
      </c>
      <c r="X103" s="146" t="s">
        <v>1130</v>
      </c>
      <c r="Y103" s="146" t="s">
        <v>33</v>
      </c>
      <c r="Z103" s="146" t="s">
        <v>1080</v>
      </c>
      <c r="AA103" s="146" t="s">
        <v>1081</v>
      </c>
      <c r="AB103" s="236">
        <f>DATEDIF(Base_CTRs_Finalizados[[#This Row],[INÍCIO VIGÊNCIA]],Base_CTRs_Finalizados[[#This Row],[FINAL 
VIGÊNCIA]],"M")</f>
        <v>36</v>
      </c>
      <c r="AC103" s="203">
        <f t="shared" si="6"/>
        <v>177119.64444444445</v>
      </c>
      <c r="AD103" s="203">
        <v>6376307.2000000002</v>
      </c>
      <c r="AE103" s="150" t="s">
        <v>14</v>
      </c>
      <c r="AF103" s="150" t="s">
        <v>9</v>
      </c>
      <c r="AG103" s="150"/>
      <c r="AH103" s="150"/>
      <c r="AI103" s="150"/>
      <c r="AJ103" s="237">
        <f>_xlfn.DAYS(Base_CTRs_Finalizados[[#This Row],[INÍCIO VIGÊNCIA]],Base_CTRs_Finalizados[[#This Row],[Data inicio processo]])</f>
        <v>150</v>
      </c>
      <c r="AK103" s="287" t="s">
        <v>1171</v>
      </c>
      <c r="AL103" s="287" t="s">
        <v>1452</v>
      </c>
      <c r="AM103" s="287" t="s">
        <v>1516</v>
      </c>
      <c r="AO103" s="17" t="s">
        <v>1864</v>
      </c>
    </row>
    <row r="104" spans="2:41" ht="17.25" customHeight="1" thickTop="1" thickBot="1" x14ac:dyDescent="0.3">
      <c r="C104" s="242">
        <v>45639</v>
      </c>
      <c r="D104" s="242"/>
      <c r="E104" s="136" t="s">
        <v>90</v>
      </c>
      <c r="F104" s="136" t="s">
        <v>200</v>
      </c>
      <c r="G104" s="136" t="s">
        <v>1133</v>
      </c>
      <c r="H104" s="78" t="s">
        <v>4</v>
      </c>
      <c r="I104" s="78" t="s">
        <v>1037</v>
      </c>
      <c r="J104" s="78" t="s">
        <v>1134</v>
      </c>
      <c r="K104" s="78" t="s">
        <v>1135</v>
      </c>
      <c r="L104" s="261" t="s">
        <v>1022</v>
      </c>
      <c r="M104" s="146" t="s">
        <v>20</v>
      </c>
      <c r="N104" s="146" t="s">
        <v>79</v>
      </c>
      <c r="O104" s="202" t="s">
        <v>1114</v>
      </c>
      <c r="P104" s="320" t="s">
        <v>1652</v>
      </c>
      <c r="Q104" s="146" t="s">
        <v>1179</v>
      </c>
      <c r="R104" s="146" t="s">
        <v>1153</v>
      </c>
      <c r="S104" s="281">
        <v>2025</v>
      </c>
      <c r="T104" s="243" t="str">
        <f t="shared" si="7"/>
        <v>mar/2025</v>
      </c>
      <c r="U104" s="161" t="s">
        <v>1136</v>
      </c>
      <c r="V104" s="161" t="s">
        <v>1205</v>
      </c>
      <c r="W104" s="146">
        <f>DATEDIF(Base_CTRs_Finalizados[[#This Row],[INÍCIO VIGÊNCIA]],Base_CTRs_Finalizados[[#This Row],[FINAL 
VIGÊNCIA]],"Y")</f>
        <v>0</v>
      </c>
      <c r="X104" s="146" t="s">
        <v>1137</v>
      </c>
      <c r="Y104" s="146" t="s">
        <v>33</v>
      </c>
      <c r="Z104" s="146" t="s">
        <v>1138</v>
      </c>
      <c r="AA104" s="146" t="s">
        <v>1139</v>
      </c>
      <c r="AB104" s="236">
        <f>DATEDIF(Base_CTRs_Finalizados[[#This Row],[INÍCIO VIGÊNCIA]],Base_CTRs_Finalizados[[#This Row],[FINAL 
VIGÊNCIA]],"M")</f>
        <v>6</v>
      </c>
      <c r="AC104" s="203">
        <f t="shared" si="6"/>
        <v>8934</v>
      </c>
      <c r="AD104" s="203">
        <v>53604</v>
      </c>
      <c r="AE104" s="150" t="s">
        <v>14</v>
      </c>
      <c r="AF104" s="150" t="s">
        <v>9</v>
      </c>
      <c r="AG104" s="150"/>
      <c r="AH104" s="150"/>
      <c r="AI104" s="150"/>
      <c r="AJ104" s="237">
        <f>_xlfn.DAYS(Base_CTRs_Finalizados[[#This Row],[INÍCIO VIGÊNCIA]],Base_CTRs_Finalizados[[#This Row],[Data inicio processo]])</f>
        <v>104</v>
      </c>
      <c r="AK104" s="266" t="s">
        <v>1204</v>
      </c>
      <c r="AL104" s="266" t="s">
        <v>1202</v>
      </c>
      <c r="AM104" s="266" t="s">
        <v>1198</v>
      </c>
      <c r="AO104" s="17" t="s">
        <v>1865</v>
      </c>
    </row>
    <row r="105" spans="2:41" ht="17.25" customHeight="1" thickTop="1" thickBot="1" x14ac:dyDescent="0.3">
      <c r="C105" s="242">
        <v>45639</v>
      </c>
      <c r="D105" s="242"/>
      <c r="E105" s="136" t="s">
        <v>90</v>
      </c>
      <c r="F105" s="136" t="s">
        <v>200</v>
      </c>
      <c r="G105" s="136" t="s">
        <v>1140</v>
      </c>
      <c r="H105" s="78" t="s">
        <v>4</v>
      </c>
      <c r="I105" s="78" t="s">
        <v>1037</v>
      </c>
      <c r="J105" s="78" t="s">
        <v>1134</v>
      </c>
      <c r="K105" s="78" t="s">
        <v>1141</v>
      </c>
      <c r="L105" s="261" t="s">
        <v>1022</v>
      </c>
      <c r="M105" s="146" t="s">
        <v>20</v>
      </c>
      <c r="N105" s="146" t="s">
        <v>79</v>
      </c>
      <c r="O105" s="202" t="s">
        <v>1115</v>
      </c>
      <c r="P105" s="320" t="s">
        <v>1914</v>
      </c>
      <c r="Q105" s="146" t="s">
        <v>1180</v>
      </c>
      <c r="R105" s="146" t="s">
        <v>1153</v>
      </c>
      <c r="S105" s="281">
        <v>2025</v>
      </c>
      <c r="T105" s="243" t="str">
        <f t="shared" si="7"/>
        <v>mar/2025</v>
      </c>
      <c r="U105" s="161">
        <v>45743</v>
      </c>
      <c r="V105" s="161">
        <v>45947</v>
      </c>
      <c r="W105" s="146">
        <f>DATEDIF(Base_CTRs_Finalizados[[#This Row],[INÍCIO VIGÊNCIA]],Base_CTRs_Finalizados[[#This Row],[FINAL 
VIGÊNCIA]],"Y")</f>
        <v>0</v>
      </c>
      <c r="X105" s="146" t="s">
        <v>1142</v>
      </c>
      <c r="Y105" s="146" t="s">
        <v>33</v>
      </c>
      <c r="Z105" s="146" t="s">
        <v>1138</v>
      </c>
      <c r="AA105" s="146" t="s">
        <v>1139</v>
      </c>
      <c r="AB105" s="236">
        <f>DATEDIF(Base_CTRs_Finalizados[[#This Row],[INÍCIO VIGÊNCIA]],Base_CTRs_Finalizados[[#This Row],[FINAL 
VIGÊNCIA]],"M")</f>
        <v>6</v>
      </c>
      <c r="AC105" s="203">
        <f t="shared" si="6"/>
        <v>20434.166666666668</v>
      </c>
      <c r="AD105" s="203">
        <v>122605</v>
      </c>
      <c r="AE105" s="150" t="s">
        <v>14</v>
      </c>
      <c r="AF105" s="150" t="s">
        <v>9</v>
      </c>
      <c r="AG105" s="150"/>
      <c r="AH105" s="150"/>
      <c r="AI105" s="150"/>
      <c r="AJ105" s="237">
        <f>_xlfn.DAYS(Base_CTRs_Finalizados[[#This Row],[INÍCIO VIGÊNCIA]],Base_CTRs_Finalizados[[#This Row],[Data inicio processo]])</f>
        <v>104</v>
      </c>
      <c r="AK105" s="266" t="s">
        <v>1203</v>
      </c>
      <c r="AL105" s="266" t="s">
        <v>1201</v>
      </c>
      <c r="AM105" s="266" t="s">
        <v>1198</v>
      </c>
      <c r="AO105" s="17" t="s">
        <v>1865</v>
      </c>
    </row>
    <row r="106" spans="2:41" ht="17.25" customHeight="1" thickTop="1" thickBot="1" x14ac:dyDescent="0.3">
      <c r="C106" s="242">
        <v>45617</v>
      </c>
      <c r="D106" s="242"/>
      <c r="E106" s="136" t="s">
        <v>88</v>
      </c>
      <c r="F106" s="136" t="s">
        <v>52</v>
      </c>
      <c r="G106" s="136" t="s">
        <v>1146</v>
      </c>
      <c r="H106" s="78" t="s">
        <v>7</v>
      </c>
      <c r="I106" s="78" t="s">
        <v>764</v>
      </c>
      <c r="J106" s="78" t="s">
        <v>1148</v>
      </c>
      <c r="K106" s="78" t="s">
        <v>1147</v>
      </c>
      <c r="L106" s="261">
        <v>2025</v>
      </c>
      <c r="M106" s="146" t="s">
        <v>20</v>
      </c>
      <c r="N106" s="146" t="s">
        <v>79</v>
      </c>
      <c r="O106" s="202" t="s">
        <v>1116</v>
      </c>
      <c r="P106" s="320" t="s">
        <v>1653</v>
      </c>
      <c r="Q106" s="146" t="s">
        <v>1151</v>
      </c>
      <c r="R106" s="146" t="s">
        <v>1152</v>
      </c>
      <c r="S106" s="281">
        <v>2025</v>
      </c>
      <c r="T106" s="243" t="str">
        <f t="shared" si="7"/>
        <v>mar/2025</v>
      </c>
      <c r="U106" s="161">
        <v>45744</v>
      </c>
      <c r="V106" s="161">
        <v>46109</v>
      </c>
      <c r="W106" s="146">
        <f>DATEDIF(Base_CTRs_Finalizados[[#This Row],[INÍCIO VIGÊNCIA]],Base_CTRs_Finalizados[[#This Row],[FINAL 
VIGÊNCIA]],"Y")</f>
        <v>1</v>
      </c>
      <c r="X106" s="146" t="s">
        <v>1143</v>
      </c>
      <c r="Y106" s="146" t="s">
        <v>33</v>
      </c>
      <c r="Z106" s="146" t="s">
        <v>1144</v>
      </c>
      <c r="AA106" s="146" t="s">
        <v>1145</v>
      </c>
      <c r="AB106" s="236">
        <f>DATEDIF(Base_CTRs_Finalizados[[#This Row],[INÍCIO VIGÊNCIA]],Base_CTRs_Finalizados[[#This Row],[FINAL 
VIGÊNCIA]],"M")</f>
        <v>12</v>
      </c>
      <c r="AC106" s="203">
        <f t="shared" si="6"/>
        <v>541.66666666666663</v>
      </c>
      <c r="AD106" s="203">
        <v>6500</v>
      </c>
      <c r="AE106" s="150" t="s">
        <v>16</v>
      </c>
      <c r="AF106" s="150" t="s">
        <v>9</v>
      </c>
      <c r="AG106" s="150" t="s">
        <v>1341</v>
      </c>
      <c r="AH106" s="150" t="s">
        <v>1342</v>
      </c>
      <c r="AI106" s="150"/>
      <c r="AJ106" s="237">
        <f>_xlfn.DAYS(Base_CTRs_Finalizados[[#This Row],[INÍCIO VIGÊNCIA]],Base_CTRs_Finalizados[[#This Row],[Data inicio processo]])</f>
        <v>127</v>
      </c>
      <c r="AK106" s="266" t="s">
        <v>1172</v>
      </c>
      <c r="AL106" s="266" t="s">
        <v>1209</v>
      </c>
      <c r="AM106" s="266" t="s">
        <v>1198</v>
      </c>
      <c r="AO106" s="17" t="s">
        <v>1864</v>
      </c>
    </row>
    <row r="107" spans="2:41" ht="17.25" customHeight="1" thickTop="1" thickBot="1" x14ac:dyDescent="0.3">
      <c r="C107" s="242">
        <v>45740</v>
      </c>
      <c r="D107" s="242"/>
      <c r="E107" s="136" t="s">
        <v>92</v>
      </c>
      <c r="F107" s="136" t="s">
        <v>1188</v>
      </c>
      <c r="G107" s="136" t="s">
        <v>1187</v>
      </c>
      <c r="H107" s="78" t="s">
        <v>4</v>
      </c>
      <c r="I107" s="78" t="s">
        <v>1037</v>
      </c>
      <c r="J107" s="78" t="s">
        <v>1190</v>
      </c>
      <c r="K107" s="78" t="s">
        <v>1189</v>
      </c>
      <c r="L107" s="261">
        <v>2025</v>
      </c>
      <c r="M107" s="146" t="s">
        <v>20</v>
      </c>
      <c r="N107" s="146" t="s">
        <v>79</v>
      </c>
      <c r="O107" s="202" t="s">
        <v>1181</v>
      </c>
      <c r="P107" s="320" t="s">
        <v>1654</v>
      </c>
      <c r="Q107" s="146" t="s">
        <v>1182</v>
      </c>
      <c r="R107" s="146" t="s">
        <v>1183</v>
      </c>
      <c r="S107" s="281">
        <v>2025</v>
      </c>
      <c r="T107" s="243" t="str">
        <f t="shared" si="7"/>
        <v>abr/2025</v>
      </c>
      <c r="U107" s="161">
        <v>45763</v>
      </c>
      <c r="V107" s="161">
        <v>47589</v>
      </c>
      <c r="W107" s="146">
        <f>DATEDIF(Base_CTRs_Finalizados[[#This Row],[INÍCIO VIGÊNCIA]],Base_CTRs_Finalizados[[#This Row],[FINAL 
VIGÊNCIA]],"Y")</f>
        <v>5</v>
      </c>
      <c r="X107" s="146" t="s">
        <v>1184</v>
      </c>
      <c r="Y107" s="146" t="s">
        <v>33</v>
      </c>
      <c r="Z107" s="146" t="s">
        <v>1185</v>
      </c>
      <c r="AA107" s="146" t="s">
        <v>1186</v>
      </c>
      <c r="AB107" s="238">
        <v>60</v>
      </c>
      <c r="AC107" s="239">
        <f>AD107/AB107</f>
        <v>98333.333333333328</v>
      </c>
      <c r="AD107" s="239">
        <v>5900000</v>
      </c>
      <c r="AE107" s="240" t="s">
        <v>14</v>
      </c>
      <c r="AF107" s="150" t="s">
        <v>9</v>
      </c>
      <c r="AG107" s="241"/>
      <c r="AH107" s="240"/>
      <c r="AI107" s="240"/>
      <c r="AJ107" s="237">
        <f>_xlfn.DAYS(Base_CTRs_Finalizados[[#This Row],[INÍCIO VIGÊNCIA]],Base_CTRs_Finalizados[[#This Row],[Data inicio processo]])</f>
        <v>23</v>
      </c>
      <c r="AK107" s="266" t="s">
        <v>1210</v>
      </c>
      <c r="AL107" s="266" t="s">
        <v>1211</v>
      </c>
      <c r="AM107" s="266" t="s">
        <v>1198</v>
      </c>
      <c r="AO107" s="17" t="s">
        <v>1865</v>
      </c>
    </row>
    <row r="108" spans="2:41" ht="17.25" customHeight="1" thickTop="1" thickBot="1" x14ac:dyDescent="0.3">
      <c r="C108" s="242">
        <v>45701</v>
      </c>
      <c r="D108" s="242"/>
      <c r="E108" s="136" t="s">
        <v>88</v>
      </c>
      <c r="F108" s="136" t="s">
        <v>48</v>
      </c>
      <c r="G108" s="136" t="s">
        <v>1212</v>
      </c>
      <c r="H108" s="78" t="s">
        <v>5</v>
      </c>
      <c r="I108" s="78" t="s">
        <v>343</v>
      </c>
      <c r="J108" s="78" t="s">
        <v>1214</v>
      </c>
      <c r="K108" s="78" t="s">
        <v>1213</v>
      </c>
      <c r="L108" s="261">
        <v>2024</v>
      </c>
      <c r="M108" s="146" t="s">
        <v>20</v>
      </c>
      <c r="N108" s="146" t="s">
        <v>79</v>
      </c>
      <c r="O108" s="202" t="s">
        <v>1215</v>
      </c>
      <c r="P108" s="320" t="s">
        <v>1915</v>
      </c>
      <c r="Q108" s="146" t="s">
        <v>1244</v>
      </c>
      <c r="R108" s="146" t="s">
        <v>1111</v>
      </c>
      <c r="S108" s="281">
        <v>2025</v>
      </c>
      <c r="T108" s="243" t="str">
        <f t="shared" si="7"/>
        <v>mai/2025</v>
      </c>
      <c r="U108" s="161">
        <v>45793</v>
      </c>
      <c r="V108" s="161">
        <v>47619</v>
      </c>
      <c r="W108" s="146">
        <f>DATEDIF(Base_CTRs_Finalizados[[#This Row],[INÍCIO VIGÊNCIA]],Base_CTRs_Finalizados[[#This Row],[FINAL 
VIGÊNCIA]],"Y")</f>
        <v>5</v>
      </c>
      <c r="X108" s="146" t="s">
        <v>1216</v>
      </c>
      <c r="Y108" s="146" t="s">
        <v>33</v>
      </c>
      <c r="Z108" s="146" t="s">
        <v>1217</v>
      </c>
      <c r="AA108" s="146" t="s">
        <v>1218</v>
      </c>
      <c r="AB108" s="238">
        <v>60</v>
      </c>
      <c r="AC108" s="239">
        <f>AD108/AB108</f>
        <v>7648</v>
      </c>
      <c r="AD108" s="239">
        <v>458880</v>
      </c>
      <c r="AE108" s="240" t="s">
        <v>14</v>
      </c>
      <c r="AF108" s="150" t="s">
        <v>9</v>
      </c>
      <c r="AG108" s="241"/>
      <c r="AH108" s="240"/>
      <c r="AI108" s="240"/>
      <c r="AJ108" s="237">
        <f>_xlfn.DAYS(Base_CTRs_Finalizados[[#This Row],[INÍCIO VIGÊNCIA]],Base_CTRs_Finalizados[[#This Row],[Data inicio processo]])</f>
        <v>92</v>
      </c>
      <c r="AK108" s="266" t="s">
        <v>1242</v>
      </c>
      <c r="AL108" s="266" t="s">
        <v>1245</v>
      </c>
      <c r="AM108" s="266" t="s">
        <v>1198</v>
      </c>
      <c r="AO108" s="17" t="s">
        <v>1864</v>
      </c>
    </row>
    <row r="109" spans="2:41" ht="21" customHeight="1" thickTop="1" thickBot="1" x14ac:dyDescent="0.3">
      <c r="C109" s="242">
        <v>45761</v>
      </c>
      <c r="D109" s="242"/>
      <c r="E109" s="136" t="s">
        <v>90</v>
      </c>
      <c r="F109" s="136" t="s">
        <v>78</v>
      </c>
      <c r="G109" s="136" t="s">
        <v>1249</v>
      </c>
      <c r="H109" s="78" t="s">
        <v>7</v>
      </c>
      <c r="I109" s="78" t="s">
        <v>764</v>
      </c>
      <c r="J109" s="78" t="s">
        <v>1250</v>
      </c>
      <c r="K109" s="78" t="s">
        <v>1251</v>
      </c>
      <c r="L109" s="261">
        <v>2025</v>
      </c>
      <c r="M109" s="146" t="s">
        <v>20</v>
      </c>
      <c r="N109" s="146" t="s">
        <v>79</v>
      </c>
      <c r="O109" s="202" t="s">
        <v>1246</v>
      </c>
      <c r="P109" s="320" t="s">
        <v>1916</v>
      </c>
      <c r="Q109" s="146" t="s">
        <v>1269</v>
      </c>
      <c r="R109" s="146" t="s">
        <v>1270</v>
      </c>
      <c r="S109" s="281">
        <v>2025</v>
      </c>
      <c r="T109" s="243" t="str">
        <f t="shared" si="7"/>
        <v>jun/2025</v>
      </c>
      <c r="U109" s="161">
        <v>45828</v>
      </c>
      <c r="V109" s="161">
        <v>46011</v>
      </c>
      <c r="W109" s="146">
        <f>DATEDIF(Base_CTRs_Finalizados[[#This Row],[INÍCIO VIGÊNCIA]],Base_CTRs_Finalizados[[#This Row],[FINAL 
VIGÊNCIA]],"Y")</f>
        <v>0</v>
      </c>
      <c r="X109" s="146" t="s">
        <v>1252</v>
      </c>
      <c r="Y109" s="146" t="s">
        <v>33</v>
      </c>
      <c r="Z109" s="146" t="s">
        <v>1253</v>
      </c>
      <c r="AA109" s="146" t="s">
        <v>1254</v>
      </c>
      <c r="AB109" s="236">
        <v>6</v>
      </c>
      <c r="AC109" s="203">
        <f t="shared" si="4"/>
        <v>4240.166666666667</v>
      </c>
      <c r="AD109" s="203">
        <v>25441</v>
      </c>
      <c r="AE109" s="240" t="s">
        <v>14</v>
      </c>
      <c r="AF109" s="150" t="s">
        <v>9</v>
      </c>
      <c r="AG109" s="150"/>
      <c r="AH109" s="150"/>
      <c r="AI109" s="150"/>
      <c r="AJ109" s="237">
        <f>_xlfn.DAYS(Base_CTRs_Finalizados[[#This Row],[INÍCIO VIGÊNCIA]],Base_CTRs_Finalizados[[#This Row],[Data inicio processo]])</f>
        <v>67</v>
      </c>
      <c r="AK109" s="267" t="s">
        <v>1275</v>
      </c>
      <c r="AL109" s="267" t="s">
        <v>1276</v>
      </c>
      <c r="AM109" s="266" t="s">
        <v>1198</v>
      </c>
      <c r="AO109" s="17" t="s">
        <v>1865</v>
      </c>
    </row>
    <row r="110" spans="2:41" ht="17.25" thickTop="1" thickBot="1" x14ac:dyDescent="0.3">
      <c r="C110" s="242">
        <v>45652</v>
      </c>
      <c r="D110" s="242"/>
      <c r="E110" s="136" t="s">
        <v>90</v>
      </c>
      <c r="F110" s="136" t="s">
        <v>51</v>
      </c>
      <c r="G110" s="136" t="s">
        <v>1255</v>
      </c>
      <c r="H110" s="78" t="s">
        <v>5</v>
      </c>
      <c r="I110" s="78" t="s">
        <v>343</v>
      </c>
      <c r="J110" s="78" t="s">
        <v>1256</v>
      </c>
      <c r="K110" s="78" t="s">
        <v>1257</v>
      </c>
      <c r="L110" s="261">
        <v>2025</v>
      </c>
      <c r="M110" s="146" t="s">
        <v>20</v>
      </c>
      <c r="N110" s="146" t="s">
        <v>79</v>
      </c>
      <c r="O110" s="202" t="s">
        <v>1247</v>
      </c>
      <c r="P110" s="320" t="s">
        <v>1917</v>
      </c>
      <c r="Q110" s="146" t="s">
        <v>1271</v>
      </c>
      <c r="R110" s="146" t="s">
        <v>1272</v>
      </c>
      <c r="S110" s="281">
        <v>2025</v>
      </c>
      <c r="T110" s="243" t="str">
        <f t="shared" si="7"/>
        <v>jun/2025</v>
      </c>
      <c r="U110" s="161">
        <v>45821</v>
      </c>
      <c r="V110" s="161">
        <v>46917</v>
      </c>
      <c r="W110" s="146">
        <f>DATEDIF(Base_CTRs_Finalizados[[#This Row],[INÍCIO VIGÊNCIA]],Base_CTRs_Finalizados[[#This Row],[FINAL 
VIGÊNCIA]],"Y")</f>
        <v>3</v>
      </c>
      <c r="X110" s="146" t="s">
        <v>1258</v>
      </c>
      <c r="Y110" s="146" t="s">
        <v>33</v>
      </c>
      <c r="Z110" s="146" t="s">
        <v>1259</v>
      </c>
      <c r="AA110" s="146" t="s">
        <v>1260</v>
      </c>
      <c r="AB110" s="236">
        <v>36</v>
      </c>
      <c r="AC110" s="203">
        <f t="shared" ref="AC110:AC117" si="8">AD110/AB110</f>
        <v>12472.222222222223</v>
      </c>
      <c r="AD110" s="203">
        <v>449000</v>
      </c>
      <c r="AE110" s="240" t="s">
        <v>54</v>
      </c>
      <c r="AF110" s="150" t="s">
        <v>9</v>
      </c>
      <c r="AG110" s="150"/>
      <c r="AH110" s="150"/>
      <c r="AI110" s="150"/>
      <c r="AJ110" s="237">
        <f>_xlfn.DAYS(Base_CTRs_Finalizados[[#This Row],[INÍCIO VIGÊNCIA]],Base_CTRs_Finalizados[[#This Row],[Data inicio processo]])</f>
        <v>169</v>
      </c>
      <c r="AK110" s="266" t="s">
        <v>1279</v>
      </c>
      <c r="AL110" s="266" t="s">
        <v>1280</v>
      </c>
      <c r="AM110" s="266" t="s">
        <v>1198</v>
      </c>
      <c r="AO110" s="17" t="s">
        <v>1864</v>
      </c>
    </row>
    <row r="111" spans="2:41" ht="17.25" thickTop="1" thickBot="1" x14ac:dyDescent="0.3">
      <c r="C111" s="242">
        <v>45784</v>
      </c>
      <c r="D111" s="242"/>
      <c r="E111" s="136" t="s">
        <v>90</v>
      </c>
      <c r="F111" s="136" t="s">
        <v>73</v>
      </c>
      <c r="G111" s="136" t="s">
        <v>1264</v>
      </c>
      <c r="H111" s="78" t="s">
        <v>7</v>
      </c>
      <c r="I111" s="78" t="s">
        <v>764</v>
      </c>
      <c r="J111" s="78"/>
      <c r="K111" s="78" t="s">
        <v>1267</v>
      </c>
      <c r="L111" s="261">
        <v>2025</v>
      </c>
      <c r="M111" s="146" t="s">
        <v>20</v>
      </c>
      <c r="N111" s="146" t="s">
        <v>79</v>
      </c>
      <c r="O111" s="202" t="s">
        <v>1248</v>
      </c>
      <c r="P111" s="320" t="s">
        <v>1918</v>
      </c>
      <c r="Q111" s="146" t="s">
        <v>1265</v>
      </c>
      <c r="R111" s="146" t="s">
        <v>1266</v>
      </c>
      <c r="S111" s="281">
        <v>2025</v>
      </c>
      <c r="T111" s="243" t="str">
        <f t="shared" si="7"/>
        <v>jun/2025</v>
      </c>
      <c r="U111" s="161">
        <v>45821</v>
      </c>
      <c r="V111" s="161">
        <v>46004</v>
      </c>
      <c r="W111" s="146">
        <f>DATEDIF(Base_CTRs_Finalizados[[#This Row],[INÍCIO VIGÊNCIA]],Base_CTRs_Finalizados[[#This Row],[FINAL 
VIGÊNCIA]],"Y")</f>
        <v>0</v>
      </c>
      <c r="X111" s="146" t="s">
        <v>1263</v>
      </c>
      <c r="Y111" s="146" t="s">
        <v>28</v>
      </c>
      <c r="Z111" s="146" t="s">
        <v>1261</v>
      </c>
      <c r="AA111" s="146" t="s">
        <v>1262</v>
      </c>
      <c r="AB111" s="236">
        <v>6</v>
      </c>
      <c r="AC111" s="203">
        <f t="shared" si="8"/>
        <v>675</v>
      </c>
      <c r="AD111" s="203">
        <v>4050</v>
      </c>
      <c r="AE111" s="240" t="s">
        <v>14</v>
      </c>
      <c r="AF111" s="150" t="s">
        <v>9</v>
      </c>
      <c r="AG111" s="150"/>
      <c r="AH111" s="150"/>
      <c r="AI111" s="150"/>
      <c r="AJ111" s="237">
        <f>_xlfn.DAYS(Base_CTRs_Finalizados[[#This Row],[INÍCIO VIGÊNCIA]],Base_CTRs_Finalizados[[#This Row],[Data inicio processo]])</f>
        <v>37</v>
      </c>
      <c r="AK111" s="266" t="s">
        <v>1277</v>
      </c>
      <c r="AL111" s="266" t="s">
        <v>1278</v>
      </c>
      <c r="AM111" s="266" t="s">
        <v>1198</v>
      </c>
      <c r="AO111" s="17" t="s">
        <v>1865</v>
      </c>
    </row>
    <row r="112" spans="2:41" ht="17.25" thickTop="1" thickBot="1" x14ac:dyDescent="0.3">
      <c r="C112" s="242">
        <v>45842</v>
      </c>
      <c r="D112" s="242"/>
      <c r="E112" s="136" t="s">
        <v>90</v>
      </c>
      <c r="F112" s="136" t="s">
        <v>200</v>
      </c>
      <c r="G112" s="136" t="s">
        <v>1351</v>
      </c>
      <c r="H112" s="78" t="s">
        <v>7</v>
      </c>
      <c r="I112" s="78" t="s">
        <v>764</v>
      </c>
      <c r="J112" s="78" t="s">
        <v>1352</v>
      </c>
      <c r="K112" s="78" t="s">
        <v>1353</v>
      </c>
      <c r="L112" s="261">
        <v>2025</v>
      </c>
      <c r="M112" s="146" t="s">
        <v>20</v>
      </c>
      <c r="N112" s="146" t="s">
        <v>79</v>
      </c>
      <c r="O112" s="202" t="s">
        <v>1343</v>
      </c>
      <c r="P112" s="320" t="s">
        <v>1919</v>
      </c>
      <c r="Q112" s="146" t="s">
        <v>1349</v>
      </c>
      <c r="R112" s="146" t="s">
        <v>1350</v>
      </c>
      <c r="S112" s="281">
        <v>2025</v>
      </c>
      <c r="T112" s="243" t="str">
        <f t="shared" si="7"/>
        <v>jul/2025</v>
      </c>
      <c r="U112" s="161">
        <v>45852</v>
      </c>
      <c r="V112" s="161">
        <v>47678</v>
      </c>
      <c r="W112" s="146">
        <f>DATEDIF(Base_CTRs_Finalizados[[#This Row],[INÍCIO VIGÊNCIA]],Base_CTRs_Finalizados[[#This Row],[FINAL 
VIGÊNCIA]],"Y")</f>
        <v>5</v>
      </c>
      <c r="X112" s="146" t="s">
        <v>1348</v>
      </c>
      <c r="Y112" s="146" t="s">
        <v>33</v>
      </c>
      <c r="Z112" s="146" t="s">
        <v>1346</v>
      </c>
      <c r="AA112" s="146" t="s">
        <v>1347</v>
      </c>
      <c r="AB112" s="236">
        <v>60</v>
      </c>
      <c r="AC112" s="203">
        <f t="shared" si="8"/>
        <v>207.33333333333334</v>
      </c>
      <c r="AD112" s="203">
        <v>12440</v>
      </c>
      <c r="AE112" s="240" t="s">
        <v>14</v>
      </c>
      <c r="AF112" s="150" t="s">
        <v>9</v>
      </c>
      <c r="AG112" s="150"/>
      <c r="AH112" s="150"/>
      <c r="AI112" s="150"/>
      <c r="AJ112" s="237">
        <f>_xlfn.DAYS(Base_CTRs_Finalizados[[#This Row],[INÍCIO VIGÊNCIA]],Base_CTRs_Finalizados[[#This Row],[Data inicio processo]])</f>
        <v>10</v>
      </c>
      <c r="AK112" s="266" t="s">
        <v>1379</v>
      </c>
      <c r="AL112" s="266" t="s">
        <v>1381</v>
      </c>
      <c r="AM112" s="266" t="s">
        <v>1198</v>
      </c>
      <c r="AO112" s="17" t="s">
        <v>1865</v>
      </c>
    </row>
    <row r="113" spans="2:41" ht="17.25" thickTop="1" thickBot="1" x14ac:dyDescent="0.3">
      <c r="C113" s="242">
        <v>45825</v>
      </c>
      <c r="D113" s="242"/>
      <c r="E113" s="136" t="s">
        <v>90</v>
      </c>
      <c r="F113" s="136" t="s">
        <v>67</v>
      </c>
      <c r="G113" s="136" t="s">
        <v>1354</v>
      </c>
      <c r="H113" s="78" t="s">
        <v>4</v>
      </c>
      <c r="I113" s="78" t="s">
        <v>1037</v>
      </c>
      <c r="J113" s="78" t="s">
        <v>1362</v>
      </c>
      <c r="K113" s="78" t="s">
        <v>1355</v>
      </c>
      <c r="L113" s="261">
        <v>2025</v>
      </c>
      <c r="M113" s="146" t="s">
        <v>20</v>
      </c>
      <c r="N113" s="146" t="s">
        <v>79</v>
      </c>
      <c r="O113" s="202" t="s">
        <v>1344</v>
      </c>
      <c r="P113" s="320" t="s">
        <v>1920</v>
      </c>
      <c r="Q113" s="146" t="s">
        <v>1384</v>
      </c>
      <c r="R113" s="146" t="s">
        <v>580</v>
      </c>
      <c r="S113" s="281">
        <v>2025</v>
      </c>
      <c r="T113" s="243" t="str">
        <f t="shared" si="7"/>
        <v>jul/2025</v>
      </c>
      <c r="U113" s="161">
        <v>45862</v>
      </c>
      <c r="V113" s="161">
        <v>46022</v>
      </c>
      <c r="W113" s="146">
        <f>DATEDIF(Base_CTRs_Finalizados[[#This Row],[INÍCIO VIGÊNCIA]],Base_CTRs_Finalizados[[#This Row],[FINAL 
VIGÊNCIA]],"Y")</f>
        <v>0</v>
      </c>
      <c r="X113" s="146" t="s">
        <v>1356</v>
      </c>
      <c r="Y113" s="146" t="s">
        <v>33</v>
      </c>
      <c r="Z113" s="146" t="s">
        <v>1357</v>
      </c>
      <c r="AA113" s="146" t="s">
        <v>583</v>
      </c>
      <c r="AB113" s="236">
        <v>6</v>
      </c>
      <c r="AC113" s="203">
        <f t="shared" si="8"/>
        <v>18310.906666666666</v>
      </c>
      <c r="AD113" s="203">
        <v>109865.44</v>
      </c>
      <c r="AE113" s="240" t="s">
        <v>14</v>
      </c>
      <c r="AF113" s="150" t="s">
        <v>9</v>
      </c>
      <c r="AG113" s="150"/>
      <c r="AH113" s="150"/>
      <c r="AI113" s="150"/>
      <c r="AJ113" s="237">
        <f>_xlfn.DAYS(Base_CTRs_Finalizados[[#This Row],[INÍCIO VIGÊNCIA]],Base_CTRs_Finalizados[[#This Row],[Data inicio processo]])</f>
        <v>37</v>
      </c>
      <c r="AK113" s="266" t="s">
        <v>1380</v>
      </c>
      <c r="AL113" s="266" t="s">
        <v>1382</v>
      </c>
      <c r="AM113" s="266" t="s">
        <v>1198</v>
      </c>
      <c r="AO113" s="17" t="s">
        <v>1865</v>
      </c>
    </row>
    <row r="114" spans="2:41" s="17" customFormat="1" ht="17.25" thickTop="1" thickBot="1" x14ac:dyDescent="0.3">
      <c r="B114" s="42"/>
      <c r="C114" s="242">
        <v>45776</v>
      </c>
      <c r="D114" s="242"/>
      <c r="E114" s="136" t="s">
        <v>90</v>
      </c>
      <c r="F114" s="136" t="s">
        <v>73</v>
      </c>
      <c r="G114" s="136" t="s">
        <v>1360</v>
      </c>
      <c r="H114" s="78" t="s">
        <v>5</v>
      </c>
      <c r="I114" s="78" t="s">
        <v>343</v>
      </c>
      <c r="J114" s="78" t="s">
        <v>1361</v>
      </c>
      <c r="K114" s="78" t="s">
        <v>1363</v>
      </c>
      <c r="L114" s="261">
        <v>2025</v>
      </c>
      <c r="M114" s="146" t="s">
        <v>20</v>
      </c>
      <c r="N114" s="146" t="s">
        <v>79</v>
      </c>
      <c r="O114" s="202" t="s">
        <v>1345</v>
      </c>
      <c r="P114" s="320" t="s">
        <v>1921</v>
      </c>
      <c r="Q114" s="146" t="s">
        <v>785</v>
      </c>
      <c r="R114" s="146" t="s">
        <v>1266</v>
      </c>
      <c r="S114" s="281">
        <v>2025</v>
      </c>
      <c r="T114" s="243" t="str">
        <f t="shared" si="7"/>
        <v>ago/2025</v>
      </c>
      <c r="U114" s="161">
        <v>45872</v>
      </c>
      <c r="V114" s="161">
        <v>46237</v>
      </c>
      <c r="W114" s="146">
        <f>DATEDIF(Base_CTRs_Finalizados[[#This Row],[INÍCIO VIGÊNCIA]],Base_CTRs_Finalizados[[#This Row],[FINAL 
VIGÊNCIA]],"Y")</f>
        <v>1</v>
      </c>
      <c r="X114" s="146" t="s">
        <v>1358</v>
      </c>
      <c r="Y114" s="146" t="s">
        <v>33</v>
      </c>
      <c r="Z114" s="146" t="s">
        <v>1359</v>
      </c>
      <c r="AA114" s="146" t="s">
        <v>677</v>
      </c>
      <c r="AB114" s="236">
        <v>4</v>
      </c>
      <c r="AC114" s="203">
        <f t="shared" si="8"/>
        <v>3300000</v>
      </c>
      <c r="AD114" s="203">
        <v>13200000</v>
      </c>
      <c r="AE114" s="265" t="s">
        <v>14</v>
      </c>
      <c r="AF114" s="150" t="s">
        <v>9</v>
      </c>
      <c r="AG114" s="150"/>
      <c r="AH114" s="150"/>
      <c r="AI114" s="150"/>
      <c r="AJ114" s="237">
        <f>_xlfn.DAYS(Base_CTRs_Finalizados[[#This Row],[INÍCIO VIGÊNCIA]],Base_CTRs_Finalizados[[#This Row],[Data inicio processo]])</f>
        <v>96</v>
      </c>
      <c r="AK114" s="266" t="s">
        <v>1371</v>
      </c>
      <c r="AL114" s="266" t="s">
        <v>1383</v>
      </c>
      <c r="AM114" s="266" t="s">
        <v>1198</v>
      </c>
      <c r="AO114" s="17" t="s">
        <v>1864</v>
      </c>
    </row>
    <row r="115" spans="2:41" s="17" customFormat="1" ht="17.25" thickTop="1" thickBot="1" x14ac:dyDescent="0.3">
      <c r="B115" s="42"/>
      <c r="C115" s="242">
        <v>45607</v>
      </c>
      <c r="D115" s="242"/>
      <c r="E115" s="136" t="s">
        <v>90</v>
      </c>
      <c r="F115" s="136" t="s">
        <v>46</v>
      </c>
      <c r="G115" s="136" t="s">
        <v>817</v>
      </c>
      <c r="H115" s="78" t="s">
        <v>11</v>
      </c>
      <c r="I115" s="78" t="s">
        <v>700</v>
      </c>
      <c r="J115" s="78" t="s">
        <v>1389</v>
      </c>
      <c r="K115" s="78" t="s">
        <v>819</v>
      </c>
      <c r="L115" s="78" t="s">
        <v>155</v>
      </c>
      <c r="M115" s="146" t="s">
        <v>20</v>
      </c>
      <c r="N115" s="146" t="s">
        <v>79</v>
      </c>
      <c r="O115" s="202" t="s">
        <v>1386</v>
      </c>
      <c r="P115" s="320" t="s">
        <v>1922</v>
      </c>
      <c r="Q115" s="146" t="s">
        <v>1431</v>
      </c>
      <c r="R115" s="146" t="s">
        <v>1432</v>
      </c>
      <c r="S115" s="281">
        <v>2025</v>
      </c>
      <c r="T115" s="243" t="str">
        <f t="shared" si="7"/>
        <v>jul/2025</v>
      </c>
      <c r="U115" s="161">
        <v>45840</v>
      </c>
      <c r="V115" s="161">
        <v>47120</v>
      </c>
      <c r="W115" s="146">
        <f>DATEDIF(Base_CTRs_Finalizados[[#This Row],[INÍCIO VIGÊNCIA]],Base_CTRs_Finalizados[[#This Row],[FINAL 
VIGÊNCIA]],"Y")</f>
        <v>3</v>
      </c>
      <c r="X115" s="146" t="s">
        <v>1388</v>
      </c>
      <c r="Y115" s="146" t="s">
        <v>1224</v>
      </c>
      <c r="Z115" s="146" t="s">
        <v>839</v>
      </c>
      <c r="AA115" s="146" t="s">
        <v>367</v>
      </c>
      <c r="AB115" s="236">
        <v>42</v>
      </c>
      <c r="AC115" s="203">
        <f t="shared" si="8"/>
        <v>233217.03595238095</v>
      </c>
      <c r="AD115" s="203">
        <v>9795115.5099999998</v>
      </c>
      <c r="AE115" s="150" t="s">
        <v>14</v>
      </c>
      <c r="AF115" s="150" t="s">
        <v>9</v>
      </c>
      <c r="AG115" s="150"/>
      <c r="AH115" s="150"/>
      <c r="AI115" s="150"/>
      <c r="AJ115" s="237">
        <f>_xlfn.DAYS(Base_CTRs_Finalizados[[#This Row],[INÍCIO VIGÊNCIA]],Base_CTRs_Finalizados[[#This Row],[Data inicio processo]])</f>
        <v>233</v>
      </c>
      <c r="AK115" s="266" t="s">
        <v>1228</v>
      </c>
      <c r="AL115" s="266" t="s">
        <v>1453</v>
      </c>
      <c r="AM115" s="266" t="s">
        <v>1200</v>
      </c>
      <c r="AO115" s="17" t="s">
        <v>1865</v>
      </c>
    </row>
    <row r="116" spans="2:41" s="17" customFormat="1" ht="17.25" thickTop="1" thickBot="1" x14ac:dyDescent="0.3">
      <c r="B116" s="42"/>
      <c r="C116" s="242">
        <v>45693</v>
      </c>
      <c r="D116" s="242"/>
      <c r="E116" s="136" t="s">
        <v>90</v>
      </c>
      <c r="F116" s="136" t="s">
        <v>46</v>
      </c>
      <c r="G116" s="136" t="s">
        <v>833</v>
      </c>
      <c r="H116" s="78" t="s">
        <v>11</v>
      </c>
      <c r="I116" s="78" t="s">
        <v>700</v>
      </c>
      <c r="J116" s="78" t="s">
        <v>1387</v>
      </c>
      <c r="K116" s="78" t="s">
        <v>835</v>
      </c>
      <c r="L116" s="78" t="s">
        <v>155</v>
      </c>
      <c r="M116" s="146" t="s">
        <v>20</v>
      </c>
      <c r="N116" s="146" t="s">
        <v>79</v>
      </c>
      <c r="O116" s="202" t="s">
        <v>1385</v>
      </c>
      <c r="P116" s="320" t="s">
        <v>1923</v>
      </c>
      <c r="Q116" s="146" t="s">
        <v>851</v>
      </c>
      <c r="R116" s="146" t="s">
        <v>853</v>
      </c>
      <c r="S116" s="281">
        <v>2025</v>
      </c>
      <c r="T116" s="243" t="str">
        <f t="shared" si="7"/>
        <v>jul/2025</v>
      </c>
      <c r="U116" s="161">
        <v>45840</v>
      </c>
      <c r="V116" s="161">
        <v>47120</v>
      </c>
      <c r="W116" s="146">
        <f>DATEDIF(Base_CTRs_Finalizados[[#This Row],[INÍCIO VIGÊNCIA]],Base_CTRs_Finalizados[[#This Row],[FINAL 
VIGÊNCIA]],"Y")</f>
        <v>3</v>
      </c>
      <c r="X116" s="146" t="s">
        <v>1390</v>
      </c>
      <c r="Y116" s="146" t="s">
        <v>1224</v>
      </c>
      <c r="Z116" s="146" t="s">
        <v>839</v>
      </c>
      <c r="AA116" s="146" t="s">
        <v>367</v>
      </c>
      <c r="AB116" s="236">
        <v>42</v>
      </c>
      <c r="AC116" s="203">
        <f t="shared" si="8"/>
        <v>1021045.026904762</v>
      </c>
      <c r="AD116" s="203">
        <v>42883891.130000003</v>
      </c>
      <c r="AE116" s="150" t="s">
        <v>14</v>
      </c>
      <c r="AF116" s="150" t="s">
        <v>9</v>
      </c>
      <c r="AG116" s="150"/>
      <c r="AH116" s="150"/>
      <c r="AI116" s="150"/>
      <c r="AJ116" s="237">
        <f>_xlfn.DAYS(Base_CTRs_Finalizados[[#This Row],[INÍCIO VIGÊNCIA]],Base_CTRs_Finalizados[[#This Row],[Data inicio processo]])</f>
        <v>147</v>
      </c>
      <c r="AK116" s="266" t="s">
        <v>1229</v>
      </c>
      <c r="AL116" s="266" t="s">
        <v>1453</v>
      </c>
      <c r="AM116" s="266" t="s">
        <v>1200</v>
      </c>
      <c r="AO116" s="17" t="s">
        <v>1865</v>
      </c>
    </row>
    <row r="117" spans="2:41" s="17" customFormat="1" ht="17.25" thickTop="1" thickBot="1" x14ac:dyDescent="0.3">
      <c r="B117" s="42"/>
      <c r="C117" s="242">
        <v>45863</v>
      </c>
      <c r="D117" s="242"/>
      <c r="E117" s="136" t="s">
        <v>88</v>
      </c>
      <c r="F117" s="136" t="s">
        <v>48</v>
      </c>
      <c r="G117" s="136" t="s">
        <v>1392</v>
      </c>
      <c r="H117" s="78" t="s">
        <v>7</v>
      </c>
      <c r="I117" s="78" t="s">
        <v>764</v>
      </c>
      <c r="J117" s="78" t="s">
        <v>1393</v>
      </c>
      <c r="K117" s="78" t="s">
        <v>1394</v>
      </c>
      <c r="L117" s="78" t="s">
        <v>1022</v>
      </c>
      <c r="M117" s="146" t="s">
        <v>20</v>
      </c>
      <c r="N117" s="146" t="s">
        <v>79</v>
      </c>
      <c r="O117" s="202" t="s">
        <v>1391</v>
      </c>
      <c r="P117" s="320" t="s">
        <v>1924</v>
      </c>
      <c r="Q117" s="146" t="s">
        <v>1433</v>
      </c>
      <c r="R117" s="146" t="s">
        <v>395</v>
      </c>
      <c r="S117" s="281">
        <v>2025</v>
      </c>
      <c r="T117" s="243" t="str">
        <f t="shared" si="7"/>
        <v>set/2025</v>
      </c>
      <c r="U117" s="161">
        <v>45910</v>
      </c>
      <c r="V117" s="161">
        <v>46275</v>
      </c>
      <c r="W117" s="146">
        <f>DATEDIF(Base_CTRs_Finalizados[[#This Row],[INÍCIO VIGÊNCIA]],Base_CTRs_Finalizados[[#This Row],[FINAL 
VIGÊNCIA]],"Y")</f>
        <v>1</v>
      </c>
      <c r="X117" s="146" t="s">
        <v>1395</v>
      </c>
      <c r="Y117" s="146" t="s">
        <v>33</v>
      </c>
      <c r="Z117" s="146" t="s">
        <v>1396</v>
      </c>
      <c r="AA117" s="146" t="s">
        <v>1397</v>
      </c>
      <c r="AB117" s="236">
        <v>12</v>
      </c>
      <c r="AC117" s="203">
        <f t="shared" si="8"/>
        <v>1200</v>
      </c>
      <c r="AD117" s="203">
        <v>14400</v>
      </c>
      <c r="AE117" s="150" t="s">
        <v>14</v>
      </c>
      <c r="AF117" s="150" t="s">
        <v>9</v>
      </c>
      <c r="AG117" s="150"/>
      <c r="AH117" s="150"/>
      <c r="AI117" s="150"/>
      <c r="AJ117" s="237">
        <f>_xlfn.DAYS(Base_CTRs_Finalizados[[#This Row],[INÍCIO VIGÊNCIA]],Base_CTRs_Finalizados[[#This Row],[Data inicio processo]])</f>
        <v>47</v>
      </c>
      <c r="AK117" s="266" t="s">
        <v>1447</v>
      </c>
      <c r="AL117" s="266" t="s">
        <v>1446</v>
      </c>
      <c r="AM117" s="266" t="s">
        <v>1198</v>
      </c>
      <c r="AO117" s="17" t="s">
        <v>1865</v>
      </c>
    </row>
    <row r="118" spans="2:41" s="17" customFormat="1" ht="17.25" thickTop="1" thickBot="1" x14ac:dyDescent="0.3">
      <c r="B118" s="42"/>
      <c r="C118" s="242">
        <v>45776</v>
      </c>
      <c r="D118" s="242"/>
      <c r="E118" s="136" t="s">
        <v>88</v>
      </c>
      <c r="F118" s="269" t="s">
        <v>445</v>
      </c>
      <c r="G118" s="269" t="s">
        <v>1400</v>
      </c>
      <c r="H118" s="270" t="s">
        <v>4</v>
      </c>
      <c r="I118" s="78" t="s">
        <v>1037</v>
      </c>
      <c r="J118" s="270" t="s">
        <v>1401</v>
      </c>
      <c r="K118" s="270" t="s">
        <v>1402</v>
      </c>
      <c r="L118" s="270" t="s">
        <v>1022</v>
      </c>
      <c r="M118" s="146" t="s">
        <v>20</v>
      </c>
      <c r="N118" s="146" t="s">
        <v>79</v>
      </c>
      <c r="O118" s="202" t="s">
        <v>1398</v>
      </c>
      <c r="P118" s="320" t="s">
        <v>1925</v>
      </c>
      <c r="Q118" s="146" t="s">
        <v>1876</v>
      </c>
      <c r="R118" s="146" t="s">
        <v>1877</v>
      </c>
      <c r="S118" s="282">
        <v>2025</v>
      </c>
      <c r="T118" s="243" t="str">
        <f t="shared" si="7"/>
        <v>set/2025</v>
      </c>
      <c r="U118" s="161">
        <v>45909</v>
      </c>
      <c r="V118" s="161">
        <v>47735</v>
      </c>
      <c r="W118" s="146">
        <f>DATEDIF(Base_CTRs_Finalizados[[#This Row],[INÍCIO VIGÊNCIA]],Base_CTRs_Finalizados[[#This Row],[FINAL 
VIGÊNCIA]],"Y")</f>
        <v>5</v>
      </c>
      <c r="X118" s="272" t="s">
        <v>1403</v>
      </c>
      <c r="Y118" s="272" t="s">
        <v>33</v>
      </c>
      <c r="Z118" s="273" t="s">
        <v>1404</v>
      </c>
      <c r="AA118" s="273" t="s">
        <v>1405</v>
      </c>
      <c r="AB118" s="274">
        <v>60</v>
      </c>
      <c r="AC118" s="203">
        <f>AD118/AB118</f>
        <v>833.33333333333337</v>
      </c>
      <c r="AD118" s="275">
        <v>50000</v>
      </c>
      <c r="AE118" s="150" t="s">
        <v>14</v>
      </c>
      <c r="AF118" s="150" t="s">
        <v>9</v>
      </c>
      <c r="AG118" s="276"/>
      <c r="AH118" s="265"/>
      <c r="AI118" s="265"/>
      <c r="AJ118" s="237">
        <f>_xlfn.DAYS(Base_CTRs_Finalizados[[#This Row],[INÍCIO VIGÊNCIA]],Base_CTRs_Finalizados[[#This Row],[Data inicio processo]])</f>
        <v>133</v>
      </c>
      <c r="AK118" s="266" t="s">
        <v>1442</v>
      </c>
      <c r="AL118" s="266" t="s">
        <v>1444</v>
      </c>
      <c r="AM118" s="266" t="s">
        <v>1198</v>
      </c>
      <c r="AO118" s="17" t="s">
        <v>1865</v>
      </c>
    </row>
    <row r="119" spans="2:41" s="17" customFormat="1" ht="17.25" thickTop="1" thickBot="1" x14ac:dyDescent="0.3">
      <c r="B119" s="42"/>
      <c r="C119" s="285">
        <v>45726</v>
      </c>
      <c r="D119" s="285"/>
      <c r="E119" s="136" t="s">
        <v>88</v>
      </c>
      <c r="F119" s="269" t="s">
        <v>336</v>
      </c>
      <c r="G119" s="269" t="s">
        <v>1406</v>
      </c>
      <c r="H119" s="78" t="s">
        <v>5</v>
      </c>
      <c r="I119" s="78" t="s">
        <v>343</v>
      </c>
      <c r="J119" s="270" t="s">
        <v>1407</v>
      </c>
      <c r="K119" s="270" t="s">
        <v>1408</v>
      </c>
      <c r="L119" s="270" t="s">
        <v>1022</v>
      </c>
      <c r="M119" s="146" t="s">
        <v>20</v>
      </c>
      <c r="N119" s="146" t="s">
        <v>79</v>
      </c>
      <c r="O119" s="202" t="s">
        <v>1399</v>
      </c>
      <c r="P119" s="320" t="s">
        <v>1926</v>
      </c>
      <c r="Q119" s="146" t="s">
        <v>1434</v>
      </c>
      <c r="R119" s="146" t="s">
        <v>1435</v>
      </c>
      <c r="S119" s="282">
        <v>2025</v>
      </c>
      <c r="T119" s="243" t="str">
        <f t="shared" si="7"/>
        <v>set/2025</v>
      </c>
      <c r="U119" s="277">
        <v>45915</v>
      </c>
      <c r="V119" s="277">
        <v>46280</v>
      </c>
      <c r="W119" s="271">
        <f>DATEDIF(Base_CTRs_Finalizados[[#This Row],[INÍCIO VIGÊNCIA]],Base_CTRs_Finalizados[[#This Row],[FINAL 
VIGÊNCIA]],"Y")</f>
        <v>1</v>
      </c>
      <c r="X119" s="272" t="s">
        <v>1409</v>
      </c>
      <c r="Y119" s="272" t="s">
        <v>33</v>
      </c>
      <c r="Z119" s="273" t="s">
        <v>663</v>
      </c>
      <c r="AA119" s="278" t="s">
        <v>664</v>
      </c>
      <c r="AB119" s="274">
        <v>12</v>
      </c>
      <c r="AC119" s="275">
        <f t="shared" ref="AC119:AC126" si="9">AD119/AB119</f>
        <v>11352.656666666668</v>
      </c>
      <c r="AD119" s="275">
        <v>136231.88</v>
      </c>
      <c r="AE119" s="150" t="s">
        <v>14</v>
      </c>
      <c r="AF119" s="150" t="s">
        <v>9</v>
      </c>
      <c r="AG119" s="265"/>
      <c r="AH119" s="265"/>
      <c r="AI119" s="265"/>
      <c r="AJ119" s="279">
        <f>_xlfn.DAYS(Base_CTRs_Finalizados[[#This Row],[INÍCIO VIGÊNCIA]],Base_CTRs_Finalizados[[#This Row],[Data inicio processo]])</f>
        <v>189</v>
      </c>
      <c r="AK119" s="280" t="s">
        <v>1436</v>
      </c>
      <c r="AL119" s="280" t="s">
        <v>1451</v>
      </c>
      <c r="AM119" s="266" t="s">
        <v>1198</v>
      </c>
      <c r="AO119" s="17" t="s">
        <v>1864</v>
      </c>
    </row>
    <row r="120" spans="2:41" s="17" customFormat="1" ht="17.25" thickTop="1" thickBot="1" x14ac:dyDescent="0.3">
      <c r="B120" s="42"/>
      <c r="C120" s="285">
        <v>45824</v>
      </c>
      <c r="D120" s="285"/>
      <c r="E120" s="136" t="s">
        <v>90</v>
      </c>
      <c r="F120" s="136" t="s">
        <v>46</v>
      </c>
      <c r="G120" s="269" t="s">
        <v>1414</v>
      </c>
      <c r="H120" s="78" t="s">
        <v>7</v>
      </c>
      <c r="I120" s="78" t="s">
        <v>764</v>
      </c>
      <c r="J120" s="270" t="s">
        <v>1415</v>
      </c>
      <c r="K120" s="270" t="s">
        <v>1416</v>
      </c>
      <c r="L120" s="270" t="s">
        <v>1022</v>
      </c>
      <c r="M120" s="146" t="s">
        <v>20</v>
      </c>
      <c r="N120" s="146" t="s">
        <v>79</v>
      </c>
      <c r="O120" s="202" t="s">
        <v>1410</v>
      </c>
      <c r="P120" s="320" t="s">
        <v>1927</v>
      </c>
      <c r="Q120" s="146" t="s">
        <v>1492</v>
      </c>
      <c r="R120" s="146" t="s">
        <v>1034</v>
      </c>
      <c r="S120" s="282">
        <v>2025</v>
      </c>
      <c r="T120" s="243" t="str">
        <f t="shared" si="7"/>
        <v>out/2025</v>
      </c>
      <c r="U120" s="277">
        <v>45936</v>
      </c>
      <c r="V120" s="277">
        <v>46301</v>
      </c>
      <c r="W120" s="271">
        <f>DATEDIF(Base_CTRs_Finalizados[[#This Row],[INÍCIO VIGÊNCIA]],Base_CTRs_Finalizados[[#This Row],[FINAL 
VIGÊNCIA]],"Y")</f>
        <v>1</v>
      </c>
      <c r="X120" s="272" t="s">
        <v>1417</v>
      </c>
      <c r="Y120" s="273" t="s">
        <v>28</v>
      </c>
      <c r="Z120" s="273" t="s">
        <v>1418</v>
      </c>
      <c r="AA120" s="278" t="s">
        <v>1419</v>
      </c>
      <c r="AB120" s="274">
        <v>12</v>
      </c>
      <c r="AC120" s="275">
        <f t="shared" si="9"/>
        <v>1625</v>
      </c>
      <c r="AD120" s="275">
        <v>19500</v>
      </c>
      <c r="AE120" s="150" t="s">
        <v>14</v>
      </c>
      <c r="AF120" s="150" t="s">
        <v>9</v>
      </c>
      <c r="AG120" s="265"/>
      <c r="AH120" s="265"/>
      <c r="AI120" s="265"/>
      <c r="AJ120" s="279">
        <f>_xlfn.DAYS(Base_CTRs_Finalizados[[#This Row],[INÍCIO VIGÊNCIA]],Base_CTRs_Finalizados[[#This Row],[Data inicio processo]])</f>
        <v>112</v>
      </c>
      <c r="AK120" s="280" t="s">
        <v>1448</v>
      </c>
      <c r="AL120" s="280" t="s">
        <v>1449</v>
      </c>
      <c r="AM120" s="266" t="s">
        <v>1198</v>
      </c>
      <c r="AO120" s="17" t="s">
        <v>1865</v>
      </c>
    </row>
    <row r="121" spans="2:41" s="17" customFormat="1" ht="17.25" thickTop="1" thickBot="1" x14ac:dyDescent="0.3">
      <c r="B121" s="42"/>
      <c r="C121" s="285">
        <v>45918</v>
      </c>
      <c r="D121" s="285"/>
      <c r="E121" s="136" t="s">
        <v>90</v>
      </c>
      <c r="F121" s="136" t="s">
        <v>200</v>
      </c>
      <c r="G121" s="269" t="s">
        <v>1420</v>
      </c>
      <c r="H121" s="78" t="s">
        <v>1083</v>
      </c>
      <c r="I121" s="78" t="s">
        <v>343</v>
      </c>
      <c r="J121" s="270" t="s">
        <v>1422</v>
      </c>
      <c r="K121" s="270" t="s">
        <v>1423</v>
      </c>
      <c r="L121" s="270" t="s">
        <v>1022</v>
      </c>
      <c r="M121" s="146" t="s">
        <v>20</v>
      </c>
      <c r="N121" s="146" t="s">
        <v>79</v>
      </c>
      <c r="O121" s="202" t="s">
        <v>1411</v>
      </c>
      <c r="P121" s="320" t="s">
        <v>1928</v>
      </c>
      <c r="Q121" s="202" t="s">
        <v>1421</v>
      </c>
      <c r="R121" s="263" t="s">
        <v>1153</v>
      </c>
      <c r="S121" s="282">
        <v>2025</v>
      </c>
      <c r="T121" s="243" t="str">
        <f t="shared" si="7"/>
        <v>set/2025</v>
      </c>
      <c r="U121" s="277">
        <v>45924</v>
      </c>
      <c r="V121" s="277">
        <v>47841</v>
      </c>
      <c r="W121" s="271">
        <f>DATEDIF(Base_CTRs_Finalizados[[#This Row],[INÍCIO VIGÊNCIA]],Base_CTRs_Finalizados[[#This Row],[FINAL 
VIGÊNCIA]],"Y")</f>
        <v>5</v>
      </c>
      <c r="X121" s="272" t="s">
        <v>1424</v>
      </c>
      <c r="Y121" s="273" t="s">
        <v>29</v>
      </c>
      <c r="Z121" s="273" t="s">
        <v>1369</v>
      </c>
      <c r="AA121" s="278" t="s">
        <v>1370</v>
      </c>
      <c r="AB121" s="274">
        <v>63</v>
      </c>
      <c r="AC121" s="275">
        <f t="shared" si="9"/>
        <v>81227.490634920643</v>
      </c>
      <c r="AD121" s="275">
        <v>5117331.91</v>
      </c>
      <c r="AE121" s="150" t="s">
        <v>14</v>
      </c>
      <c r="AF121" s="150" t="s">
        <v>9</v>
      </c>
      <c r="AG121" s="265"/>
      <c r="AH121" s="265"/>
      <c r="AI121" s="265"/>
      <c r="AJ121" s="279">
        <f>_xlfn.DAYS(Base_CTRs_Finalizados[[#This Row],[INÍCIO VIGÊNCIA]],Base_CTRs_Finalizados[[#This Row],[Data inicio processo]])</f>
        <v>6</v>
      </c>
      <c r="AK121" s="280" t="s">
        <v>1437</v>
      </c>
      <c r="AL121" s="280" t="s">
        <v>1515</v>
      </c>
      <c r="AM121" s="266" t="s">
        <v>1198</v>
      </c>
      <c r="AO121" s="17" t="s">
        <v>1864</v>
      </c>
    </row>
    <row r="122" spans="2:41" s="17" customFormat="1" ht="17.25" thickTop="1" thickBot="1" x14ac:dyDescent="0.3">
      <c r="B122" s="42"/>
      <c r="C122" s="285">
        <v>45223</v>
      </c>
      <c r="D122" s="285"/>
      <c r="E122" s="136" t="s">
        <v>90</v>
      </c>
      <c r="F122" s="136" t="s">
        <v>73</v>
      </c>
      <c r="G122" s="269" t="s">
        <v>1425</v>
      </c>
      <c r="H122" s="78" t="s">
        <v>11</v>
      </c>
      <c r="I122" s="78" t="s">
        <v>700</v>
      </c>
      <c r="J122" s="270" t="s">
        <v>1426</v>
      </c>
      <c r="K122" s="270" t="s">
        <v>1427</v>
      </c>
      <c r="L122" s="270" t="s">
        <v>1022</v>
      </c>
      <c r="M122" s="146" t="s">
        <v>20</v>
      </c>
      <c r="N122" s="146" t="s">
        <v>79</v>
      </c>
      <c r="O122" s="202" t="s">
        <v>1412</v>
      </c>
      <c r="P122" s="320" t="s">
        <v>1929</v>
      </c>
      <c r="Q122" s="146" t="s">
        <v>1438</v>
      </c>
      <c r="R122" s="146" t="s">
        <v>1440</v>
      </c>
      <c r="S122" s="282">
        <v>2025</v>
      </c>
      <c r="T122" s="243" t="str">
        <f t="shared" si="7"/>
        <v>set/2025</v>
      </c>
      <c r="U122" s="277">
        <v>45929</v>
      </c>
      <c r="V122" s="277">
        <v>46294</v>
      </c>
      <c r="W122" s="271">
        <f>DATEDIF(Base_CTRs_Finalizados[[#This Row],[INÍCIO VIGÊNCIA]],Base_CTRs_Finalizados[[#This Row],[FINAL 
VIGÊNCIA]],"Y")</f>
        <v>1</v>
      </c>
      <c r="X122" s="272" t="s">
        <v>1428</v>
      </c>
      <c r="Y122" s="273" t="s">
        <v>28</v>
      </c>
      <c r="Z122" s="273" t="s">
        <v>1429</v>
      </c>
      <c r="AA122" s="278" t="s">
        <v>1430</v>
      </c>
      <c r="AB122" s="274">
        <v>12</v>
      </c>
      <c r="AC122" s="275">
        <f t="shared" si="9"/>
        <v>74939.136666666673</v>
      </c>
      <c r="AD122" s="275">
        <v>899269.64</v>
      </c>
      <c r="AE122" s="150" t="s">
        <v>14</v>
      </c>
      <c r="AF122" s="150" t="s">
        <v>9</v>
      </c>
      <c r="AG122" s="265"/>
      <c r="AH122" s="265"/>
      <c r="AI122" s="265"/>
      <c r="AJ122" s="279">
        <f>_xlfn.DAYS(Base_CTRs_Finalizados[[#This Row],[INÍCIO VIGÊNCIA]],Base_CTRs_Finalizados[[#This Row],[Data inicio processo]])</f>
        <v>706</v>
      </c>
      <c r="AK122" s="266" t="s">
        <v>1450</v>
      </c>
      <c r="AL122" s="266" t="s">
        <v>1453</v>
      </c>
      <c r="AM122" s="266" t="s">
        <v>1200</v>
      </c>
      <c r="AO122" s="17" t="s">
        <v>1865</v>
      </c>
    </row>
    <row r="123" spans="2:41" s="17" customFormat="1" ht="17.25" thickTop="1" thickBot="1" x14ac:dyDescent="0.3">
      <c r="B123" s="42"/>
      <c r="C123" s="285">
        <v>45761</v>
      </c>
      <c r="D123" s="285"/>
      <c r="E123" s="136" t="s">
        <v>90</v>
      </c>
      <c r="F123" s="136" t="s">
        <v>200</v>
      </c>
      <c r="G123" s="269" t="s">
        <v>1454</v>
      </c>
      <c r="H123" s="78" t="s">
        <v>5</v>
      </c>
      <c r="I123" s="78" t="s">
        <v>343</v>
      </c>
      <c r="J123" s="270" t="s">
        <v>1455</v>
      </c>
      <c r="K123" s="270" t="s">
        <v>1456</v>
      </c>
      <c r="L123" s="270" t="s">
        <v>1022</v>
      </c>
      <c r="M123" s="146" t="s">
        <v>20</v>
      </c>
      <c r="N123" s="146" t="s">
        <v>79</v>
      </c>
      <c r="O123" s="202" t="s">
        <v>1413</v>
      </c>
      <c r="P123" s="320" t="s">
        <v>1930</v>
      </c>
      <c r="Q123" s="202" t="s">
        <v>1457</v>
      </c>
      <c r="R123" s="263" t="s">
        <v>1458</v>
      </c>
      <c r="S123" s="282">
        <v>2025</v>
      </c>
      <c r="T123" s="243" t="str">
        <f t="shared" si="7"/>
        <v>out/2025</v>
      </c>
      <c r="U123" s="277">
        <v>45940</v>
      </c>
      <c r="V123" s="277">
        <v>47766</v>
      </c>
      <c r="W123" s="271">
        <f>DATEDIF(Base_CTRs_Finalizados[[#This Row],[INÍCIO VIGÊNCIA]],Base_CTRs_Finalizados[[#This Row],[FINAL 
VIGÊNCIA]],"Y")</f>
        <v>5</v>
      </c>
      <c r="X123" s="272" t="s">
        <v>1459</v>
      </c>
      <c r="Y123" s="273" t="s">
        <v>29</v>
      </c>
      <c r="Z123" s="273" t="s">
        <v>1460</v>
      </c>
      <c r="AA123" s="278" t="s">
        <v>1461</v>
      </c>
      <c r="AB123" s="274">
        <v>60</v>
      </c>
      <c r="AC123" s="275">
        <f t="shared" si="9"/>
        <v>120240</v>
      </c>
      <c r="AD123" s="275">
        <v>7214400</v>
      </c>
      <c r="AE123" s="150" t="s">
        <v>14</v>
      </c>
      <c r="AF123" s="150" t="s">
        <v>9</v>
      </c>
      <c r="AG123" s="265"/>
      <c r="AH123" s="265"/>
      <c r="AI123" s="265"/>
      <c r="AJ123" s="279">
        <f>_xlfn.DAYS(Base_CTRs_Finalizados[[#This Row],[INÍCIO VIGÊNCIA]],Base_CTRs_Finalizados[[#This Row],[Data inicio processo]])</f>
        <v>179</v>
      </c>
      <c r="AK123" s="280" t="s">
        <v>1509</v>
      </c>
      <c r="AL123" s="280" t="s">
        <v>1510</v>
      </c>
      <c r="AM123" s="280" t="s">
        <v>1198</v>
      </c>
      <c r="AO123" s="17" t="s">
        <v>1864</v>
      </c>
    </row>
    <row r="124" spans="2:41" s="17" customFormat="1" ht="17.25" thickTop="1" thickBot="1" x14ac:dyDescent="0.3">
      <c r="B124" s="42"/>
      <c r="C124" s="285">
        <v>45904</v>
      </c>
      <c r="D124" s="285"/>
      <c r="E124" s="136" t="s">
        <v>88</v>
      </c>
      <c r="F124" s="269" t="s">
        <v>52</v>
      </c>
      <c r="G124" s="269" t="s">
        <v>1471</v>
      </c>
      <c r="H124" s="78" t="s">
        <v>4</v>
      </c>
      <c r="I124" s="78" t="s">
        <v>1037</v>
      </c>
      <c r="J124" s="270" t="s">
        <v>1472</v>
      </c>
      <c r="K124" s="270" t="s">
        <v>1473</v>
      </c>
      <c r="L124" s="270" t="s">
        <v>1022</v>
      </c>
      <c r="M124" s="146" t="s">
        <v>20</v>
      </c>
      <c r="N124" s="146" t="s">
        <v>79</v>
      </c>
      <c r="O124" s="202" t="s">
        <v>1470</v>
      </c>
      <c r="P124" s="320" t="s">
        <v>1931</v>
      </c>
      <c r="Q124" s="263" t="s">
        <v>1474</v>
      </c>
      <c r="R124" s="263" t="s">
        <v>1475</v>
      </c>
      <c r="S124" s="282">
        <v>2025</v>
      </c>
      <c r="T124" s="243" t="str">
        <f t="shared" si="7"/>
        <v>nov/2025</v>
      </c>
      <c r="U124" s="277">
        <v>45966</v>
      </c>
      <c r="V124" s="286">
        <v>46392</v>
      </c>
      <c r="W124" s="271">
        <f>DATEDIF(Base_CTRs_Finalizados[[#This Row],[INÍCIO VIGÊNCIA]],Base_CTRs_Finalizados[[#This Row],[FINAL 
VIGÊNCIA]],"Y")</f>
        <v>1</v>
      </c>
      <c r="X124" s="272" t="s">
        <v>1476</v>
      </c>
      <c r="Y124" s="273" t="s">
        <v>33</v>
      </c>
      <c r="Z124" s="273" t="s">
        <v>1477</v>
      </c>
      <c r="AA124" s="278" t="s">
        <v>471</v>
      </c>
      <c r="AB124" s="274">
        <v>15</v>
      </c>
      <c r="AC124" s="275">
        <f t="shared" si="9"/>
        <v>83498.399999999994</v>
      </c>
      <c r="AD124" s="275">
        <v>1252476</v>
      </c>
      <c r="AE124" s="150" t="s">
        <v>14</v>
      </c>
      <c r="AF124" s="150" t="s">
        <v>9</v>
      </c>
      <c r="AG124" s="265"/>
      <c r="AH124" s="265"/>
      <c r="AI124" s="265"/>
      <c r="AJ124" s="279">
        <f>_xlfn.DAYS(Base_CTRs_Finalizados[[#This Row],[INÍCIO VIGÊNCIA]],Base_CTRs_Finalizados[[#This Row],[Data inicio processo]])</f>
        <v>62</v>
      </c>
      <c r="AK124" s="280" t="s">
        <v>1507</v>
      </c>
      <c r="AL124" s="280" t="s">
        <v>1512</v>
      </c>
      <c r="AM124" s="280" t="s">
        <v>1198</v>
      </c>
      <c r="AO124" s="17" t="s">
        <v>1865</v>
      </c>
    </row>
    <row r="125" spans="2:41" s="17" customFormat="1" ht="17.25" thickTop="1" thickBot="1" x14ac:dyDescent="0.3">
      <c r="B125" s="42"/>
      <c r="C125" s="285">
        <v>45607</v>
      </c>
      <c r="D125" s="285"/>
      <c r="E125" s="136" t="s">
        <v>90</v>
      </c>
      <c r="F125" s="136" t="s">
        <v>46</v>
      </c>
      <c r="G125" s="269" t="s">
        <v>817</v>
      </c>
      <c r="H125" s="78" t="s">
        <v>11</v>
      </c>
      <c r="I125" s="78" t="s">
        <v>700</v>
      </c>
      <c r="J125" s="270" t="s">
        <v>1389</v>
      </c>
      <c r="K125" s="270" t="s">
        <v>819</v>
      </c>
      <c r="L125" s="270" t="s">
        <v>155</v>
      </c>
      <c r="M125" s="146" t="s">
        <v>20</v>
      </c>
      <c r="N125" s="146" t="s">
        <v>79</v>
      </c>
      <c r="O125" s="202" t="s">
        <v>1484</v>
      </c>
      <c r="P125" s="320" t="s">
        <v>1932</v>
      </c>
      <c r="Q125" s="263" t="s">
        <v>1431</v>
      </c>
      <c r="R125" s="263" t="s">
        <v>1034</v>
      </c>
      <c r="S125" s="282">
        <v>2025</v>
      </c>
      <c r="T125" s="243" t="str">
        <f t="shared" si="7"/>
        <v>out/2025</v>
      </c>
      <c r="U125" s="277">
        <v>45940</v>
      </c>
      <c r="V125" s="277">
        <v>47766</v>
      </c>
      <c r="W125" s="271">
        <f>DATEDIF(Base_CTRs_Finalizados[[#This Row],[INÍCIO VIGÊNCIA]],Base_CTRs_Finalizados[[#This Row],[FINAL 
VIGÊNCIA]],"Y")</f>
        <v>5</v>
      </c>
      <c r="X125" s="272" t="s">
        <v>1513</v>
      </c>
      <c r="Y125" s="273" t="s">
        <v>1224</v>
      </c>
      <c r="Z125" s="273" t="s">
        <v>1487</v>
      </c>
      <c r="AA125" s="278" t="s">
        <v>831</v>
      </c>
      <c r="AB125" s="274">
        <v>60</v>
      </c>
      <c r="AC125" s="275">
        <f>AD125/AB125</f>
        <v>4582.9816666666675</v>
      </c>
      <c r="AD125" s="275">
        <v>274978.90000000002</v>
      </c>
      <c r="AE125" s="150" t="s">
        <v>54</v>
      </c>
      <c r="AF125" s="150" t="s">
        <v>9</v>
      </c>
      <c r="AG125" s="265"/>
      <c r="AH125" s="265"/>
      <c r="AI125" s="265"/>
      <c r="AJ125" s="279">
        <f>_xlfn.DAYS(Base_CTRs_Finalizados[[#This Row],[INÍCIO VIGÊNCIA]],Base_CTRs_Finalizados[[#This Row],[Data inicio processo]])</f>
        <v>333</v>
      </c>
      <c r="AK125" s="266" t="s">
        <v>1228</v>
      </c>
      <c r="AL125" s="266" t="s">
        <v>1453</v>
      </c>
      <c r="AM125" s="266" t="s">
        <v>1200</v>
      </c>
      <c r="AO125" s="17" t="s">
        <v>1865</v>
      </c>
    </row>
    <row r="126" spans="2:41" s="17" customFormat="1" ht="17.25" thickTop="1" thickBot="1" x14ac:dyDescent="0.3">
      <c r="B126" s="42"/>
      <c r="C126" s="285">
        <v>45693</v>
      </c>
      <c r="D126" s="285"/>
      <c r="E126" s="136" t="s">
        <v>90</v>
      </c>
      <c r="F126" s="136" t="s">
        <v>46</v>
      </c>
      <c r="G126" s="269" t="s">
        <v>833</v>
      </c>
      <c r="H126" s="78" t="s">
        <v>11</v>
      </c>
      <c r="I126" s="78" t="s">
        <v>700</v>
      </c>
      <c r="J126" s="270" t="s">
        <v>1387</v>
      </c>
      <c r="K126" s="270" t="s">
        <v>835</v>
      </c>
      <c r="L126" s="270" t="s">
        <v>155</v>
      </c>
      <c r="M126" s="146" t="s">
        <v>20</v>
      </c>
      <c r="N126" s="146" t="s">
        <v>79</v>
      </c>
      <c r="O126" s="202" t="s">
        <v>1483</v>
      </c>
      <c r="P126" s="320" t="s">
        <v>1933</v>
      </c>
      <c r="Q126" s="263" t="s">
        <v>1485</v>
      </c>
      <c r="R126" s="263" t="s">
        <v>1486</v>
      </c>
      <c r="S126" s="282">
        <v>2025</v>
      </c>
      <c r="T126" s="243" t="str">
        <f t="shared" si="7"/>
        <v>out/2025</v>
      </c>
      <c r="U126" s="277">
        <v>45940</v>
      </c>
      <c r="V126" s="277">
        <v>47766</v>
      </c>
      <c r="W126" s="271">
        <f>DATEDIF(Base_CTRs_Finalizados[[#This Row],[INÍCIO VIGÊNCIA]],Base_CTRs_Finalizados[[#This Row],[FINAL 
VIGÊNCIA]],"Y")</f>
        <v>5</v>
      </c>
      <c r="X126" s="272" t="s">
        <v>1514</v>
      </c>
      <c r="Y126" s="273" t="s">
        <v>1224</v>
      </c>
      <c r="Z126" s="273" t="s">
        <v>1487</v>
      </c>
      <c r="AA126" s="278" t="s">
        <v>831</v>
      </c>
      <c r="AB126" s="274">
        <v>60</v>
      </c>
      <c r="AC126" s="275">
        <f t="shared" si="9"/>
        <v>145277.43333333332</v>
      </c>
      <c r="AD126" s="275">
        <v>8716646</v>
      </c>
      <c r="AE126" s="150" t="s">
        <v>54</v>
      </c>
      <c r="AF126" s="150" t="s">
        <v>9</v>
      </c>
      <c r="AG126" s="265"/>
      <c r="AH126" s="265"/>
      <c r="AI126" s="265"/>
      <c r="AJ126" s="279">
        <f>_xlfn.DAYS(Base_CTRs_Finalizados[[#This Row],[INÍCIO VIGÊNCIA]],Base_CTRs_Finalizados[[#This Row],[Data inicio processo]])</f>
        <v>247</v>
      </c>
      <c r="AK126" s="266" t="s">
        <v>1229</v>
      </c>
      <c r="AL126" s="266" t="s">
        <v>1453</v>
      </c>
      <c r="AM126" s="266" t="s">
        <v>1200</v>
      </c>
      <c r="AO126" s="17" t="s">
        <v>1865</v>
      </c>
    </row>
    <row r="127" spans="2:41" s="17" customFormat="1" ht="17.25" thickTop="1" thickBot="1" x14ac:dyDescent="0.3">
      <c r="B127" s="42"/>
      <c r="C127" s="285">
        <v>45764</v>
      </c>
      <c r="D127" s="285"/>
      <c r="E127" s="136" t="s">
        <v>90</v>
      </c>
      <c r="F127" s="136" t="s">
        <v>73</v>
      </c>
      <c r="G127" s="269" t="s">
        <v>1479</v>
      </c>
      <c r="H127" s="78" t="s">
        <v>11</v>
      </c>
      <c r="I127" s="78" t="s">
        <v>700</v>
      </c>
      <c r="J127" s="270" t="s">
        <v>1501</v>
      </c>
      <c r="K127" s="270" t="s">
        <v>1481</v>
      </c>
      <c r="L127" s="270" t="s">
        <v>1022</v>
      </c>
      <c r="M127" s="146" t="s">
        <v>20</v>
      </c>
      <c r="N127" s="146" t="s">
        <v>79</v>
      </c>
      <c r="O127" s="263" t="s">
        <v>1489</v>
      </c>
      <c r="P127" s="320" t="s">
        <v>1934</v>
      </c>
      <c r="Q127" s="263" t="s">
        <v>1504</v>
      </c>
      <c r="R127" s="146" t="s">
        <v>1503</v>
      </c>
      <c r="S127" s="281">
        <v>2025</v>
      </c>
      <c r="T127" s="243" t="str">
        <f t="shared" si="7"/>
        <v>nov/2025</v>
      </c>
      <c r="U127" s="277">
        <v>45980</v>
      </c>
      <c r="V127" s="277">
        <v>46345</v>
      </c>
      <c r="W127" s="271">
        <f>DATEDIF(Base_CTRs_Finalizados[[#This Row],[INÍCIO VIGÊNCIA]],Base_CTRs_Finalizados[[#This Row],[FINAL 
VIGÊNCIA]],"Y")</f>
        <v>1</v>
      </c>
      <c r="X127" s="272" t="s">
        <v>1482</v>
      </c>
      <c r="Y127" s="273" t="s">
        <v>1224</v>
      </c>
      <c r="Z127" s="273" t="s">
        <v>300</v>
      </c>
      <c r="AA127" s="278" t="s">
        <v>301</v>
      </c>
      <c r="AB127" s="274">
        <v>12</v>
      </c>
      <c r="AC127" s="275">
        <f>AD127/AB127</f>
        <v>9288.4025000000001</v>
      </c>
      <c r="AD127" s="275">
        <v>111460.83</v>
      </c>
      <c r="AE127" s="150" t="s">
        <v>54</v>
      </c>
      <c r="AF127" s="150" t="s">
        <v>9</v>
      </c>
      <c r="AG127" s="265"/>
      <c r="AH127" s="265"/>
      <c r="AI127" s="265"/>
      <c r="AJ127" s="279">
        <f>_xlfn.DAYS(Base_CTRs_Finalizados[[#This Row],[INÍCIO VIGÊNCIA]],Base_CTRs_Finalizados[[#This Row],[Data inicio processo]])</f>
        <v>216</v>
      </c>
      <c r="AK127" s="280" t="s">
        <v>1506</v>
      </c>
      <c r="AL127" s="280" t="s">
        <v>1453</v>
      </c>
      <c r="AM127" s="280" t="s">
        <v>1200</v>
      </c>
      <c r="AO127" s="17" t="s">
        <v>1865</v>
      </c>
    </row>
    <row r="128" spans="2:41" s="17" customFormat="1" ht="17.25" thickTop="1" thickBot="1" x14ac:dyDescent="0.3">
      <c r="B128" s="42"/>
      <c r="C128" s="285">
        <v>45764</v>
      </c>
      <c r="D128" s="285"/>
      <c r="E128" s="136" t="s">
        <v>90</v>
      </c>
      <c r="F128" s="136" t="s">
        <v>73</v>
      </c>
      <c r="G128" s="269" t="s">
        <v>1479</v>
      </c>
      <c r="H128" s="78" t="s">
        <v>11</v>
      </c>
      <c r="I128" s="78" t="s">
        <v>764</v>
      </c>
      <c r="J128" s="270" t="s">
        <v>1480</v>
      </c>
      <c r="K128" s="270" t="s">
        <v>1481</v>
      </c>
      <c r="L128" s="270" t="s">
        <v>1022</v>
      </c>
      <c r="M128" s="146" t="s">
        <v>20</v>
      </c>
      <c r="N128" s="146" t="s">
        <v>79</v>
      </c>
      <c r="O128" s="202" t="s">
        <v>1478</v>
      </c>
      <c r="P128" s="320" t="s">
        <v>1935</v>
      </c>
      <c r="Q128" s="263" t="s">
        <v>1504</v>
      </c>
      <c r="R128" s="146" t="s">
        <v>1503</v>
      </c>
      <c r="S128" s="282">
        <v>2025</v>
      </c>
      <c r="T128" s="243" t="str">
        <f t="shared" si="7"/>
        <v>nov/2025</v>
      </c>
      <c r="U128" s="277">
        <v>45971</v>
      </c>
      <c r="V128" s="277">
        <v>46336</v>
      </c>
      <c r="W128" s="271">
        <f>DATEDIF(Base_CTRs_Finalizados[[#This Row],[INÍCIO VIGÊNCIA]],Base_CTRs_Finalizados[[#This Row],[FINAL 
VIGÊNCIA]],"Y")</f>
        <v>1</v>
      </c>
      <c r="X128" s="272" t="s">
        <v>1482</v>
      </c>
      <c r="Y128" s="273" t="s">
        <v>1224</v>
      </c>
      <c r="Z128" s="273" t="s">
        <v>1429</v>
      </c>
      <c r="AA128" s="278" t="s">
        <v>1430</v>
      </c>
      <c r="AB128" s="274">
        <v>12</v>
      </c>
      <c r="AC128" s="275">
        <f t="shared" ref="AC128:AC134" si="10">AD128/AB128</f>
        <v>16320.083333333334</v>
      </c>
      <c r="AD128" s="275">
        <v>195841</v>
      </c>
      <c r="AE128" s="150" t="s">
        <v>14</v>
      </c>
      <c r="AF128" s="150" t="s">
        <v>9</v>
      </c>
      <c r="AG128" s="265"/>
      <c r="AH128" s="265"/>
      <c r="AI128" s="265"/>
      <c r="AJ128" s="279">
        <f>_xlfn.DAYS(Base_CTRs_Finalizados[[#This Row],[INÍCIO VIGÊNCIA]],Base_CTRs_Finalizados[[#This Row],[Data inicio processo]])</f>
        <v>207</v>
      </c>
      <c r="AK128" s="280" t="s">
        <v>1506</v>
      </c>
      <c r="AL128" s="266" t="s">
        <v>1453</v>
      </c>
      <c r="AM128" s="266" t="s">
        <v>1200</v>
      </c>
      <c r="AO128" s="17" t="s">
        <v>1865</v>
      </c>
    </row>
    <row r="129" spans="2:41" s="17" customFormat="1" ht="17.25" thickTop="1" thickBot="1" x14ac:dyDescent="0.3">
      <c r="B129" s="42"/>
      <c r="C129" s="285">
        <v>45944</v>
      </c>
      <c r="D129" s="285"/>
      <c r="E129" s="136" t="s">
        <v>88</v>
      </c>
      <c r="F129" s="269" t="s">
        <v>52</v>
      </c>
      <c r="G129" s="269" t="s">
        <v>1498</v>
      </c>
      <c r="H129" s="78" t="s">
        <v>7</v>
      </c>
      <c r="I129" s="78" t="s">
        <v>764</v>
      </c>
      <c r="J129" s="270" t="s">
        <v>1499</v>
      </c>
      <c r="K129" s="270" t="s">
        <v>1500</v>
      </c>
      <c r="L129" s="270" t="s">
        <v>1022</v>
      </c>
      <c r="M129" s="146" t="s">
        <v>20</v>
      </c>
      <c r="N129" s="146" t="s">
        <v>79</v>
      </c>
      <c r="O129" s="263" t="s">
        <v>1493</v>
      </c>
      <c r="P129" s="320" t="s">
        <v>1936</v>
      </c>
      <c r="Q129" s="263" t="s">
        <v>1502</v>
      </c>
      <c r="R129" s="263" t="s">
        <v>1497</v>
      </c>
      <c r="S129" s="281">
        <v>2025</v>
      </c>
      <c r="T129" s="243" t="str">
        <f t="shared" si="7"/>
        <v>nov/2025</v>
      </c>
      <c r="U129" s="277">
        <v>45986</v>
      </c>
      <c r="V129" s="277">
        <v>47812</v>
      </c>
      <c r="W129" s="271">
        <f>DATEDIF(Base_CTRs_Finalizados[[#This Row],[INÍCIO VIGÊNCIA]],Base_CTRs_Finalizados[[#This Row],[FINAL 
VIGÊNCIA]],"Y")</f>
        <v>5</v>
      </c>
      <c r="X129" s="272" t="s">
        <v>1494</v>
      </c>
      <c r="Y129" s="273" t="s">
        <v>33</v>
      </c>
      <c r="Z129" s="273" t="s">
        <v>1495</v>
      </c>
      <c r="AA129" s="278" t="s">
        <v>1496</v>
      </c>
      <c r="AB129" s="274">
        <v>60</v>
      </c>
      <c r="AC129" s="275">
        <f t="shared" si="10"/>
        <v>24939.608499999998</v>
      </c>
      <c r="AD129" s="275">
        <v>1496376.51</v>
      </c>
      <c r="AE129" s="150" t="s">
        <v>14</v>
      </c>
      <c r="AF129" s="150" t="s">
        <v>9</v>
      </c>
      <c r="AG129" s="265"/>
      <c r="AH129" s="265"/>
      <c r="AI129" s="265"/>
      <c r="AJ129" s="279">
        <f>_xlfn.DAYS(Base_CTRs_Finalizados[[#This Row],[INÍCIO VIGÊNCIA]],Base_CTRs_Finalizados[[#This Row],[Data inicio processo]])</f>
        <v>42</v>
      </c>
      <c r="AK129" s="280" t="s">
        <v>1508</v>
      </c>
      <c r="AL129" s="280" t="s">
        <v>1511</v>
      </c>
      <c r="AM129" s="280" t="s">
        <v>1198</v>
      </c>
      <c r="AO129" s="17" t="s">
        <v>1865</v>
      </c>
    </row>
    <row r="130" spans="2:41" ht="17.25" thickTop="1" thickBot="1" x14ac:dyDescent="0.3">
      <c r="C130" s="242">
        <v>45894</v>
      </c>
      <c r="D130" s="242"/>
      <c r="E130" s="136" t="s">
        <v>146</v>
      </c>
      <c r="F130" s="136" t="s">
        <v>48</v>
      </c>
      <c r="G130" s="136" t="s">
        <v>1519</v>
      </c>
      <c r="H130" s="78" t="s">
        <v>5</v>
      </c>
      <c r="I130" s="78" t="s">
        <v>343</v>
      </c>
      <c r="J130" s="78" t="s">
        <v>1520</v>
      </c>
      <c r="K130" s="78" t="s">
        <v>1521</v>
      </c>
      <c r="L130" s="78" t="s">
        <v>1022</v>
      </c>
      <c r="M130" s="146" t="s">
        <v>20</v>
      </c>
      <c r="N130" s="146" t="s">
        <v>79</v>
      </c>
      <c r="O130" s="263" t="s">
        <v>1517</v>
      </c>
      <c r="P130" s="320" t="s">
        <v>1655</v>
      </c>
      <c r="Q130" s="263" t="s">
        <v>1597</v>
      </c>
      <c r="R130" s="263" t="s">
        <v>1598</v>
      </c>
      <c r="S130" s="282">
        <v>2025</v>
      </c>
      <c r="T130" s="243" t="str">
        <f t="shared" si="7"/>
        <v>dez/2025</v>
      </c>
      <c r="U130" s="283">
        <v>46010</v>
      </c>
      <c r="V130" s="283">
        <v>47836</v>
      </c>
      <c r="W130" s="148">
        <f>DATEDIF(Base_CTRs_Finalizados[[#This Row],[INÍCIO VIGÊNCIA]],Base_CTRs_Finalizados[[#This Row],[FINAL 
VIGÊNCIA]],"Y")</f>
        <v>5</v>
      </c>
      <c r="X130" s="244" t="s">
        <v>1522</v>
      </c>
      <c r="Y130" s="273" t="s">
        <v>33</v>
      </c>
      <c r="Z130" s="146" t="s">
        <v>1523</v>
      </c>
      <c r="AA130" s="284" t="s">
        <v>1524</v>
      </c>
      <c r="AB130" s="236">
        <v>60</v>
      </c>
      <c r="AC130" s="203">
        <f t="shared" si="10"/>
        <v>22669.941666666666</v>
      </c>
      <c r="AD130" s="203">
        <v>1360196.5</v>
      </c>
      <c r="AE130" s="150" t="s">
        <v>14</v>
      </c>
      <c r="AF130" s="150" t="s">
        <v>9</v>
      </c>
      <c r="AG130" s="150"/>
      <c r="AH130" s="150"/>
      <c r="AI130" s="150"/>
      <c r="AJ130" s="237">
        <f>_xlfn.DAYS(Base_CTRs_Finalizados[[#This Row],[INÍCIO VIGÊNCIA]],Base_CTRs_Finalizados[[#This Row],[Data inicio processo]])</f>
        <v>116</v>
      </c>
      <c r="AK130" s="280" t="s">
        <v>1616</v>
      </c>
      <c r="AL130" s="266" t="s">
        <v>1198</v>
      </c>
      <c r="AM130" s="266" t="s">
        <v>1198</v>
      </c>
      <c r="AO130" s="17" t="s">
        <v>1864</v>
      </c>
    </row>
    <row r="131" spans="2:41" s="17" customFormat="1" ht="17.25" thickTop="1" thickBot="1" x14ac:dyDescent="0.3">
      <c r="B131" s="42"/>
      <c r="C131" s="242">
        <v>45831</v>
      </c>
      <c r="D131" s="242"/>
      <c r="E131" s="136" t="s">
        <v>90</v>
      </c>
      <c r="F131" s="136" t="s">
        <v>200</v>
      </c>
      <c r="G131" s="136" t="s">
        <v>1525</v>
      </c>
      <c r="H131" s="78" t="s">
        <v>5</v>
      </c>
      <c r="I131" s="78" t="s">
        <v>343</v>
      </c>
      <c r="J131" s="78" t="s">
        <v>1526</v>
      </c>
      <c r="K131" s="78" t="s">
        <v>1527</v>
      </c>
      <c r="L131" s="78" t="s">
        <v>1022</v>
      </c>
      <c r="M131" s="146" t="s">
        <v>20</v>
      </c>
      <c r="N131" s="146" t="s">
        <v>79</v>
      </c>
      <c r="O131" s="263" t="s">
        <v>1518</v>
      </c>
      <c r="P131" s="320" t="s">
        <v>1656</v>
      </c>
      <c r="Q131" s="263" t="s">
        <v>1561</v>
      </c>
      <c r="R131" s="263" t="s">
        <v>1562</v>
      </c>
      <c r="S131" s="282">
        <v>2025</v>
      </c>
      <c r="T131" s="243" t="str">
        <f t="shared" si="7"/>
        <v>dez/2025</v>
      </c>
      <c r="U131" s="283">
        <v>46008</v>
      </c>
      <c r="V131" s="283">
        <v>47104</v>
      </c>
      <c r="W131" s="148">
        <f>DATEDIF(Base_CTRs_Finalizados[[#This Row],[INÍCIO VIGÊNCIA]],Base_CTRs_Finalizados[[#This Row],[FINAL 
VIGÊNCIA]],"Y")</f>
        <v>3</v>
      </c>
      <c r="X131" s="244" t="s">
        <v>1604</v>
      </c>
      <c r="Y131" s="146" t="s">
        <v>29</v>
      </c>
      <c r="Z131" s="146" t="s">
        <v>1563</v>
      </c>
      <c r="AA131" s="284" t="s">
        <v>1528</v>
      </c>
      <c r="AB131" s="236">
        <v>36</v>
      </c>
      <c r="AC131" s="203">
        <f t="shared" si="10"/>
        <v>1724.4444444444443</v>
      </c>
      <c r="AD131" s="203">
        <v>62080</v>
      </c>
      <c r="AE131" s="150" t="s">
        <v>14</v>
      </c>
      <c r="AF131" s="150" t="s">
        <v>9</v>
      </c>
      <c r="AG131" s="150"/>
      <c r="AH131" s="150"/>
      <c r="AI131" s="150"/>
      <c r="AJ131" s="237">
        <f>_xlfn.DAYS(Base_CTRs_Finalizados[[#This Row],[INÍCIO VIGÊNCIA]],Base_CTRs_Finalizados[[#This Row],[Data inicio processo]])</f>
        <v>177</v>
      </c>
      <c r="AK131" s="280" t="s">
        <v>1617</v>
      </c>
      <c r="AL131" s="266" t="s">
        <v>1198</v>
      </c>
      <c r="AM131" s="266" t="s">
        <v>1198</v>
      </c>
      <c r="AO131" s="17" t="s">
        <v>1864</v>
      </c>
    </row>
    <row r="132" spans="2:41" s="17" customFormat="1" ht="17.25" thickTop="1" thickBot="1" x14ac:dyDescent="0.3">
      <c r="B132" s="42"/>
      <c r="C132" s="242">
        <v>45665</v>
      </c>
      <c r="D132" s="242"/>
      <c r="E132" s="136" t="s">
        <v>336</v>
      </c>
      <c r="F132" s="136" t="s">
        <v>89</v>
      </c>
      <c r="G132" s="136" t="s">
        <v>1535</v>
      </c>
      <c r="H132" s="78" t="s">
        <v>4</v>
      </c>
      <c r="I132" s="78" t="s">
        <v>1037</v>
      </c>
      <c r="J132" s="78" t="s">
        <v>1541</v>
      </c>
      <c r="K132" s="78" t="s">
        <v>1536</v>
      </c>
      <c r="L132" s="78" t="s">
        <v>1022</v>
      </c>
      <c r="M132" s="146" t="s">
        <v>20</v>
      </c>
      <c r="N132" s="202" t="s">
        <v>79</v>
      </c>
      <c r="O132" s="202" t="s">
        <v>1534</v>
      </c>
      <c r="P132" s="320" t="s">
        <v>1937</v>
      </c>
      <c r="Q132" s="202" t="s">
        <v>1537</v>
      </c>
      <c r="R132" s="202" t="s">
        <v>547</v>
      </c>
      <c r="S132" s="289">
        <v>2025</v>
      </c>
      <c r="T132" s="243" t="str">
        <f t="shared" si="7"/>
        <v>mar/2025</v>
      </c>
      <c r="U132" s="283">
        <v>45734</v>
      </c>
      <c r="V132" s="283">
        <v>46099</v>
      </c>
      <c r="W132" s="148">
        <f>DATEDIF(Base_CTRs_Finalizados[[#This Row],[INÍCIO VIGÊNCIA]],Base_CTRs_Finalizados[[#This Row],[FINAL 
VIGÊNCIA]],"Y")</f>
        <v>1</v>
      </c>
      <c r="X132" s="244" t="s">
        <v>1542</v>
      </c>
      <c r="Y132" s="146" t="s">
        <v>33</v>
      </c>
      <c r="Z132" s="146" t="s">
        <v>1543</v>
      </c>
      <c r="AA132" s="146" t="s">
        <v>478</v>
      </c>
      <c r="AB132" s="236">
        <v>1</v>
      </c>
      <c r="AC132" s="203">
        <f>AD132/AB132</f>
        <v>23474</v>
      </c>
      <c r="AD132" s="203">
        <v>23474</v>
      </c>
      <c r="AE132" s="150" t="s">
        <v>14</v>
      </c>
      <c r="AF132" s="150" t="s">
        <v>9</v>
      </c>
      <c r="AG132" s="290"/>
      <c r="AH132" s="150"/>
      <c r="AI132" s="150"/>
      <c r="AJ132" s="237">
        <f>_xlfn.DAYS(Base_CTRs_Finalizados[[#This Row],[INÍCIO VIGÊNCIA]],Base_CTRs_Finalizados[[#This Row],[Data inicio processo]])</f>
        <v>69</v>
      </c>
      <c r="AK132" s="280" t="s">
        <v>1621</v>
      </c>
      <c r="AL132" s="266" t="s">
        <v>1198</v>
      </c>
      <c r="AM132" s="266" t="s">
        <v>1198</v>
      </c>
      <c r="AN132" s="205"/>
      <c r="AO132" s="17" t="s">
        <v>1865</v>
      </c>
    </row>
    <row r="133" spans="2:41" s="17" customFormat="1" ht="17.25" thickTop="1" thickBot="1" x14ac:dyDescent="0.3">
      <c r="B133" s="42"/>
      <c r="C133" s="242">
        <v>45895</v>
      </c>
      <c r="D133" s="242"/>
      <c r="E133" s="136" t="s">
        <v>78</v>
      </c>
      <c r="F133" s="136" t="s">
        <v>90</v>
      </c>
      <c r="G133" s="136" t="s">
        <v>1544</v>
      </c>
      <c r="H133" s="78" t="s">
        <v>4</v>
      </c>
      <c r="I133" s="78" t="s">
        <v>1037</v>
      </c>
      <c r="J133" s="78" t="s">
        <v>1545</v>
      </c>
      <c r="K133" s="78" t="s">
        <v>1546</v>
      </c>
      <c r="L133" s="78" t="s">
        <v>1022</v>
      </c>
      <c r="M133" s="146" t="s">
        <v>20</v>
      </c>
      <c r="N133" s="202" t="s">
        <v>79</v>
      </c>
      <c r="O133" s="263" t="s">
        <v>1488</v>
      </c>
      <c r="P133" s="320" t="s">
        <v>1938</v>
      </c>
      <c r="Q133" s="202" t="s">
        <v>1547</v>
      </c>
      <c r="R133" s="202" t="s">
        <v>1548</v>
      </c>
      <c r="S133" s="289">
        <v>2025</v>
      </c>
      <c r="T133" s="243" t="str">
        <f t="shared" ref="T133:T149" si="11">TEXT(U133,"mmm/aaaa")</f>
        <v>dez/2025</v>
      </c>
      <c r="U133" s="283">
        <v>46006</v>
      </c>
      <c r="V133" s="259">
        <v>46736</v>
      </c>
      <c r="W133" s="148">
        <f>DATEDIF(Base_CTRs_Finalizados[[#This Row],[INÍCIO VIGÊNCIA]],Base_CTRs_Finalizados[[#This Row],[FINAL 
VIGÊNCIA]],"Y")</f>
        <v>2</v>
      </c>
      <c r="X133" s="244" t="s">
        <v>1549</v>
      </c>
      <c r="Y133" s="146" t="s">
        <v>28</v>
      </c>
      <c r="Z133" s="146" t="s">
        <v>1550</v>
      </c>
      <c r="AA133" s="146" t="s">
        <v>1551</v>
      </c>
      <c r="AB133" s="236">
        <v>24</v>
      </c>
      <c r="AC133" s="203">
        <f>AD133/AB133</f>
        <v>181551.80500000002</v>
      </c>
      <c r="AD133" s="203">
        <v>4357243.32</v>
      </c>
      <c r="AE133" s="150" t="s">
        <v>16</v>
      </c>
      <c r="AF133" s="150" t="s">
        <v>9</v>
      </c>
      <c r="AG133" s="290"/>
      <c r="AH133" s="150"/>
      <c r="AI133" s="150"/>
      <c r="AJ133" s="237">
        <f>_xlfn.DAYS(Base_CTRs_Finalizados[[#This Row],[INÍCIO VIGÊNCIA]],Base_CTRs_Finalizados[[#This Row],[Data inicio processo]])</f>
        <v>111</v>
      </c>
      <c r="AK133" s="280" t="s">
        <v>1622</v>
      </c>
      <c r="AL133" s="266" t="s">
        <v>1198</v>
      </c>
      <c r="AM133" s="266" t="s">
        <v>1198</v>
      </c>
      <c r="AN133" s="205"/>
      <c r="AO133" s="17" t="s">
        <v>1865</v>
      </c>
    </row>
    <row r="134" spans="2:41" s="17" customFormat="1" ht="17.25" customHeight="1" thickTop="1" thickBot="1" x14ac:dyDescent="0.3">
      <c r="B134" s="42"/>
      <c r="C134" s="242">
        <v>45842</v>
      </c>
      <c r="D134" s="242"/>
      <c r="E134" s="136" t="s">
        <v>91</v>
      </c>
      <c r="F134" s="136" t="s">
        <v>447</v>
      </c>
      <c r="G134" s="136" t="s">
        <v>1552</v>
      </c>
      <c r="H134" s="78" t="s">
        <v>5</v>
      </c>
      <c r="I134" s="78" t="s">
        <v>343</v>
      </c>
      <c r="J134" s="291" t="s">
        <v>1554</v>
      </c>
      <c r="K134" s="78" t="s">
        <v>1553</v>
      </c>
      <c r="L134" s="78" t="s">
        <v>1022</v>
      </c>
      <c r="M134" s="146" t="s">
        <v>20</v>
      </c>
      <c r="N134" s="202" t="s">
        <v>79</v>
      </c>
      <c r="O134" s="202" t="s">
        <v>1531</v>
      </c>
      <c r="P134" s="320" t="s">
        <v>1939</v>
      </c>
      <c r="Q134" s="202" t="s">
        <v>1555</v>
      </c>
      <c r="R134" s="202" t="s">
        <v>1556</v>
      </c>
      <c r="S134" s="289">
        <v>2026</v>
      </c>
      <c r="T134" s="243" t="str">
        <f t="shared" si="11"/>
        <v>dez/2025</v>
      </c>
      <c r="U134" s="283">
        <v>46013</v>
      </c>
      <c r="V134" s="259">
        <v>46926</v>
      </c>
      <c r="W134" s="148">
        <f>DATEDIF(Base_CTRs_Finalizados[[#This Row],[INÍCIO VIGÊNCIA]],Base_CTRs_Finalizados[[#This Row],[FINAL 
VIGÊNCIA]],"Y")</f>
        <v>2</v>
      </c>
      <c r="X134" s="244" t="s">
        <v>1557</v>
      </c>
      <c r="Y134" s="146" t="s">
        <v>33</v>
      </c>
      <c r="Z134" s="146" t="s">
        <v>1558</v>
      </c>
      <c r="AA134" s="284" t="s">
        <v>1559</v>
      </c>
      <c r="AB134" s="236">
        <v>30</v>
      </c>
      <c r="AC134" s="203">
        <f t="shared" si="10"/>
        <v>120683.08</v>
      </c>
      <c r="AD134" s="203">
        <v>3620492.4</v>
      </c>
      <c r="AE134" s="150" t="s">
        <v>14</v>
      </c>
      <c r="AF134" s="150" t="s">
        <v>9</v>
      </c>
      <c r="AG134" s="150"/>
      <c r="AH134" s="150"/>
      <c r="AI134" s="150"/>
      <c r="AJ134" s="237">
        <f>_xlfn.DAYS(Base_CTRs_Finalizados[[#This Row],[INÍCIO VIGÊNCIA]],Base_CTRs_Finalizados[[#This Row],[Data inicio processo]])</f>
        <v>171</v>
      </c>
      <c r="AK134" s="280" t="s">
        <v>1618</v>
      </c>
      <c r="AL134" s="266" t="s">
        <v>1198</v>
      </c>
      <c r="AM134" s="266" t="s">
        <v>1198</v>
      </c>
      <c r="AO134" s="17" t="s">
        <v>1864</v>
      </c>
    </row>
    <row r="135" spans="2:41" s="17" customFormat="1" ht="17.25" thickTop="1" thickBot="1" x14ac:dyDescent="0.3">
      <c r="B135" s="42"/>
      <c r="C135" s="242">
        <v>45831</v>
      </c>
      <c r="D135" s="242"/>
      <c r="E135" s="136" t="s">
        <v>90</v>
      </c>
      <c r="F135" s="136" t="s">
        <v>200</v>
      </c>
      <c r="G135" s="136" t="s">
        <v>1525</v>
      </c>
      <c r="H135" s="78" t="s">
        <v>5</v>
      </c>
      <c r="I135" s="78" t="s">
        <v>343</v>
      </c>
      <c r="J135" s="78" t="s">
        <v>1560</v>
      </c>
      <c r="K135" s="78" t="s">
        <v>1527</v>
      </c>
      <c r="L135" s="78" t="s">
        <v>1022</v>
      </c>
      <c r="M135" s="146" t="s">
        <v>20</v>
      </c>
      <c r="N135" s="202" t="s">
        <v>79</v>
      </c>
      <c r="O135" s="202" t="s">
        <v>1532</v>
      </c>
      <c r="P135" s="320" t="s">
        <v>1940</v>
      </c>
      <c r="Q135" s="202" t="s">
        <v>1561</v>
      </c>
      <c r="R135" s="202" t="s">
        <v>1562</v>
      </c>
      <c r="S135" s="282">
        <v>2025</v>
      </c>
      <c r="T135" s="243" t="str">
        <f t="shared" si="11"/>
        <v>dez/2025</v>
      </c>
      <c r="U135" s="283">
        <v>46015</v>
      </c>
      <c r="V135" s="283">
        <v>47111</v>
      </c>
      <c r="W135" s="148">
        <f>DATEDIF(Base_CTRs_Finalizados[[#This Row],[INÍCIO VIGÊNCIA]],Base_CTRs_Finalizados[[#This Row],[FINAL 
VIGÊNCIA]],"Y")</f>
        <v>3</v>
      </c>
      <c r="X135" s="244" t="s">
        <v>1605</v>
      </c>
      <c r="Y135" s="146" t="s">
        <v>29</v>
      </c>
      <c r="Z135" s="146" t="s">
        <v>1602</v>
      </c>
      <c r="AA135" s="146" t="s">
        <v>1603</v>
      </c>
      <c r="AB135" s="236">
        <v>36</v>
      </c>
      <c r="AC135" s="203">
        <f t="shared" ref="AC135:AC141" si="12">AD135/AB135</f>
        <v>520.44444444444446</v>
      </c>
      <c r="AD135" s="203">
        <v>18736</v>
      </c>
      <c r="AE135" s="150" t="s">
        <v>14</v>
      </c>
      <c r="AF135" s="150" t="s">
        <v>9</v>
      </c>
      <c r="AG135" s="290"/>
      <c r="AH135" s="150"/>
      <c r="AI135" s="150"/>
      <c r="AJ135" s="237">
        <f>_xlfn.DAYS(Base_CTRs_Finalizados[[#This Row],[INÍCIO VIGÊNCIA]],Base_CTRs_Finalizados[[#This Row],[Data inicio processo]])</f>
        <v>184</v>
      </c>
      <c r="AK135" s="280" t="s">
        <v>1617</v>
      </c>
      <c r="AL135" s="266" t="s">
        <v>1198</v>
      </c>
      <c r="AM135" s="266" t="s">
        <v>1198</v>
      </c>
      <c r="AN135" s="205"/>
      <c r="AO135" s="17" t="s">
        <v>1864</v>
      </c>
    </row>
    <row r="136" spans="2:41" s="17" customFormat="1" ht="17.25" thickTop="1" thickBot="1" x14ac:dyDescent="0.3">
      <c r="B136" s="42"/>
      <c r="C136" s="242">
        <v>45982</v>
      </c>
      <c r="D136" s="242"/>
      <c r="E136" s="136" t="s">
        <v>88</v>
      </c>
      <c r="F136" s="136" t="s">
        <v>52</v>
      </c>
      <c r="G136" s="136" t="s">
        <v>1564</v>
      </c>
      <c r="H136" s="78" t="s">
        <v>7</v>
      </c>
      <c r="I136" s="78" t="s">
        <v>764</v>
      </c>
      <c r="J136" s="78" t="s">
        <v>1565</v>
      </c>
      <c r="K136" s="78" t="s">
        <v>1566</v>
      </c>
      <c r="L136" s="78" t="s">
        <v>1022</v>
      </c>
      <c r="M136" s="146" t="s">
        <v>20</v>
      </c>
      <c r="N136" s="202" t="s">
        <v>79</v>
      </c>
      <c r="O136" s="263" t="s">
        <v>1529</v>
      </c>
      <c r="P136" s="320" t="s">
        <v>1657</v>
      </c>
      <c r="Q136" s="202" t="s">
        <v>1567</v>
      </c>
      <c r="R136" s="202" t="s">
        <v>1568</v>
      </c>
      <c r="S136" s="289">
        <v>2025</v>
      </c>
      <c r="T136" s="243" t="str">
        <f t="shared" si="11"/>
        <v>dez/2025</v>
      </c>
      <c r="U136" s="283">
        <v>46010</v>
      </c>
      <c r="V136" s="259">
        <v>46190</v>
      </c>
      <c r="W136" s="148">
        <f>DATEDIF(Base_CTRs_Finalizados[[#This Row],[INÍCIO VIGÊNCIA]],Base_CTRs_Finalizados[[#This Row],[FINAL 
VIGÊNCIA]],"Y")</f>
        <v>0</v>
      </c>
      <c r="X136" s="244" t="s">
        <v>1565</v>
      </c>
      <c r="Y136" s="146" t="s">
        <v>33</v>
      </c>
      <c r="Z136" s="146" t="s">
        <v>1569</v>
      </c>
      <c r="AA136" s="146" t="s">
        <v>1570</v>
      </c>
      <c r="AB136" s="236">
        <v>7</v>
      </c>
      <c r="AC136" s="203">
        <f t="shared" si="12"/>
        <v>30505.079999999998</v>
      </c>
      <c r="AD136" s="203">
        <v>213535.56</v>
      </c>
      <c r="AE136" s="150" t="s">
        <v>14</v>
      </c>
      <c r="AF136" s="150" t="s">
        <v>9</v>
      </c>
      <c r="AG136" s="290"/>
      <c r="AH136" s="150"/>
      <c r="AI136" s="150"/>
      <c r="AJ136" s="237">
        <f>_xlfn.DAYS(Base_CTRs_Finalizados[[#This Row],[INÍCIO VIGÊNCIA]],Base_CTRs_Finalizados[[#This Row],[Data inicio processo]])</f>
        <v>28</v>
      </c>
      <c r="AK136" s="280" t="s">
        <v>1623</v>
      </c>
      <c r="AL136" s="266" t="s">
        <v>1198</v>
      </c>
      <c r="AM136" s="266" t="s">
        <v>1198</v>
      </c>
      <c r="AN136" s="205"/>
      <c r="AO136" s="17" t="s">
        <v>1865</v>
      </c>
    </row>
    <row r="137" spans="2:41" s="17" customFormat="1" ht="17.25" thickTop="1" thickBot="1" x14ac:dyDescent="0.3">
      <c r="B137" s="42"/>
      <c r="C137" s="242">
        <v>46006</v>
      </c>
      <c r="D137" s="242"/>
      <c r="E137" s="136" t="s">
        <v>90</v>
      </c>
      <c r="F137" s="136" t="s">
        <v>46</v>
      </c>
      <c r="G137" s="136" t="s">
        <v>1571</v>
      </c>
      <c r="H137" s="78" t="s">
        <v>1083</v>
      </c>
      <c r="I137" s="78" t="s">
        <v>343</v>
      </c>
      <c r="J137" s="78" t="s">
        <v>1573</v>
      </c>
      <c r="K137" s="78"/>
      <c r="L137" s="78" t="s">
        <v>1022</v>
      </c>
      <c r="M137" s="146" t="s">
        <v>20</v>
      </c>
      <c r="N137" s="202" t="s">
        <v>79</v>
      </c>
      <c r="O137" s="263" t="s">
        <v>1530</v>
      </c>
      <c r="P137" s="320" t="s">
        <v>1941</v>
      </c>
      <c r="Q137" s="202" t="s">
        <v>1572</v>
      </c>
      <c r="R137" s="202" t="s">
        <v>388</v>
      </c>
      <c r="S137" s="289">
        <v>2026</v>
      </c>
      <c r="T137" s="243" t="str">
        <f t="shared" si="11"/>
        <v>jan/2026</v>
      </c>
      <c r="U137" s="283">
        <v>46031</v>
      </c>
      <c r="V137" s="259">
        <v>46761</v>
      </c>
      <c r="W137" s="148">
        <f>DATEDIF(Base_CTRs_Finalizados[[#This Row],[INÍCIO VIGÊNCIA]],Base_CTRs_Finalizados[[#This Row],[FINAL 
VIGÊNCIA]],"Y")</f>
        <v>2</v>
      </c>
      <c r="X137" s="244" t="s">
        <v>1574</v>
      </c>
      <c r="Y137" s="146" t="s">
        <v>1224</v>
      </c>
      <c r="Z137" s="146" t="s">
        <v>1468</v>
      </c>
      <c r="AA137" s="146" t="s">
        <v>1469</v>
      </c>
      <c r="AB137" s="236">
        <v>24</v>
      </c>
      <c r="AC137" s="203">
        <f t="shared" si="12"/>
        <v>46791.666666666664</v>
      </c>
      <c r="AD137" s="203">
        <v>1123000</v>
      </c>
      <c r="AE137" s="150" t="s">
        <v>14</v>
      </c>
      <c r="AF137" s="150" t="s">
        <v>9</v>
      </c>
      <c r="AG137" s="290"/>
      <c r="AH137" s="150"/>
      <c r="AI137" s="150"/>
      <c r="AJ137" s="237">
        <f>_xlfn.DAYS(Base_CTRs_Finalizados[[#This Row],[INÍCIO VIGÊNCIA]],Base_CTRs_Finalizados[[#This Row],[Data inicio processo]])</f>
        <v>25</v>
      </c>
      <c r="AK137" s="266" t="s">
        <v>1632</v>
      </c>
      <c r="AL137" s="266" t="s">
        <v>1198</v>
      </c>
      <c r="AM137" s="266" t="s">
        <v>1198</v>
      </c>
      <c r="AN137" s="205"/>
      <c r="AO137" s="17" t="s">
        <v>1864</v>
      </c>
    </row>
    <row r="138" spans="2:41" s="17" customFormat="1" ht="17.25" thickTop="1" thickBot="1" x14ac:dyDescent="0.3">
      <c r="B138" s="42"/>
      <c r="C138" s="242">
        <v>46010</v>
      </c>
      <c r="D138" s="242"/>
      <c r="E138" s="136" t="s">
        <v>90</v>
      </c>
      <c r="F138" s="136" t="s">
        <v>200</v>
      </c>
      <c r="G138" s="136" t="s">
        <v>1575</v>
      </c>
      <c r="H138" s="78" t="s">
        <v>1083</v>
      </c>
      <c r="I138" s="78" t="s">
        <v>343</v>
      </c>
      <c r="J138" s="78" t="s">
        <v>1576</v>
      </c>
      <c r="K138" s="78"/>
      <c r="L138" s="78" t="s">
        <v>1022</v>
      </c>
      <c r="M138" s="146" t="s">
        <v>20</v>
      </c>
      <c r="N138" s="202" t="s">
        <v>79</v>
      </c>
      <c r="O138" s="263" t="s">
        <v>1533</v>
      </c>
      <c r="P138" s="320" t="s">
        <v>1646</v>
      </c>
      <c r="Q138" s="202" t="s">
        <v>1577</v>
      </c>
      <c r="R138" s="202" t="s">
        <v>1153</v>
      </c>
      <c r="S138" s="289">
        <v>2026</v>
      </c>
      <c r="T138" s="243" t="str">
        <f t="shared" si="11"/>
        <v>jan/2026</v>
      </c>
      <c r="U138" s="283">
        <v>46024</v>
      </c>
      <c r="V138" s="259">
        <v>47940</v>
      </c>
      <c r="W138" s="148">
        <f>DATEDIF(Base_CTRs_Finalizados[[#This Row],[INÍCIO VIGÊNCIA]],Base_CTRs_Finalizados[[#This Row],[FINAL 
VIGÊNCIA]],"Y")</f>
        <v>5</v>
      </c>
      <c r="X138" s="244" t="s">
        <v>1578</v>
      </c>
      <c r="Y138" s="146" t="s">
        <v>33</v>
      </c>
      <c r="Z138" s="146" t="s">
        <v>1631</v>
      </c>
      <c r="AA138" s="146" t="s">
        <v>1370</v>
      </c>
      <c r="AB138" s="236">
        <v>63</v>
      </c>
      <c r="AC138" s="203">
        <f t="shared" si="12"/>
        <v>41762.985555555555</v>
      </c>
      <c r="AD138" s="203">
        <v>2631068.09</v>
      </c>
      <c r="AE138" s="150" t="s">
        <v>14</v>
      </c>
      <c r="AF138" s="150" t="s">
        <v>9</v>
      </c>
      <c r="AG138" s="290"/>
      <c r="AH138" s="150"/>
      <c r="AI138" s="150"/>
      <c r="AJ138" s="237">
        <f>_xlfn.DAYS(Base_CTRs_Finalizados[[#This Row],[INÍCIO VIGÊNCIA]],Base_CTRs_Finalizados[[#This Row],[Data inicio processo]])</f>
        <v>14</v>
      </c>
      <c r="AK138" s="266" t="s">
        <v>1437</v>
      </c>
      <c r="AL138" s="266" t="s">
        <v>1198</v>
      </c>
      <c r="AM138" s="266" t="s">
        <v>1198</v>
      </c>
      <c r="AN138" s="205"/>
      <c r="AO138" s="17" t="s">
        <v>1864</v>
      </c>
    </row>
    <row r="139" spans="2:41" s="17" customFormat="1" ht="17.25" thickTop="1" thickBot="1" x14ac:dyDescent="0.3">
      <c r="B139" s="42"/>
      <c r="C139" s="242">
        <v>46029</v>
      </c>
      <c r="D139" s="242"/>
      <c r="E139" s="136" t="s">
        <v>91</v>
      </c>
      <c r="F139" s="136" t="s">
        <v>1758</v>
      </c>
      <c r="G139" s="136" t="s">
        <v>1579</v>
      </c>
      <c r="H139" s="78" t="s">
        <v>7</v>
      </c>
      <c r="I139" s="78" t="s">
        <v>764</v>
      </c>
      <c r="J139" s="78" t="s">
        <v>1580</v>
      </c>
      <c r="K139" s="78" t="s">
        <v>1581</v>
      </c>
      <c r="L139" s="78" t="s">
        <v>1582</v>
      </c>
      <c r="M139" s="146" t="s">
        <v>20</v>
      </c>
      <c r="N139" s="202" t="s">
        <v>79</v>
      </c>
      <c r="O139" s="202" t="s">
        <v>1538</v>
      </c>
      <c r="P139" s="320" t="s">
        <v>1647</v>
      </c>
      <c r="Q139" s="202" t="s">
        <v>1583</v>
      </c>
      <c r="R139" s="202" t="s">
        <v>1584</v>
      </c>
      <c r="S139" s="289">
        <v>2026</v>
      </c>
      <c r="T139" s="243" t="str">
        <f t="shared" si="11"/>
        <v>jan/2026</v>
      </c>
      <c r="U139" s="283">
        <v>46041</v>
      </c>
      <c r="V139" s="259">
        <v>46056</v>
      </c>
      <c r="W139" s="148">
        <f>DATEDIF(Base_CTRs_Finalizados[[#This Row],[INÍCIO VIGÊNCIA]],Base_CTRs_Finalizados[[#This Row],[FINAL 
VIGÊNCIA]],"Y")</f>
        <v>0</v>
      </c>
      <c r="X139" s="244" t="s">
        <v>1585</v>
      </c>
      <c r="Y139" s="146" t="s">
        <v>33</v>
      </c>
      <c r="Z139" s="146" t="s">
        <v>1586</v>
      </c>
      <c r="AA139" s="146" t="s">
        <v>1587</v>
      </c>
      <c r="AB139" s="236">
        <v>1</v>
      </c>
      <c r="AC139" s="203">
        <f>AD139/AB139</f>
        <v>6000</v>
      </c>
      <c r="AD139" s="203">
        <v>6000</v>
      </c>
      <c r="AE139" s="150" t="s">
        <v>14</v>
      </c>
      <c r="AF139" s="150" t="s">
        <v>9</v>
      </c>
      <c r="AG139" s="290"/>
      <c r="AH139" s="150"/>
      <c r="AI139" s="150"/>
      <c r="AJ139" s="237">
        <f>_xlfn.DAYS(Base_CTRs_Finalizados[[#This Row],[INÍCIO VIGÊNCIA]],Base_CTRs_Finalizados[[#This Row],[Data inicio processo]])</f>
        <v>12</v>
      </c>
      <c r="AK139" s="266" t="s">
        <v>1633</v>
      </c>
      <c r="AL139" s="266" t="s">
        <v>1198</v>
      </c>
      <c r="AM139" s="266" t="s">
        <v>1198</v>
      </c>
      <c r="AN139" s="205"/>
      <c r="AO139" s="17" t="s">
        <v>1865</v>
      </c>
    </row>
    <row r="140" spans="2:41" s="17" customFormat="1" ht="17.25" thickTop="1" thickBot="1" x14ac:dyDescent="0.3">
      <c r="B140" s="42"/>
      <c r="C140" s="242">
        <v>45929</v>
      </c>
      <c r="D140" s="242"/>
      <c r="E140" s="136" t="s">
        <v>90</v>
      </c>
      <c r="F140" s="136" t="s">
        <v>78</v>
      </c>
      <c r="G140" s="136" t="s">
        <v>1588</v>
      </c>
      <c r="H140" s="78" t="s">
        <v>4</v>
      </c>
      <c r="I140" s="78" t="s">
        <v>1037</v>
      </c>
      <c r="J140" s="78" t="s">
        <v>1590</v>
      </c>
      <c r="K140" s="78" t="s">
        <v>1589</v>
      </c>
      <c r="L140" s="78" t="s">
        <v>1022</v>
      </c>
      <c r="M140" s="146" t="s">
        <v>20</v>
      </c>
      <c r="N140" s="202" t="s">
        <v>79</v>
      </c>
      <c r="O140" s="202" t="s">
        <v>1539</v>
      </c>
      <c r="P140" s="320" t="s">
        <v>1942</v>
      </c>
      <c r="Q140" s="202" t="s">
        <v>1592</v>
      </c>
      <c r="R140" s="202" t="s">
        <v>1591</v>
      </c>
      <c r="S140" s="289">
        <v>2026</v>
      </c>
      <c r="T140" s="243" t="str">
        <f t="shared" si="11"/>
        <v>jan/2026</v>
      </c>
      <c r="U140" s="283">
        <v>46044</v>
      </c>
      <c r="V140" s="259">
        <v>46409</v>
      </c>
      <c r="W140" s="148">
        <f>DATEDIF(Base_CTRs_Finalizados[[#This Row],[INÍCIO VIGÊNCIA]],Base_CTRs_Finalizados[[#This Row],[FINAL 
VIGÊNCIA]],"Y")</f>
        <v>1</v>
      </c>
      <c r="X140" s="244" t="s">
        <v>1593</v>
      </c>
      <c r="Y140" s="146" t="s">
        <v>28</v>
      </c>
      <c r="Z140" s="146" t="s">
        <v>1594</v>
      </c>
      <c r="AA140" s="146" t="s">
        <v>1595</v>
      </c>
      <c r="AB140" s="236">
        <v>12</v>
      </c>
      <c r="AC140" s="203">
        <f>AD140/AB140</f>
        <v>63544.622499999998</v>
      </c>
      <c r="AD140" s="203">
        <v>762535.47</v>
      </c>
      <c r="AE140" s="150" t="s">
        <v>54</v>
      </c>
      <c r="AF140" s="150" t="s">
        <v>9</v>
      </c>
      <c r="AG140" s="290"/>
      <c r="AH140" s="150"/>
      <c r="AI140" s="150"/>
      <c r="AJ140" s="237">
        <f>_xlfn.DAYS(Base_CTRs_Finalizados[[#This Row],[INÍCIO VIGÊNCIA]],Base_CTRs_Finalizados[[#This Row],[Data inicio processo]])</f>
        <v>115</v>
      </c>
      <c r="AK140" s="266" t="s">
        <v>1635</v>
      </c>
      <c r="AL140" s="266" t="s">
        <v>1198</v>
      </c>
      <c r="AM140" s="266" t="s">
        <v>1198</v>
      </c>
      <c r="AN140" s="205"/>
      <c r="AO140" s="17" t="s">
        <v>1865</v>
      </c>
    </row>
    <row r="141" spans="2:41" s="17" customFormat="1" ht="17.25" thickTop="1" thickBot="1" x14ac:dyDescent="0.3">
      <c r="B141" s="42"/>
      <c r="C141" s="285">
        <v>45894</v>
      </c>
      <c r="D141" s="285"/>
      <c r="E141" s="269" t="s">
        <v>146</v>
      </c>
      <c r="F141" s="269" t="s">
        <v>48</v>
      </c>
      <c r="G141" s="269" t="s">
        <v>1519</v>
      </c>
      <c r="H141" s="270" t="s">
        <v>5</v>
      </c>
      <c r="I141" s="270" t="s">
        <v>343</v>
      </c>
      <c r="J141" s="270" t="s">
        <v>1596</v>
      </c>
      <c r="K141" s="270" t="s">
        <v>1521</v>
      </c>
      <c r="L141" s="270" t="s">
        <v>1022</v>
      </c>
      <c r="M141" s="146" t="s">
        <v>20</v>
      </c>
      <c r="N141" s="202" t="s">
        <v>79</v>
      </c>
      <c r="O141" s="263" t="s">
        <v>1540</v>
      </c>
      <c r="P141" s="320" t="s">
        <v>1649</v>
      </c>
      <c r="Q141" s="263" t="s">
        <v>1597</v>
      </c>
      <c r="R141" s="263" t="s">
        <v>1598</v>
      </c>
      <c r="S141" s="300">
        <v>2025</v>
      </c>
      <c r="T141" s="243" t="str">
        <f t="shared" si="11"/>
        <v>fev/2026</v>
      </c>
      <c r="U141" s="277">
        <v>46054</v>
      </c>
      <c r="V141" s="286">
        <v>47880</v>
      </c>
      <c r="W141" s="271">
        <f>DATEDIF(Base_CTRs_Finalizados[[#This Row],[INÍCIO VIGÊNCIA]],Base_CTRs_Finalizados[[#This Row],[FINAL 
VIGÊNCIA]],"Y")</f>
        <v>5</v>
      </c>
      <c r="X141" s="272" t="s">
        <v>1599</v>
      </c>
      <c r="Y141" s="273" t="s">
        <v>33</v>
      </c>
      <c r="Z141" s="273" t="s">
        <v>1600</v>
      </c>
      <c r="AA141" s="273" t="s">
        <v>1601</v>
      </c>
      <c r="AB141" s="274">
        <v>60</v>
      </c>
      <c r="AC141" s="275">
        <f t="shared" si="12"/>
        <v>470</v>
      </c>
      <c r="AD141" s="275">
        <v>28200</v>
      </c>
      <c r="AE141" s="150" t="s">
        <v>14</v>
      </c>
      <c r="AF141" s="150" t="s">
        <v>9</v>
      </c>
      <c r="AG141" s="276"/>
      <c r="AH141" s="265"/>
      <c r="AI141" s="265"/>
      <c r="AJ141" s="279">
        <f>_xlfn.DAYS(Base_CTRs_Finalizados[[#This Row],[INÍCIO VIGÊNCIA]],Base_CTRs_Finalizados[[#This Row],[Data inicio processo]])</f>
        <v>160</v>
      </c>
      <c r="AK141" s="280" t="s">
        <v>1616</v>
      </c>
      <c r="AL141" s="266" t="s">
        <v>1198</v>
      </c>
      <c r="AM141" s="266" t="s">
        <v>1198</v>
      </c>
      <c r="AN141" s="205"/>
      <c r="AO141" s="17" t="s">
        <v>1864</v>
      </c>
    </row>
    <row r="142" spans="2:41" ht="17.25" thickTop="1" thickBot="1" x14ac:dyDescent="0.3">
      <c r="C142" s="242">
        <v>46058</v>
      </c>
      <c r="D142" s="285"/>
      <c r="E142" s="269" t="s">
        <v>146</v>
      </c>
      <c r="F142" s="269" t="s">
        <v>48</v>
      </c>
      <c r="G142" s="136" t="s">
        <v>915</v>
      </c>
      <c r="H142" s="78" t="s">
        <v>5</v>
      </c>
      <c r="I142" s="270" t="s">
        <v>343</v>
      </c>
      <c r="J142" s="78" t="s">
        <v>1627</v>
      </c>
      <c r="K142" s="78" t="s">
        <v>916</v>
      </c>
      <c r="L142" s="78" t="s">
        <v>155</v>
      </c>
      <c r="M142" s="146" t="s">
        <v>20</v>
      </c>
      <c r="N142" s="202" t="s">
        <v>79</v>
      </c>
      <c r="O142" s="263" t="s">
        <v>1626</v>
      </c>
      <c r="P142" s="320" t="s">
        <v>1648</v>
      </c>
      <c r="Q142" s="263" t="s">
        <v>1023</v>
      </c>
      <c r="R142" s="202" t="s">
        <v>414</v>
      </c>
      <c r="S142" s="289">
        <v>2026</v>
      </c>
      <c r="T142" s="243" t="str">
        <f t="shared" si="11"/>
        <v>fev/2026</v>
      </c>
      <c r="U142" s="283">
        <v>46064</v>
      </c>
      <c r="V142" s="259">
        <v>46066</v>
      </c>
      <c r="W142" s="148">
        <f>DATEDIF(Base_CTRs_Finalizados[[#This Row],[INÍCIO VIGÊNCIA]],Base_CTRs_Finalizados[[#This Row],[FINAL 
VIGÊNCIA]],"Y")</f>
        <v>0</v>
      </c>
      <c r="X142" s="244" t="s">
        <v>1628</v>
      </c>
      <c r="Y142" s="146" t="s">
        <v>33</v>
      </c>
      <c r="Z142" s="146" t="s">
        <v>1629</v>
      </c>
      <c r="AA142" s="284" t="s">
        <v>1630</v>
      </c>
      <c r="AB142" s="236">
        <v>1</v>
      </c>
      <c r="AC142" s="203">
        <f t="shared" ref="AC142:AC147" si="13">AD142/AB142</f>
        <v>328899.63</v>
      </c>
      <c r="AD142" s="203">
        <v>328899.63</v>
      </c>
      <c r="AE142" s="150" t="s">
        <v>14</v>
      </c>
      <c r="AF142" s="150" t="s">
        <v>9</v>
      </c>
      <c r="AG142" s="150"/>
      <c r="AH142" s="150"/>
      <c r="AI142" s="150"/>
      <c r="AJ142" s="237">
        <f>_xlfn.DAYS(Base_CTRs_Finalizados[[#This Row],[INÍCIO VIGÊNCIA]],Base_CTRs_Finalizados[[#This Row],[Data inicio processo]])</f>
        <v>6</v>
      </c>
      <c r="AK142" s="266" t="s">
        <v>1167</v>
      </c>
      <c r="AL142" s="266" t="s">
        <v>1198</v>
      </c>
      <c r="AM142" s="266" t="s">
        <v>1200</v>
      </c>
      <c r="AO142" s="17" t="s">
        <v>1864</v>
      </c>
    </row>
    <row r="143" spans="2:41" s="86" customFormat="1" ht="18.75" thickTop="1" thickBot="1" x14ac:dyDescent="0.35">
      <c r="B143" s="85"/>
      <c r="C143" s="242">
        <v>46086</v>
      </c>
      <c r="D143" s="285"/>
      <c r="E143" s="269" t="s">
        <v>146</v>
      </c>
      <c r="F143" s="136" t="s">
        <v>48</v>
      </c>
      <c r="G143" s="136" t="s">
        <v>1746</v>
      </c>
      <c r="H143" s="78" t="s">
        <v>1083</v>
      </c>
      <c r="I143" s="78" t="s">
        <v>343</v>
      </c>
      <c r="J143" s="336" t="s">
        <v>1759</v>
      </c>
      <c r="K143" s="78" t="s">
        <v>777</v>
      </c>
      <c r="L143" s="78" t="s">
        <v>102</v>
      </c>
      <c r="M143" s="146" t="s">
        <v>20</v>
      </c>
      <c r="N143" s="202" t="s">
        <v>79</v>
      </c>
      <c r="O143" s="202" t="s">
        <v>1743</v>
      </c>
      <c r="P143" s="320" t="s">
        <v>1872</v>
      </c>
      <c r="Q143" s="202" t="s">
        <v>1760</v>
      </c>
      <c r="R143" s="202" t="s">
        <v>1761</v>
      </c>
      <c r="S143" s="289">
        <v>2026</v>
      </c>
      <c r="T143" s="243" t="str">
        <f t="shared" si="11"/>
        <v>mar/2026</v>
      </c>
      <c r="U143" s="283">
        <v>46098</v>
      </c>
      <c r="V143" s="259">
        <v>46494</v>
      </c>
      <c r="W143" s="148">
        <f>DATEDIF(Base_CTRs_Finalizados[[#This Row],[INÍCIO VIGÊNCIA]],Base_CTRs_Finalizados[[#This Row],[FINAL 
VIGÊNCIA]],"Y")</f>
        <v>1</v>
      </c>
      <c r="X143" s="244" t="s">
        <v>1752</v>
      </c>
      <c r="Y143" s="146" t="s">
        <v>28</v>
      </c>
      <c r="Z143" s="146" t="s">
        <v>1747</v>
      </c>
      <c r="AA143" s="146" t="s">
        <v>365</v>
      </c>
      <c r="AB143" s="236">
        <v>24</v>
      </c>
      <c r="AC143" s="203">
        <f t="shared" si="13"/>
        <v>4687.5</v>
      </c>
      <c r="AD143" s="203">
        <v>112500</v>
      </c>
      <c r="AE143" s="150" t="s">
        <v>16</v>
      </c>
      <c r="AF143" s="150" t="s">
        <v>9</v>
      </c>
      <c r="AG143" s="332"/>
      <c r="AH143" s="211"/>
      <c r="AI143" s="211"/>
      <c r="AJ143" s="333">
        <f>_xlfn.DAYS(Base_CTRs_Finalizados[[#This Row],[INÍCIO VIGÊNCIA]],Base_CTRs_Finalizados[[#This Row],[Data inicio processo]])</f>
        <v>12</v>
      </c>
      <c r="AK143" s="334" t="s">
        <v>1829</v>
      </c>
      <c r="AL143" s="287" t="s">
        <v>1198</v>
      </c>
      <c r="AM143" s="287" t="s">
        <v>1834</v>
      </c>
      <c r="AN143" s="212"/>
      <c r="AO143" s="17" t="s">
        <v>1864</v>
      </c>
    </row>
    <row r="144" spans="2:41" s="86" customFormat="1" ht="17.25" thickTop="1" thickBot="1" x14ac:dyDescent="0.3">
      <c r="B144" s="85"/>
      <c r="C144" s="285">
        <v>46085</v>
      </c>
      <c r="D144" s="285"/>
      <c r="E144" s="269" t="s">
        <v>146</v>
      </c>
      <c r="F144" s="269" t="s">
        <v>445</v>
      </c>
      <c r="G144" s="269" t="s">
        <v>1750</v>
      </c>
      <c r="H144" s="270" t="s">
        <v>7</v>
      </c>
      <c r="I144" s="78" t="s">
        <v>764</v>
      </c>
      <c r="J144" s="270" t="s">
        <v>1762</v>
      </c>
      <c r="K144" s="270" t="s">
        <v>1763</v>
      </c>
      <c r="L144" s="270" t="s">
        <v>1582</v>
      </c>
      <c r="M144" s="146" t="s">
        <v>20</v>
      </c>
      <c r="N144" s="263" t="s">
        <v>79</v>
      </c>
      <c r="O144" s="338" t="s">
        <v>1744</v>
      </c>
      <c r="P144" s="348" t="s">
        <v>1943</v>
      </c>
      <c r="Q144" s="337" t="s">
        <v>1764</v>
      </c>
      <c r="R144" s="263" t="s">
        <v>1765</v>
      </c>
      <c r="S144" s="289">
        <v>2026</v>
      </c>
      <c r="T144" s="243" t="str">
        <f t="shared" si="11"/>
        <v>mar/2026</v>
      </c>
      <c r="U144" s="277">
        <v>46093</v>
      </c>
      <c r="V144" s="340">
        <v>46458</v>
      </c>
      <c r="W144" s="271">
        <f>DATEDIF(Base_CTRs_Finalizados[[#This Row],[INÍCIO VIGÊNCIA]],Base_CTRs_Finalizados[[#This Row],[FINAL 
VIGÊNCIA]],"Y")</f>
        <v>1</v>
      </c>
      <c r="X144" s="272" t="s">
        <v>1751</v>
      </c>
      <c r="Y144" s="273" t="s">
        <v>33</v>
      </c>
      <c r="Z144" s="273" t="s">
        <v>1748</v>
      </c>
      <c r="AA144" s="278" t="s">
        <v>1749</v>
      </c>
      <c r="AB144" s="274">
        <v>24</v>
      </c>
      <c r="AC144" s="275">
        <f t="shared" si="13"/>
        <v>1583.5145833333333</v>
      </c>
      <c r="AD144" s="275">
        <v>38004.35</v>
      </c>
      <c r="AE144" s="276" t="s">
        <v>1766</v>
      </c>
      <c r="AF144" s="150" t="s">
        <v>9</v>
      </c>
      <c r="AG144" s="335"/>
      <c r="AH144" s="335"/>
      <c r="AI144" s="335"/>
      <c r="AJ144" s="279">
        <f>_xlfn.DAYS(Base_CTRs_Finalizados[[#This Row],[INÍCIO VIGÊNCIA]],Base_CTRs_Finalizados[[#This Row],[Data inicio processo]])</f>
        <v>8</v>
      </c>
      <c r="AK144" s="280" t="s">
        <v>1831</v>
      </c>
      <c r="AL144" s="280" t="s">
        <v>1198</v>
      </c>
      <c r="AM144" s="280" t="s">
        <v>1198</v>
      </c>
      <c r="AO144" s="17" t="s">
        <v>1865</v>
      </c>
    </row>
    <row r="145" spans="2:41" s="86" customFormat="1" ht="17.25" thickTop="1" thickBot="1" x14ac:dyDescent="0.3">
      <c r="B145" s="85"/>
      <c r="C145" s="285">
        <v>46041</v>
      </c>
      <c r="D145" s="285"/>
      <c r="E145" s="341" t="s">
        <v>90</v>
      </c>
      <c r="F145" s="269" t="s">
        <v>200</v>
      </c>
      <c r="G145" s="269" t="s">
        <v>1754</v>
      </c>
      <c r="H145" s="270" t="s">
        <v>4</v>
      </c>
      <c r="I145" s="78" t="s">
        <v>1037</v>
      </c>
      <c r="J145" s="270" t="s">
        <v>1767</v>
      </c>
      <c r="K145" s="270" t="s">
        <v>1769</v>
      </c>
      <c r="L145" s="270" t="s">
        <v>1582</v>
      </c>
      <c r="M145" s="146" t="s">
        <v>20</v>
      </c>
      <c r="N145" s="263" t="s">
        <v>79</v>
      </c>
      <c r="O145" s="338" t="s">
        <v>1745</v>
      </c>
      <c r="P145" s="348" t="s">
        <v>1944</v>
      </c>
      <c r="Q145" s="337" t="s">
        <v>1768</v>
      </c>
      <c r="R145" s="263" t="s">
        <v>1458</v>
      </c>
      <c r="S145" s="289">
        <v>2026</v>
      </c>
      <c r="T145" s="243" t="str">
        <f t="shared" si="11"/>
        <v>mar/2026</v>
      </c>
      <c r="U145" s="277">
        <v>46108</v>
      </c>
      <c r="V145" s="340">
        <v>46473</v>
      </c>
      <c r="W145" s="271">
        <f>DATEDIF(Base_CTRs_Finalizados[[#This Row],[INÍCIO VIGÊNCIA]],Base_CTRs_Finalizados[[#This Row],[FINAL 
VIGÊNCIA]],"Y")</f>
        <v>1</v>
      </c>
      <c r="X145" s="272" t="s">
        <v>1753</v>
      </c>
      <c r="Y145" s="273" t="s">
        <v>33</v>
      </c>
      <c r="Z145" s="273" t="s">
        <v>1755</v>
      </c>
      <c r="AA145" s="278" t="s">
        <v>1756</v>
      </c>
      <c r="AB145" s="274">
        <v>12</v>
      </c>
      <c r="AC145" s="275">
        <f t="shared" si="13"/>
        <v>237950</v>
      </c>
      <c r="AD145" s="275">
        <v>2855400</v>
      </c>
      <c r="AE145" s="276" t="s">
        <v>1766</v>
      </c>
      <c r="AF145" s="150" t="s">
        <v>9</v>
      </c>
      <c r="AG145" s="335"/>
      <c r="AH145" s="335"/>
      <c r="AI145" s="335"/>
      <c r="AJ145" s="279">
        <f>_xlfn.DAYS(Base_CTRs_Finalizados[[#This Row],[INÍCIO VIGÊNCIA]],Base_CTRs_Finalizados[[#This Row],[Data inicio processo]])</f>
        <v>67</v>
      </c>
      <c r="AK145" s="280" t="s">
        <v>1832</v>
      </c>
      <c r="AL145" s="280" t="s">
        <v>1198</v>
      </c>
      <c r="AM145" s="280" t="s">
        <v>1198</v>
      </c>
      <c r="AO145" s="17" t="s">
        <v>1865</v>
      </c>
    </row>
    <row r="146" spans="2:41" s="86" customFormat="1" ht="17.25" thickTop="1" thickBot="1" x14ac:dyDescent="0.3">
      <c r="B146" s="85"/>
      <c r="C146" s="285">
        <v>45763</v>
      </c>
      <c r="D146" s="285"/>
      <c r="E146" s="341" t="s">
        <v>90</v>
      </c>
      <c r="F146" s="269" t="s">
        <v>78</v>
      </c>
      <c r="G146" s="269" t="s">
        <v>1771</v>
      </c>
      <c r="H146" s="270" t="s">
        <v>11</v>
      </c>
      <c r="I146" s="78" t="s">
        <v>700</v>
      </c>
      <c r="J146" s="270" t="s">
        <v>1773</v>
      </c>
      <c r="K146" s="270"/>
      <c r="L146" s="270" t="s">
        <v>1582</v>
      </c>
      <c r="M146" s="146" t="s">
        <v>20</v>
      </c>
      <c r="N146" s="263" t="s">
        <v>79</v>
      </c>
      <c r="O146" s="338" t="s">
        <v>1770</v>
      </c>
      <c r="P146" s="348" t="s">
        <v>1945</v>
      </c>
      <c r="Q146" s="337" t="s">
        <v>1774</v>
      </c>
      <c r="R146" s="263" t="s">
        <v>1775</v>
      </c>
      <c r="S146" s="289">
        <v>2026</v>
      </c>
      <c r="T146" s="243" t="str">
        <f t="shared" si="11"/>
        <v>mar/2026</v>
      </c>
      <c r="U146" s="277">
        <v>46112</v>
      </c>
      <c r="V146" s="340">
        <v>46477</v>
      </c>
      <c r="W146" s="271">
        <f>DATEDIF(Base_CTRs_Finalizados[[#This Row],[INÍCIO VIGÊNCIA]],Base_CTRs_Finalizados[[#This Row],[FINAL 
VIGÊNCIA]],"Y")</f>
        <v>1</v>
      </c>
      <c r="X146" s="272" t="s">
        <v>1772</v>
      </c>
      <c r="Y146" s="273" t="s">
        <v>1224</v>
      </c>
      <c r="Z146" s="273" t="s">
        <v>274</v>
      </c>
      <c r="AA146" s="278" t="s">
        <v>275</v>
      </c>
      <c r="AB146" s="274">
        <v>1</v>
      </c>
      <c r="AC146" s="275">
        <f t="shared" si="13"/>
        <v>100123.51</v>
      </c>
      <c r="AD146" s="275">
        <v>100123.51</v>
      </c>
      <c r="AE146" s="150" t="s">
        <v>54</v>
      </c>
      <c r="AF146" s="150" t="s">
        <v>9</v>
      </c>
      <c r="AG146" s="335"/>
      <c r="AH146" s="335"/>
      <c r="AI146" s="335"/>
      <c r="AJ146" s="279">
        <f>_xlfn.DAYS(Base_CTRs_Finalizados[[#This Row],[INÍCIO VIGÊNCIA]],Base_CTRs_Finalizados[[#This Row],[Data inicio processo]])</f>
        <v>349</v>
      </c>
      <c r="AK146" s="280" t="s">
        <v>1200</v>
      </c>
      <c r="AL146" s="280" t="s">
        <v>1200</v>
      </c>
      <c r="AM146" s="280" t="s">
        <v>1200</v>
      </c>
      <c r="AO146" s="17" t="s">
        <v>1865</v>
      </c>
    </row>
    <row r="147" spans="2:41" s="86" customFormat="1" ht="17.25" thickTop="1" thickBot="1" x14ac:dyDescent="0.3">
      <c r="B147" s="85"/>
      <c r="C147" s="285">
        <v>46014</v>
      </c>
      <c r="D147" s="285"/>
      <c r="E147" s="341" t="s">
        <v>146</v>
      </c>
      <c r="F147" s="269" t="s">
        <v>445</v>
      </c>
      <c r="G147" s="269" t="s">
        <v>1780</v>
      </c>
      <c r="H147" s="270" t="s">
        <v>5</v>
      </c>
      <c r="I147" s="78" t="s">
        <v>343</v>
      </c>
      <c r="J147" s="270" t="s">
        <v>1781</v>
      </c>
      <c r="K147" s="270" t="s">
        <v>1782</v>
      </c>
      <c r="L147" s="270" t="s">
        <v>1022</v>
      </c>
      <c r="M147" s="146" t="s">
        <v>20</v>
      </c>
      <c r="N147" s="263" t="s">
        <v>79</v>
      </c>
      <c r="O147" s="338" t="s">
        <v>1776</v>
      </c>
      <c r="P147" s="339" t="s">
        <v>1788</v>
      </c>
      <c r="Q147" s="337" t="s">
        <v>1779</v>
      </c>
      <c r="R147" s="263" t="s">
        <v>1765</v>
      </c>
      <c r="S147" s="289">
        <v>2026</v>
      </c>
      <c r="T147" s="243" t="str">
        <f>TEXT(U147,"mmm/aaaa")</f>
        <v>mai/2026</v>
      </c>
      <c r="U147" s="277">
        <v>46143</v>
      </c>
      <c r="V147" s="340">
        <v>47969</v>
      </c>
      <c r="W147" s="271">
        <f>DATEDIF(Base_CTRs_Finalizados[[#This Row],[INÍCIO VIGÊNCIA]],Base_CTRs_Finalizados[[#This Row],[FINAL 
VIGÊNCIA]],"Y")</f>
        <v>5</v>
      </c>
      <c r="X147" s="272" t="s">
        <v>1869</v>
      </c>
      <c r="Y147" s="273" t="s">
        <v>33</v>
      </c>
      <c r="Z147" s="273" t="s">
        <v>1777</v>
      </c>
      <c r="AA147" s="278" t="s">
        <v>1778</v>
      </c>
      <c r="AB147" s="274">
        <v>60</v>
      </c>
      <c r="AC147" s="275">
        <f t="shared" si="13"/>
        <v>8307.5</v>
      </c>
      <c r="AD147" s="275">
        <v>498450</v>
      </c>
      <c r="AE147" s="276" t="s">
        <v>1766</v>
      </c>
      <c r="AF147" s="150" t="s">
        <v>9</v>
      </c>
      <c r="AG147" s="335"/>
      <c r="AH147" s="335"/>
      <c r="AI147" s="335"/>
      <c r="AJ147" s="279">
        <f>_xlfn.DAYS(Base_CTRs_Finalizados[[#This Row],[INÍCIO VIGÊNCIA]],Base_CTRs_Finalizados[[#This Row],[Data inicio processo]])</f>
        <v>129</v>
      </c>
      <c r="AK147" s="280" t="s">
        <v>1789</v>
      </c>
      <c r="AL147" s="280" t="s">
        <v>1198</v>
      </c>
      <c r="AM147" s="280" t="s">
        <v>1198</v>
      </c>
      <c r="AO147" s="17" t="s">
        <v>1864</v>
      </c>
    </row>
    <row r="148" spans="2:41" s="86" customFormat="1" ht="17.25" thickTop="1" thickBot="1" x14ac:dyDescent="0.3">
      <c r="B148" s="85"/>
      <c r="C148" s="285">
        <v>45952</v>
      </c>
      <c r="D148" s="285"/>
      <c r="E148" s="341" t="s">
        <v>146</v>
      </c>
      <c r="F148" s="269" t="s">
        <v>48</v>
      </c>
      <c r="G148" s="269" t="s">
        <v>1793</v>
      </c>
      <c r="H148" s="270" t="s">
        <v>5</v>
      </c>
      <c r="I148" s="78" t="s">
        <v>343</v>
      </c>
      <c r="J148" s="270" t="s">
        <v>1798</v>
      </c>
      <c r="K148" s="270"/>
      <c r="L148" s="270" t="s">
        <v>1582</v>
      </c>
      <c r="M148" s="146" t="s">
        <v>20</v>
      </c>
      <c r="N148" s="263" t="s">
        <v>79</v>
      </c>
      <c r="O148" s="338" t="s">
        <v>1791</v>
      </c>
      <c r="P148" s="339" t="s">
        <v>1807</v>
      </c>
      <c r="Q148" s="337" t="s">
        <v>1794</v>
      </c>
      <c r="R148" s="263" t="s">
        <v>1795</v>
      </c>
      <c r="S148" s="289">
        <v>2026</v>
      </c>
      <c r="T148" s="243" t="str">
        <f t="shared" si="11"/>
        <v>abr/2026</v>
      </c>
      <c r="U148" s="277">
        <v>46136</v>
      </c>
      <c r="V148" s="340">
        <v>47962</v>
      </c>
      <c r="W148" s="271">
        <f>DATEDIF(Base_CTRs_Finalizados[[#This Row],[INÍCIO VIGÊNCIA]],Base_CTRs_Finalizados[[#This Row],[FINAL 
VIGÊNCIA]],"Y")</f>
        <v>5</v>
      </c>
      <c r="X148" s="272" t="s">
        <v>1870</v>
      </c>
      <c r="Y148" s="273" t="s">
        <v>33</v>
      </c>
      <c r="Z148" s="273" t="s">
        <v>1797</v>
      </c>
      <c r="AA148" s="278" t="s">
        <v>1796</v>
      </c>
      <c r="AB148" s="274">
        <v>60</v>
      </c>
      <c r="AC148" s="275">
        <f t="shared" ref="AC148:AC165" si="14">AD148/AB148</f>
        <v>13135.390833333333</v>
      </c>
      <c r="AD148" s="275">
        <v>788123.45</v>
      </c>
      <c r="AE148" s="276" t="s">
        <v>1766</v>
      </c>
      <c r="AF148" s="150" t="s">
        <v>9</v>
      </c>
      <c r="AG148" s="335"/>
      <c r="AH148" s="335"/>
      <c r="AI148" s="335"/>
      <c r="AJ148" s="279">
        <f>_xlfn.DAYS(Base_CTRs_Finalizados[[#This Row],[INÍCIO VIGÊNCIA]],Base_CTRs_Finalizados[[#This Row],[Data inicio processo]])</f>
        <v>184</v>
      </c>
      <c r="AK148" s="280" t="s">
        <v>1830</v>
      </c>
      <c r="AL148" s="280" t="s">
        <v>1198</v>
      </c>
      <c r="AM148" s="280" t="s">
        <v>1198</v>
      </c>
      <c r="AO148" s="17" t="s">
        <v>1864</v>
      </c>
    </row>
    <row r="149" spans="2:41" s="86" customFormat="1" ht="17.25" thickTop="1" thickBot="1" x14ac:dyDescent="0.3">
      <c r="B149" s="85"/>
      <c r="C149" s="285">
        <v>46020</v>
      </c>
      <c r="D149" s="285"/>
      <c r="E149" s="341" t="s">
        <v>90</v>
      </c>
      <c r="F149" s="269" t="s">
        <v>78</v>
      </c>
      <c r="G149" s="269" t="s">
        <v>1801</v>
      </c>
      <c r="H149" s="270" t="s">
        <v>11</v>
      </c>
      <c r="I149" s="78" t="s">
        <v>700</v>
      </c>
      <c r="J149" s="270" t="s">
        <v>1802</v>
      </c>
      <c r="K149" s="270"/>
      <c r="L149" s="270" t="s">
        <v>1582</v>
      </c>
      <c r="M149" s="146" t="s">
        <v>20</v>
      </c>
      <c r="N149" s="263" t="s">
        <v>79</v>
      </c>
      <c r="O149" s="338" t="s">
        <v>1792</v>
      </c>
      <c r="P149" s="339" t="s">
        <v>1946</v>
      </c>
      <c r="Q149" s="337" t="s">
        <v>1803</v>
      </c>
      <c r="R149" s="263" t="s">
        <v>1804</v>
      </c>
      <c r="S149" s="289">
        <v>2026</v>
      </c>
      <c r="T149" s="243" t="str">
        <f t="shared" si="11"/>
        <v>abr/2026</v>
      </c>
      <c r="U149" s="277">
        <v>46135</v>
      </c>
      <c r="V149" s="340">
        <v>46500</v>
      </c>
      <c r="W149" s="271">
        <f>DATEDIF(Base_CTRs_Finalizados[[#This Row],[INÍCIO VIGÊNCIA]],Base_CTRs_Finalizados[[#This Row],[FINAL 
VIGÊNCIA]],"Y")</f>
        <v>1</v>
      </c>
      <c r="X149" s="272" t="s">
        <v>1871</v>
      </c>
      <c r="Y149" s="273" t="s">
        <v>1224</v>
      </c>
      <c r="Z149" s="273" t="s">
        <v>1800</v>
      </c>
      <c r="AA149" s="278" t="s">
        <v>1799</v>
      </c>
      <c r="AB149" s="274">
        <v>12</v>
      </c>
      <c r="AC149" s="275">
        <f t="shared" si="14"/>
        <v>16339.71</v>
      </c>
      <c r="AD149" s="275">
        <v>196076.52</v>
      </c>
      <c r="AE149" s="276" t="s">
        <v>54</v>
      </c>
      <c r="AF149" s="150" t="s">
        <v>9</v>
      </c>
      <c r="AG149" s="335" t="s">
        <v>1805</v>
      </c>
      <c r="AH149" s="335" t="s">
        <v>1806</v>
      </c>
      <c r="AI149" s="335"/>
      <c r="AJ149" s="279">
        <f>_xlfn.DAYS(Base_CTRs_Finalizados[[#This Row],[INÍCIO VIGÊNCIA]],Base_CTRs_Finalizados[[#This Row],[Data inicio processo]])</f>
        <v>115</v>
      </c>
      <c r="AK149" s="280" t="s">
        <v>1200</v>
      </c>
      <c r="AL149" s="280" t="s">
        <v>1200</v>
      </c>
      <c r="AM149" s="280" t="s">
        <v>1200</v>
      </c>
      <c r="AO149" s="17" t="s">
        <v>1865</v>
      </c>
    </row>
    <row r="150" spans="2:41" s="86" customFormat="1" ht="17.25" thickTop="1" thickBot="1" x14ac:dyDescent="0.3">
      <c r="B150" s="85"/>
      <c r="C150" s="285">
        <v>46098</v>
      </c>
      <c r="D150" s="285"/>
      <c r="E150" s="341" t="s">
        <v>90</v>
      </c>
      <c r="F150" s="269" t="s">
        <v>78</v>
      </c>
      <c r="G150" s="269" t="s">
        <v>1822</v>
      </c>
      <c r="H150" s="270" t="s">
        <v>4</v>
      </c>
      <c r="I150" s="78" t="s">
        <v>1037</v>
      </c>
      <c r="J150" s="270" t="s">
        <v>1828</v>
      </c>
      <c r="K150" s="270"/>
      <c r="L150" s="270" t="s">
        <v>155</v>
      </c>
      <c r="M150" s="146" t="s">
        <v>20</v>
      </c>
      <c r="N150" s="263" t="s">
        <v>79</v>
      </c>
      <c r="O150" s="338" t="s">
        <v>1821</v>
      </c>
      <c r="P150" s="339" t="s">
        <v>1947</v>
      </c>
      <c r="Q150" s="337" t="s">
        <v>1826</v>
      </c>
      <c r="R150" s="263" t="s">
        <v>1827</v>
      </c>
      <c r="S150" s="289">
        <v>2026</v>
      </c>
      <c r="T150" s="243">
        <v>46143</v>
      </c>
      <c r="U150" s="277">
        <v>46160</v>
      </c>
      <c r="V150" s="340">
        <v>47256</v>
      </c>
      <c r="W150" s="271">
        <f>DATEDIF(Base_CTRs_Finalizados[[#This Row],[INÍCIO VIGÊNCIA]],Base_CTRs_Finalizados[[#This Row],[FINAL 
VIGÊNCIA]],"Y")</f>
        <v>3</v>
      </c>
      <c r="X150" s="272" t="s">
        <v>1823</v>
      </c>
      <c r="Y150" s="273" t="s">
        <v>1224</v>
      </c>
      <c r="Z150" s="273" t="s">
        <v>1824</v>
      </c>
      <c r="AA150" s="278" t="s">
        <v>1825</v>
      </c>
      <c r="AB150" s="274">
        <v>36</v>
      </c>
      <c r="AC150" s="275">
        <f t="shared" si="14"/>
        <v>135289.52666666667</v>
      </c>
      <c r="AD150" s="275">
        <v>4870422.96</v>
      </c>
      <c r="AE150" s="276" t="s">
        <v>54</v>
      </c>
      <c r="AF150" s="150" t="s">
        <v>9</v>
      </c>
      <c r="AG150" s="335"/>
      <c r="AH150" s="335"/>
      <c r="AI150" s="335"/>
      <c r="AJ150" s="279">
        <f>_xlfn.DAYS(Base_CTRs_Finalizados[[#This Row],[INÍCIO VIGÊNCIA]],Base_CTRs_Finalizados[[#This Row],[Data inicio processo]])</f>
        <v>62</v>
      </c>
      <c r="AK150" s="280" t="s">
        <v>1833</v>
      </c>
      <c r="AL150" s="280" t="s">
        <v>1198</v>
      </c>
      <c r="AM150" s="280" t="s">
        <v>1198</v>
      </c>
      <c r="AO150" s="17" t="s">
        <v>1865</v>
      </c>
    </row>
    <row r="151" spans="2:41" s="86" customFormat="1" ht="17.25" thickTop="1" thickBot="1" x14ac:dyDescent="0.3">
      <c r="B151" s="85"/>
      <c r="C151" s="285">
        <v>46167</v>
      </c>
      <c r="D151" s="285"/>
      <c r="E151" s="341" t="s">
        <v>146</v>
      </c>
      <c r="F151" s="269" t="s">
        <v>74</v>
      </c>
      <c r="G151" s="269" t="s">
        <v>1838</v>
      </c>
      <c r="H151" s="270" t="s">
        <v>7</v>
      </c>
      <c r="I151" s="78" t="s">
        <v>1844</v>
      </c>
      <c r="J151" s="270" t="s">
        <v>1843</v>
      </c>
      <c r="K151" s="270"/>
      <c r="L151" s="270" t="s">
        <v>1582</v>
      </c>
      <c r="M151" s="146" t="s">
        <v>20</v>
      </c>
      <c r="N151" s="263" t="s">
        <v>79</v>
      </c>
      <c r="O151" s="338" t="s">
        <v>1837</v>
      </c>
      <c r="P151" s="348" t="s">
        <v>1948</v>
      </c>
      <c r="Q151" s="337" t="s">
        <v>1839</v>
      </c>
      <c r="R151" s="263" t="s">
        <v>1840</v>
      </c>
      <c r="S151" s="289">
        <v>2026</v>
      </c>
      <c r="T151" s="243">
        <v>46205</v>
      </c>
      <c r="U151" s="277">
        <v>46205</v>
      </c>
      <c r="V151" s="340">
        <v>46389</v>
      </c>
      <c r="W151" s="271">
        <f>DATEDIF(Base_CTRs_Finalizados[[#This Row],[INÍCIO VIGÊNCIA]],Base_CTRs_Finalizados[[#This Row],[FINAL 
VIGÊNCIA]],"Y")</f>
        <v>0</v>
      </c>
      <c r="X151" s="272" t="s">
        <v>1841</v>
      </c>
      <c r="Y151" s="273" t="s">
        <v>33</v>
      </c>
      <c r="Z151" s="273" t="s">
        <v>1866</v>
      </c>
      <c r="AA151" s="278" t="s">
        <v>1842</v>
      </c>
      <c r="AB151" s="274">
        <v>6</v>
      </c>
      <c r="AC151" s="275">
        <f t="shared" si="14"/>
        <v>6583.333333333333</v>
      </c>
      <c r="AD151" s="275">
        <v>39500</v>
      </c>
      <c r="AE151" s="276" t="s">
        <v>1766</v>
      </c>
      <c r="AF151" s="150" t="s">
        <v>9</v>
      </c>
      <c r="AG151" s="335"/>
      <c r="AH151" s="335"/>
      <c r="AI151" s="335"/>
      <c r="AJ151" s="279">
        <f>_xlfn.DAYS(Base_CTRs_Finalizados[[#This Row],[INÍCIO VIGÊNCIA]],Base_CTRs_Finalizados[[#This Row],[Data inicio processo]])</f>
        <v>38</v>
      </c>
      <c r="AK151" s="280" t="s">
        <v>2015</v>
      </c>
      <c r="AL151" s="280" t="s">
        <v>1198</v>
      </c>
      <c r="AM151" s="280"/>
      <c r="AO151" s="17" t="s">
        <v>1865</v>
      </c>
    </row>
    <row r="152" spans="2:41" s="86" customFormat="1" ht="17.25" thickTop="1" thickBot="1" x14ac:dyDescent="0.3">
      <c r="B152" s="85"/>
      <c r="C152" s="285">
        <v>46197</v>
      </c>
      <c r="D152" s="285"/>
      <c r="E152" s="341" t="s">
        <v>92</v>
      </c>
      <c r="F152" s="269" t="s">
        <v>710</v>
      </c>
      <c r="G152" s="269" t="s">
        <v>1848</v>
      </c>
      <c r="H152" s="270" t="s">
        <v>1083</v>
      </c>
      <c r="I152" s="78" t="s">
        <v>343</v>
      </c>
      <c r="J152" s="270" t="s">
        <v>1851</v>
      </c>
      <c r="K152" s="270"/>
      <c r="L152" s="270" t="s">
        <v>1582</v>
      </c>
      <c r="M152" s="146" t="s">
        <v>20</v>
      </c>
      <c r="N152" s="263" t="s">
        <v>79</v>
      </c>
      <c r="O152" s="338" t="s">
        <v>1845</v>
      </c>
      <c r="P152" s="339" t="s">
        <v>1949</v>
      </c>
      <c r="Q152" s="337" t="s">
        <v>1849</v>
      </c>
      <c r="R152" s="263" t="s">
        <v>1850</v>
      </c>
      <c r="S152" s="289">
        <v>2026</v>
      </c>
      <c r="T152" s="243">
        <v>46219</v>
      </c>
      <c r="U152" s="277">
        <v>46217</v>
      </c>
      <c r="V152" s="340">
        <v>48043</v>
      </c>
      <c r="W152" s="271">
        <f>DATEDIF(Base_CTRs_Finalizados[[#This Row],[INÍCIO VIGÊNCIA]],Base_CTRs_Finalizados[[#This Row],[FINAL 
VIGÊNCIA]],"Y")</f>
        <v>5</v>
      </c>
      <c r="X152" s="272" t="s">
        <v>1867</v>
      </c>
      <c r="Y152" s="273" t="s">
        <v>33</v>
      </c>
      <c r="Z152" s="273" t="s">
        <v>1846</v>
      </c>
      <c r="AA152" s="278" t="s">
        <v>1847</v>
      </c>
      <c r="AB152" s="274">
        <v>60</v>
      </c>
      <c r="AC152" s="275">
        <f t="shared" si="14"/>
        <v>9.6833333333333336</v>
      </c>
      <c r="AD152" s="275">
        <v>581</v>
      </c>
      <c r="AE152" s="150" t="s">
        <v>14</v>
      </c>
      <c r="AF152" s="150" t="s">
        <v>9</v>
      </c>
      <c r="AG152" s="335"/>
      <c r="AH152" s="335"/>
      <c r="AI152" s="335"/>
      <c r="AJ152" s="279">
        <f>_xlfn.DAYS(Base_CTRs_Finalizados[[#This Row],[INÍCIO VIGÊNCIA]],Base_CTRs_Finalizados[[#This Row],[Data inicio processo]])</f>
        <v>20</v>
      </c>
      <c r="AK152" s="280" t="s">
        <v>2005</v>
      </c>
      <c r="AL152" s="280" t="s">
        <v>1198</v>
      </c>
      <c r="AM152" s="280"/>
      <c r="AO152" s="17" t="s">
        <v>1864</v>
      </c>
    </row>
    <row r="153" spans="2:41" s="86" customFormat="1" ht="17.25" thickTop="1" thickBot="1" x14ac:dyDescent="0.3">
      <c r="B153" s="85"/>
      <c r="C153" s="285">
        <v>46134</v>
      </c>
      <c r="D153" s="285"/>
      <c r="E153" s="341" t="s">
        <v>90</v>
      </c>
      <c r="F153" s="269" t="s">
        <v>73</v>
      </c>
      <c r="G153" s="269" t="s">
        <v>1855</v>
      </c>
      <c r="H153" s="270" t="s">
        <v>5</v>
      </c>
      <c r="I153" s="78" t="s">
        <v>343</v>
      </c>
      <c r="J153" s="270" t="s">
        <v>1856</v>
      </c>
      <c r="K153" s="270"/>
      <c r="L153" s="270" t="s">
        <v>1582</v>
      </c>
      <c r="M153" s="146" t="s">
        <v>20</v>
      </c>
      <c r="N153" s="263" t="s">
        <v>79</v>
      </c>
      <c r="O153" s="338" t="s">
        <v>1854</v>
      </c>
      <c r="P153" s="339" t="s">
        <v>1950</v>
      </c>
      <c r="Q153" s="337" t="s">
        <v>1860</v>
      </c>
      <c r="R153" s="263" t="s">
        <v>1861</v>
      </c>
      <c r="S153" s="289">
        <v>2026</v>
      </c>
      <c r="T153" s="243">
        <v>46237</v>
      </c>
      <c r="U153" s="277">
        <v>46237</v>
      </c>
      <c r="V153" s="340">
        <v>46602</v>
      </c>
      <c r="W153" s="271">
        <f>DATEDIF(Base_CTRs_Finalizados[[#This Row],[INÍCIO VIGÊNCIA]],Base_CTRs_Finalizados[[#This Row],[FINAL 
VIGÊNCIA]],"Y")</f>
        <v>1</v>
      </c>
      <c r="X153" s="272" t="s">
        <v>1868</v>
      </c>
      <c r="Y153" s="273" t="s">
        <v>33</v>
      </c>
      <c r="Z153" s="273" t="s">
        <v>1862</v>
      </c>
      <c r="AA153" s="278" t="s">
        <v>1857</v>
      </c>
      <c r="AB153" s="274">
        <v>12</v>
      </c>
      <c r="AC153" s="275">
        <f t="shared" si="14"/>
        <v>936138.41666666663</v>
      </c>
      <c r="AD153" s="275">
        <v>11233661</v>
      </c>
      <c r="AE153" s="276" t="s">
        <v>1766</v>
      </c>
      <c r="AF153" s="150" t="s">
        <v>9</v>
      </c>
      <c r="AG153" s="335" t="s">
        <v>1859</v>
      </c>
      <c r="AH153" s="335" t="s">
        <v>1858</v>
      </c>
      <c r="AI153" s="335"/>
      <c r="AJ153" s="279">
        <f>_xlfn.DAYS(Base_CTRs_Finalizados[[#This Row],[INÍCIO VIGÊNCIA]],Base_CTRs_Finalizados[[#This Row],[Data inicio processo]])</f>
        <v>103</v>
      </c>
      <c r="AK153" s="280" t="s">
        <v>2014</v>
      </c>
      <c r="AL153" s="280" t="s">
        <v>1198</v>
      </c>
      <c r="AM153" s="280"/>
      <c r="AO153" s="17" t="s">
        <v>1864</v>
      </c>
    </row>
    <row r="154" spans="2:41" s="17" customFormat="1" ht="17.25" thickTop="1" thickBot="1" x14ac:dyDescent="0.3">
      <c r="B154" s="42"/>
      <c r="C154" s="285">
        <v>46167</v>
      </c>
      <c r="D154" s="285"/>
      <c r="E154" s="341" t="s">
        <v>90</v>
      </c>
      <c r="F154" s="269" t="s">
        <v>78</v>
      </c>
      <c r="G154" s="269" t="s">
        <v>1878</v>
      </c>
      <c r="H154" s="270" t="s">
        <v>7</v>
      </c>
      <c r="I154" s="78" t="s">
        <v>764</v>
      </c>
      <c r="J154" s="270" t="s">
        <v>1879</v>
      </c>
      <c r="K154" s="270" t="s">
        <v>1880</v>
      </c>
      <c r="L154" s="270" t="s">
        <v>1582</v>
      </c>
      <c r="M154" s="146" t="s">
        <v>20</v>
      </c>
      <c r="N154" s="263" t="s">
        <v>79</v>
      </c>
      <c r="O154" s="380" t="s">
        <v>1874</v>
      </c>
      <c r="P154" s="339" t="s">
        <v>1973</v>
      </c>
      <c r="Q154" s="337" t="s">
        <v>1978</v>
      </c>
      <c r="R154" s="263" t="s">
        <v>1979</v>
      </c>
      <c r="S154" s="289">
        <v>2026</v>
      </c>
      <c r="T154" s="243">
        <v>46226</v>
      </c>
      <c r="U154" s="277">
        <v>46226</v>
      </c>
      <c r="V154" s="340">
        <v>46410</v>
      </c>
      <c r="W154" s="271">
        <f>DATEDIF(Base_CTRs_Finalizados[[#This Row],[INÍCIO VIGÊNCIA]],Base_CTRs_Finalizados[[#This Row],[FINAL 
VIGÊNCIA]],"Y")</f>
        <v>0</v>
      </c>
      <c r="X154" s="272" t="s">
        <v>1980</v>
      </c>
      <c r="Y154" s="273" t="s">
        <v>33</v>
      </c>
      <c r="Z154" s="273" t="s">
        <v>1981</v>
      </c>
      <c r="AA154" s="278" t="s">
        <v>1982</v>
      </c>
      <c r="AB154" s="274">
        <v>1</v>
      </c>
      <c r="AC154" s="275">
        <f t="shared" si="14"/>
        <v>14398</v>
      </c>
      <c r="AD154" s="275">
        <v>14398</v>
      </c>
      <c r="AE154" s="150" t="s">
        <v>14</v>
      </c>
      <c r="AF154" s="150" t="s">
        <v>9</v>
      </c>
      <c r="AG154" s="265"/>
      <c r="AH154" s="265"/>
      <c r="AI154" s="265"/>
      <c r="AJ154" s="279">
        <f>_xlfn.DAYS(Base_CTRs_Finalizados[[#This Row],[INÍCIO VIGÊNCIA]],Base_CTRs_Finalizados[[#This Row],[Data inicio processo]])</f>
        <v>59</v>
      </c>
      <c r="AK154" s="280"/>
      <c r="AL154" s="280"/>
      <c r="AM154" s="280"/>
    </row>
    <row r="155" spans="2:41" s="17" customFormat="1" ht="17.25" thickTop="1" thickBot="1" x14ac:dyDescent="0.3">
      <c r="B155" s="42"/>
      <c r="C155" s="242">
        <v>46009</v>
      </c>
      <c r="D155" s="242"/>
      <c r="E155" s="381" t="s">
        <v>146</v>
      </c>
      <c r="F155" s="136" t="s">
        <v>74</v>
      </c>
      <c r="G155" s="136" t="s">
        <v>1983</v>
      </c>
      <c r="H155" s="78" t="s">
        <v>5</v>
      </c>
      <c r="I155" s="78" t="s">
        <v>343</v>
      </c>
      <c r="J155" s="385" t="s">
        <v>461</v>
      </c>
      <c r="K155" s="385" t="s">
        <v>461</v>
      </c>
      <c r="L155" s="78" t="s">
        <v>1582</v>
      </c>
      <c r="M155" s="146" t="s">
        <v>20</v>
      </c>
      <c r="N155" s="202" t="s">
        <v>79</v>
      </c>
      <c r="O155" s="380" t="s">
        <v>1965</v>
      </c>
      <c r="P155" s="382" t="s">
        <v>1972</v>
      </c>
      <c r="Q155" s="383" t="s">
        <v>1984</v>
      </c>
      <c r="R155" s="202" t="s">
        <v>1985</v>
      </c>
      <c r="S155" s="289">
        <v>2026</v>
      </c>
      <c r="T155" s="243">
        <v>46230</v>
      </c>
      <c r="U155" s="283">
        <v>46230</v>
      </c>
      <c r="V155" s="384">
        <v>46961</v>
      </c>
      <c r="W155" s="148">
        <f>DATEDIF(Base_CTRs_Finalizados[[#This Row],[INÍCIO VIGÊNCIA]],Base_CTRs_Finalizados[[#This Row],[FINAL 
VIGÊNCIA]],"Y")</f>
        <v>2</v>
      </c>
      <c r="X155" s="244" t="s">
        <v>1988</v>
      </c>
      <c r="Y155" s="146" t="s">
        <v>33</v>
      </c>
      <c r="Z155" s="146" t="s">
        <v>1986</v>
      </c>
      <c r="AA155" s="284" t="s">
        <v>1987</v>
      </c>
      <c r="AB155" s="236">
        <v>24</v>
      </c>
      <c r="AC155" s="275">
        <f t="shared" si="14"/>
        <v>95812.416666666672</v>
      </c>
      <c r="AD155" s="203">
        <v>2299498</v>
      </c>
      <c r="AE155" s="150" t="s">
        <v>14</v>
      </c>
      <c r="AF155" s="150" t="s">
        <v>9</v>
      </c>
      <c r="AG155" s="150"/>
      <c r="AH155" s="150"/>
      <c r="AI155" s="150"/>
      <c r="AJ155" s="237">
        <f>_xlfn.DAYS(Base_CTRs_Finalizados[[#This Row],[INÍCIO VIGÊNCIA]],Base_CTRs_Finalizados[[#This Row],[Data inicio processo]])</f>
        <v>221</v>
      </c>
      <c r="AK155" s="280" t="s">
        <v>1990</v>
      </c>
      <c r="AL155" s="280" t="s">
        <v>1198</v>
      </c>
      <c r="AM155" s="266"/>
    </row>
    <row r="156" spans="2:41" s="17" customFormat="1" ht="17.25" thickTop="1" thickBot="1" x14ac:dyDescent="0.3">
      <c r="B156" s="42"/>
      <c r="C156" s="242">
        <v>46093</v>
      </c>
      <c r="D156" s="242"/>
      <c r="E156" s="381" t="s">
        <v>90</v>
      </c>
      <c r="F156" s="136" t="s">
        <v>73</v>
      </c>
      <c r="G156" s="136" t="s">
        <v>1989</v>
      </c>
      <c r="H156" s="78" t="s">
        <v>5</v>
      </c>
      <c r="I156" s="78" t="s">
        <v>343</v>
      </c>
      <c r="J156" s="385" t="s">
        <v>461</v>
      </c>
      <c r="K156" s="385" t="s">
        <v>461</v>
      </c>
      <c r="L156" s="78" t="s">
        <v>1582</v>
      </c>
      <c r="M156" s="146" t="s">
        <v>20</v>
      </c>
      <c r="N156" s="202" t="s">
        <v>79</v>
      </c>
      <c r="O156" s="380" t="s">
        <v>1966</v>
      </c>
      <c r="P156" s="382" t="s">
        <v>1975</v>
      </c>
      <c r="Q156" s="383" t="s">
        <v>1992</v>
      </c>
      <c r="R156" s="202" t="s">
        <v>1993</v>
      </c>
      <c r="S156" s="289">
        <v>2026</v>
      </c>
      <c r="T156" s="243">
        <v>46248</v>
      </c>
      <c r="U156" s="283">
        <v>46253</v>
      </c>
      <c r="V156" s="384">
        <v>48079</v>
      </c>
      <c r="W156" s="148">
        <f>DATEDIF(Base_CTRs_Finalizados[[#This Row],[INÍCIO VIGÊNCIA]],Base_CTRs_Finalizados[[#This Row],[FINAL 
VIGÊNCIA]],"Y")</f>
        <v>5</v>
      </c>
      <c r="X156" s="244" t="s">
        <v>1994</v>
      </c>
      <c r="Y156" s="146" t="s">
        <v>1224</v>
      </c>
      <c r="Z156" s="146" t="s">
        <v>1995</v>
      </c>
      <c r="AA156" s="284" t="s">
        <v>1996</v>
      </c>
      <c r="AB156" s="236">
        <v>60</v>
      </c>
      <c r="AC156" s="275">
        <f t="shared" si="14"/>
        <v>156602.88233333331</v>
      </c>
      <c r="AD156" s="203">
        <v>9396172.9399999995</v>
      </c>
      <c r="AE156" s="150" t="s">
        <v>14</v>
      </c>
      <c r="AF156" s="150" t="s">
        <v>9</v>
      </c>
      <c r="AG156" s="150"/>
      <c r="AH156" s="150"/>
      <c r="AI156" s="150"/>
      <c r="AJ156" s="237">
        <f>_xlfn.DAYS(Base_CTRs_Finalizados[[#This Row],[INÍCIO VIGÊNCIA]],Base_CTRs_Finalizados[[#This Row],[Data inicio processo]])</f>
        <v>160</v>
      </c>
      <c r="AK156" s="280" t="s">
        <v>1991</v>
      </c>
      <c r="AL156" s="280" t="s">
        <v>1198</v>
      </c>
      <c r="AM156" s="266"/>
    </row>
    <row r="157" spans="2:41" s="17" customFormat="1" ht="17.25" thickTop="1" thickBot="1" x14ac:dyDescent="0.3">
      <c r="B157" s="42"/>
      <c r="C157" s="242">
        <v>46147</v>
      </c>
      <c r="D157" s="242"/>
      <c r="E157" s="381" t="s">
        <v>146</v>
      </c>
      <c r="F157" s="136" t="s">
        <v>52</v>
      </c>
      <c r="G157" s="136" t="s">
        <v>1997</v>
      </c>
      <c r="H157" s="78" t="s">
        <v>5</v>
      </c>
      <c r="I157" s="78" t="s">
        <v>343</v>
      </c>
      <c r="J157" s="385" t="s">
        <v>461</v>
      </c>
      <c r="K157" s="385" t="s">
        <v>461</v>
      </c>
      <c r="L157" s="78" t="s">
        <v>1582</v>
      </c>
      <c r="M157" s="146" t="s">
        <v>20</v>
      </c>
      <c r="N157" s="202" t="s">
        <v>79</v>
      </c>
      <c r="O157" s="380" t="s">
        <v>1967</v>
      </c>
      <c r="P157" s="382" t="s">
        <v>1976</v>
      </c>
      <c r="Q157" s="383" t="s">
        <v>1999</v>
      </c>
      <c r="R157" s="202" t="s">
        <v>2000</v>
      </c>
      <c r="S157" s="289">
        <v>2026</v>
      </c>
      <c r="T157" s="243">
        <v>46252</v>
      </c>
      <c r="U157" s="283">
        <v>46252</v>
      </c>
      <c r="V157" s="384">
        <v>48078</v>
      </c>
      <c r="W157" s="148">
        <f>DATEDIF(Base_CTRs_Finalizados[[#This Row],[INÍCIO VIGÊNCIA]],Base_CTRs_Finalizados[[#This Row],[FINAL 
VIGÊNCIA]],"Y")</f>
        <v>5</v>
      </c>
      <c r="X157" s="244" t="s">
        <v>2001</v>
      </c>
      <c r="Y157" s="146" t="s">
        <v>33</v>
      </c>
      <c r="Z157" s="146" t="s">
        <v>2002</v>
      </c>
      <c r="AA157" s="284" t="s">
        <v>2003</v>
      </c>
      <c r="AB157" s="236">
        <v>60</v>
      </c>
      <c r="AC157" s="275">
        <f t="shared" si="14"/>
        <v>58322.583333333336</v>
      </c>
      <c r="AD157" s="203">
        <v>3499355</v>
      </c>
      <c r="AE157" s="150" t="s">
        <v>14</v>
      </c>
      <c r="AF157" s="150" t="s">
        <v>9</v>
      </c>
      <c r="AG157" s="150"/>
      <c r="AH157" s="150"/>
      <c r="AI157" s="150"/>
      <c r="AJ157" s="237">
        <f>_xlfn.DAYS(Base_CTRs_Finalizados[[#This Row],[INÍCIO VIGÊNCIA]],Base_CTRs_Finalizados[[#This Row],[Data inicio processo]])</f>
        <v>105</v>
      </c>
      <c r="AK157" s="280" t="s">
        <v>1998</v>
      </c>
      <c r="AL157" s="280" t="s">
        <v>1198</v>
      </c>
      <c r="AM157" s="266"/>
    </row>
    <row r="158" spans="2:41" s="17" customFormat="1" ht="17.25" thickTop="1" thickBot="1" x14ac:dyDescent="0.3">
      <c r="B158" s="42"/>
      <c r="C158" s="242">
        <v>45966</v>
      </c>
      <c r="D158" s="285"/>
      <c r="E158" s="341" t="s">
        <v>92</v>
      </c>
      <c r="F158" s="269" t="s">
        <v>710</v>
      </c>
      <c r="G158" s="136" t="s">
        <v>2004</v>
      </c>
      <c r="H158" s="270" t="s">
        <v>1083</v>
      </c>
      <c r="I158" s="78" t="s">
        <v>343</v>
      </c>
      <c r="J158" s="385" t="s">
        <v>461</v>
      </c>
      <c r="K158" s="385" t="s">
        <v>461</v>
      </c>
      <c r="L158" s="78" t="s">
        <v>1582</v>
      </c>
      <c r="M158" s="146" t="s">
        <v>20</v>
      </c>
      <c r="N158" s="202" t="s">
        <v>79</v>
      </c>
      <c r="O158" s="380" t="s">
        <v>1968</v>
      </c>
      <c r="P158" s="382" t="s">
        <v>1974</v>
      </c>
      <c r="Q158" s="383" t="s">
        <v>2006</v>
      </c>
      <c r="R158" s="202" t="s">
        <v>2007</v>
      </c>
      <c r="S158" s="289">
        <v>2026</v>
      </c>
      <c r="T158" s="243">
        <v>46247</v>
      </c>
      <c r="U158" s="283">
        <v>46247</v>
      </c>
      <c r="V158" s="384">
        <v>48073</v>
      </c>
      <c r="W158" s="148">
        <f>DATEDIF(Base_CTRs_Finalizados[[#This Row],[INÍCIO VIGÊNCIA]],Base_CTRs_Finalizados[[#This Row],[FINAL 
VIGÊNCIA]],"Y")</f>
        <v>5</v>
      </c>
      <c r="X158" s="244" t="s">
        <v>2008</v>
      </c>
      <c r="Y158" s="146" t="s">
        <v>33</v>
      </c>
      <c r="Z158" s="146" t="s">
        <v>1846</v>
      </c>
      <c r="AA158" s="284" t="s">
        <v>1847</v>
      </c>
      <c r="AB158" s="236">
        <v>60</v>
      </c>
      <c r="AC158" s="275">
        <f t="shared" si="14"/>
        <v>38.75</v>
      </c>
      <c r="AD158" s="203">
        <v>2325</v>
      </c>
      <c r="AE158" s="150" t="s">
        <v>14</v>
      </c>
      <c r="AF158" s="150" t="s">
        <v>9</v>
      </c>
      <c r="AG158" s="150"/>
      <c r="AH158" s="150"/>
      <c r="AI158" s="150"/>
      <c r="AJ158" s="237">
        <f>_xlfn.DAYS(Base_CTRs_Finalizados[[#This Row],[INÍCIO VIGÊNCIA]],Base_CTRs_Finalizados[[#This Row],[Data inicio processo]])</f>
        <v>281</v>
      </c>
      <c r="AK158" s="280" t="s">
        <v>2005</v>
      </c>
      <c r="AL158" s="280" t="s">
        <v>1198</v>
      </c>
      <c r="AM158" s="266"/>
    </row>
    <row r="159" spans="2:41" s="17" customFormat="1" ht="17.25" thickTop="1" thickBot="1" x14ac:dyDescent="0.3">
      <c r="B159" s="42"/>
      <c r="C159" s="242">
        <v>45966</v>
      </c>
      <c r="D159" s="285" t="s">
        <v>2017</v>
      </c>
      <c r="E159" s="341" t="s">
        <v>92</v>
      </c>
      <c r="F159" s="269" t="s">
        <v>710</v>
      </c>
      <c r="G159" s="136" t="s">
        <v>2009</v>
      </c>
      <c r="H159" s="270" t="s">
        <v>1083</v>
      </c>
      <c r="I159" s="78" t="s">
        <v>343</v>
      </c>
      <c r="J159" s="385" t="s">
        <v>461</v>
      </c>
      <c r="K159" s="385" t="s">
        <v>461</v>
      </c>
      <c r="L159" s="78" t="s">
        <v>1582</v>
      </c>
      <c r="M159" s="146" t="s">
        <v>20</v>
      </c>
      <c r="N159" s="202" t="s">
        <v>79</v>
      </c>
      <c r="O159" s="380" t="s">
        <v>1969</v>
      </c>
      <c r="P159" s="382" t="s">
        <v>1977</v>
      </c>
      <c r="Q159" s="383" t="s">
        <v>2010</v>
      </c>
      <c r="R159" s="202" t="s">
        <v>2007</v>
      </c>
      <c r="S159" s="289">
        <v>2026</v>
      </c>
      <c r="T159" s="243">
        <v>46260</v>
      </c>
      <c r="U159" s="283">
        <v>46260</v>
      </c>
      <c r="V159" s="384">
        <v>48086</v>
      </c>
      <c r="W159" s="148">
        <f>DATEDIF(Base_CTRs_Finalizados[[#This Row],[INÍCIO VIGÊNCIA]],Base_CTRs_Finalizados[[#This Row],[FINAL 
VIGÊNCIA]],"Y")</f>
        <v>5</v>
      </c>
      <c r="X159" s="244" t="s">
        <v>2011</v>
      </c>
      <c r="Y159" s="146" t="s">
        <v>33</v>
      </c>
      <c r="Z159" s="146" t="s">
        <v>1846</v>
      </c>
      <c r="AA159" s="284" t="s">
        <v>1847</v>
      </c>
      <c r="AB159" s="236">
        <v>60</v>
      </c>
      <c r="AC159" s="275">
        <f t="shared" si="14"/>
        <v>697.66666666666663</v>
      </c>
      <c r="AD159" s="203">
        <v>41860</v>
      </c>
      <c r="AE159" s="150" t="s">
        <v>14</v>
      </c>
      <c r="AF159" s="150" t="s">
        <v>9</v>
      </c>
      <c r="AG159" s="150"/>
      <c r="AH159" s="150"/>
      <c r="AI159" s="150"/>
      <c r="AJ159" s="237">
        <f>_xlfn.DAYS(Base_CTRs_Finalizados[[#This Row],[INÍCIO VIGÊNCIA]],Base_CTRs_Finalizados[[#This Row],[Data inicio processo]])</f>
        <v>294</v>
      </c>
      <c r="AK159" s="280" t="s">
        <v>2005</v>
      </c>
      <c r="AL159" s="280" t="s">
        <v>1198</v>
      </c>
      <c r="AM159" s="266"/>
    </row>
    <row r="160" spans="2:41" s="86" customFormat="1" ht="17.25" thickTop="1" thickBot="1" x14ac:dyDescent="0.3">
      <c r="B160" s="85"/>
      <c r="C160" s="349"/>
      <c r="D160" s="349"/>
      <c r="E160" s="350"/>
      <c r="F160" s="351"/>
      <c r="G160" s="351"/>
      <c r="H160" s="352"/>
      <c r="I160" s="352"/>
      <c r="J160" s="352"/>
      <c r="K160" s="352"/>
      <c r="L160" s="352"/>
      <c r="M160" s="147"/>
      <c r="N160" s="344"/>
      <c r="O160" s="380"/>
      <c r="P160" s="354"/>
      <c r="Q160" s="355"/>
      <c r="R160" s="344"/>
      <c r="S160" s="356"/>
      <c r="T160" s="357"/>
      <c r="U160" s="358"/>
      <c r="V160" s="359"/>
      <c r="W160" s="209">
        <f>DATEDIF(Base_CTRs_Finalizados[[#This Row],[INÍCIO VIGÊNCIA]],Base_CTRs_Finalizados[[#This Row],[FINAL 
VIGÊNCIA]],"Y")</f>
        <v>0</v>
      </c>
      <c r="X160" s="360"/>
      <c r="Y160" s="147"/>
      <c r="Z160" s="147"/>
      <c r="AA160" s="361"/>
      <c r="AB160" s="362"/>
      <c r="AC160" s="275" t="e">
        <f t="shared" si="14"/>
        <v>#DIV/0!</v>
      </c>
      <c r="AD160" s="363"/>
      <c r="AE160" s="150"/>
      <c r="AF160" s="211"/>
      <c r="AG160" s="211"/>
      <c r="AH160" s="211"/>
      <c r="AI160" s="211"/>
      <c r="AJ160" s="333">
        <f>_xlfn.DAYS(Base_CTRs_Finalizados[[#This Row],[INÍCIO VIGÊNCIA]],Base_CTRs_Finalizados[[#This Row],[Data inicio processo]])</f>
        <v>0</v>
      </c>
      <c r="AK160" s="334"/>
      <c r="AL160" s="287"/>
      <c r="AM160" s="287"/>
    </row>
    <row r="161" spans="2:39" s="86" customFormat="1" ht="17.25" thickTop="1" thickBot="1" x14ac:dyDescent="0.3">
      <c r="B161" s="85"/>
      <c r="C161" s="349"/>
      <c r="D161" s="349"/>
      <c r="E161" s="350"/>
      <c r="F161" s="351"/>
      <c r="G161" s="351"/>
      <c r="H161" s="352"/>
      <c r="I161" s="352"/>
      <c r="J161" s="352"/>
      <c r="K161" s="352"/>
      <c r="L161" s="352"/>
      <c r="M161" s="147"/>
      <c r="N161" s="344"/>
      <c r="O161" s="380"/>
      <c r="P161" s="354"/>
      <c r="Q161" s="355"/>
      <c r="R161" s="344"/>
      <c r="S161" s="356"/>
      <c r="T161" s="357"/>
      <c r="U161" s="358"/>
      <c r="V161" s="359"/>
      <c r="W161" s="209">
        <f>DATEDIF(Base_CTRs_Finalizados[[#This Row],[INÍCIO VIGÊNCIA]],Base_CTRs_Finalizados[[#This Row],[FINAL 
VIGÊNCIA]],"Y")</f>
        <v>0</v>
      </c>
      <c r="X161" s="360"/>
      <c r="Y161" s="147"/>
      <c r="Z161" s="147"/>
      <c r="AA161" s="361"/>
      <c r="AB161" s="362"/>
      <c r="AC161" s="275" t="e">
        <f t="shared" si="14"/>
        <v>#DIV/0!</v>
      </c>
      <c r="AD161" s="363"/>
      <c r="AE161" s="150"/>
      <c r="AF161" s="211"/>
      <c r="AG161" s="211"/>
      <c r="AH161" s="211"/>
      <c r="AI161" s="211"/>
      <c r="AJ161" s="333">
        <f>_xlfn.DAYS(Base_CTRs_Finalizados[[#This Row],[INÍCIO VIGÊNCIA]],Base_CTRs_Finalizados[[#This Row],[Data inicio processo]])</f>
        <v>0</v>
      </c>
      <c r="AK161" s="334"/>
      <c r="AL161" s="287"/>
      <c r="AM161" s="287"/>
    </row>
    <row r="162" spans="2:39" s="86" customFormat="1" ht="17.25" thickTop="1" thickBot="1" x14ac:dyDescent="0.3">
      <c r="B162" s="85"/>
      <c r="C162" s="349"/>
      <c r="D162" s="349"/>
      <c r="E162" s="350"/>
      <c r="F162" s="351"/>
      <c r="G162" s="351"/>
      <c r="H162" s="352"/>
      <c r="I162" s="352"/>
      <c r="J162" s="352"/>
      <c r="K162" s="352"/>
      <c r="L162" s="352"/>
      <c r="M162" s="147"/>
      <c r="N162" s="344"/>
      <c r="O162" s="380"/>
      <c r="P162" s="354"/>
      <c r="Q162" s="355"/>
      <c r="R162" s="344"/>
      <c r="S162" s="356"/>
      <c r="T162" s="357"/>
      <c r="U162" s="358"/>
      <c r="V162" s="359"/>
      <c r="W162" s="209">
        <f>DATEDIF(Base_CTRs_Finalizados[[#This Row],[INÍCIO VIGÊNCIA]],Base_CTRs_Finalizados[[#This Row],[FINAL 
VIGÊNCIA]],"Y")</f>
        <v>0</v>
      </c>
      <c r="X162" s="360"/>
      <c r="Y162" s="147"/>
      <c r="Z162" s="147"/>
      <c r="AA162" s="361"/>
      <c r="AB162" s="362"/>
      <c r="AC162" s="275" t="e">
        <f t="shared" si="14"/>
        <v>#DIV/0!</v>
      </c>
      <c r="AD162" s="363"/>
      <c r="AE162" s="150"/>
      <c r="AF162" s="211"/>
      <c r="AG162" s="211"/>
      <c r="AH162" s="211"/>
      <c r="AI162" s="211"/>
      <c r="AJ162" s="333">
        <f>_xlfn.DAYS(Base_CTRs_Finalizados[[#This Row],[INÍCIO VIGÊNCIA]],Base_CTRs_Finalizados[[#This Row],[Data inicio processo]])</f>
        <v>0</v>
      </c>
      <c r="AK162" s="334"/>
      <c r="AL162" s="287"/>
      <c r="AM162" s="287"/>
    </row>
    <row r="163" spans="2:39" s="86" customFormat="1" ht="17.25" thickTop="1" thickBot="1" x14ac:dyDescent="0.3">
      <c r="B163" s="85"/>
      <c r="C163" s="349"/>
      <c r="D163" s="349"/>
      <c r="E163" s="350"/>
      <c r="F163" s="351"/>
      <c r="G163" s="351"/>
      <c r="H163" s="352"/>
      <c r="I163" s="352"/>
      <c r="J163" s="352"/>
      <c r="K163" s="352"/>
      <c r="L163" s="352"/>
      <c r="M163" s="147"/>
      <c r="N163" s="344"/>
      <c r="O163" s="369" t="s">
        <v>1875</v>
      </c>
      <c r="P163" s="354" t="s">
        <v>1971</v>
      </c>
      <c r="Q163" s="355"/>
      <c r="R163" s="344"/>
      <c r="S163" s="356"/>
      <c r="T163" s="357"/>
      <c r="U163" s="358"/>
      <c r="V163" s="359"/>
      <c r="W163" s="209">
        <f>DATEDIF(Base_CTRs_Finalizados[[#This Row],[INÍCIO VIGÊNCIA]],Base_CTRs_Finalizados[[#This Row],[FINAL 
VIGÊNCIA]],"Y")</f>
        <v>0</v>
      </c>
      <c r="X163" s="360"/>
      <c r="Y163" s="147"/>
      <c r="Z163" s="147"/>
      <c r="AA163" s="361"/>
      <c r="AB163" s="362"/>
      <c r="AC163" s="275" t="e">
        <f t="shared" si="14"/>
        <v>#DIV/0!</v>
      </c>
      <c r="AD163" s="363"/>
      <c r="AE163" s="150"/>
      <c r="AF163" s="211"/>
      <c r="AG163" s="211"/>
      <c r="AH163" s="211"/>
      <c r="AI163" s="211"/>
      <c r="AJ163" s="333">
        <f>_xlfn.DAYS(Base_CTRs_Finalizados[[#This Row],[INÍCIO VIGÊNCIA]],Base_CTRs_Finalizados[[#This Row],[Data inicio processo]])</f>
        <v>0</v>
      </c>
      <c r="AK163" s="334"/>
      <c r="AL163" s="287"/>
      <c r="AM163" s="287"/>
    </row>
    <row r="164" spans="2:39" s="86" customFormat="1" ht="17.25" thickTop="1" thickBot="1" x14ac:dyDescent="0.3">
      <c r="B164" s="85"/>
      <c r="C164" s="364"/>
      <c r="D164" s="364"/>
      <c r="E164" s="365"/>
      <c r="F164" s="366"/>
      <c r="G164" s="366"/>
      <c r="H164" s="367"/>
      <c r="I164" s="352"/>
      <c r="J164" s="367"/>
      <c r="K164" s="367"/>
      <c r="L164" s="367"/>
      <c r="M164" s="147"/>
      <c r="N164" s="368"/>
      <c r="O164" s="353" t="s">
        <v>1873</v>
      </c>
      <c r="P164" s="354" t="s">
        <v>1971</v>
      </c>
      <c r="Q164" s="370"/>
      <c r="R164" s="368"/>
      <c r="S164" s="356"/>
      <c r="T164" s="357"/>
      <c r="U164" s="371"/>
      <c r="V164" s="372"/>
      <c r="W164" s="373">
        <f>DATEDIF(Base_CTRs_Finalizados[[#This Row],[INÍCIO VIGÊNCIA]],Base_CTRs_Finalizados[[#This Row],[FINAL 
VIGÊNCIA]],"Y")</f>
        <v>0</v>
      </c>
      <c r="X164" s="374"/>
      <c r="Y164" s="375"/>
      <c r="Z164" s="375"/>
      <c r="AA164" s="376"/>
      <c r="AB164" s="377"/>
      <c r="AC164" s="275" t="e">
        <f t="shared" si="14"/>
        <v>#DIV/0!</v>
      </c>
      <c r="AD164" s="378"/>
      <c r="AE164" s="150"/>
      <c r="AF164" s="211"/>
      <c r="AG164" s="335"/>
      <c r="AH164" s="335"/>
      <c r="AI164" s="335"/>
      <c r="AJ164" s="379">
        <f>_xlfn.DAYS(Base_CTRs_Finalizados[[#This Row],[INÍCIO VIGÊNCIA]],Base_CTRs_Finalizados[[#This Row],[Data inicio processo]])</f>
        <v>0</v>
      </c>
      <c r="AK164" s="334"/>
      <c r="AL164" s="334"/>
      <c r="AM164" s="334"/>
    </row>
    <row r="165" spans="2:39" s="86" customFormat="1" ht="17.25" thickTop="1" thickBot="1" x14ac:dyDescent="0.3">
      <c r="B165" s="85"/>
      <c r="C165" s="349"/>
      <c r="D165" s="349"/>
      <c r="E165" s="350"/>
      <c r="F165" s="351"/>
      <c r="G165" s="351"/>
      <c r="H165" s="352"/>
      <c r="I165" s="352"/>
      <c r="J165" s="352"/>
      <c r="K165" s="352"/>
      <c r="L165" s="352"/>
      <c r="M165" s="147"/>
      <c r="N165" s="344"/>
      <c r="O165" s="353" t="s">
        <v>1970</v>
      </c>
      <c r="P165" s="354" t="s">
        <v>1971</v>
      </c>
      <c r="Q165" s="355"/>
      <c r="R165" s="344"/>
      <c r="S165" s="356"/>
      <c r="T165" s="357"/>
      <c r="U165" s="358"/>
      <c r="V165" s="359"/>
      <c r="W165" s="209">
        <f>DATEDIF(Base_CTRs_Finalizados[[#This Row],[INÍCIO VIGÊNCIA]],Base_CTRs_Finalizados[[#This Row],[FINAL 
VIGÊNCIA]],"Y")</f>
        <v>0</v>
      </c>
      <c r="X165" s="360"/>
      <c r="Y165" s="147"/>
      <c r="Z165" s="147"/>
      <c r="AA165" s="361"/>
      <c r="AB165" s="362"/>
      <c r="AC165" s="275" t="e">
        <f t="shared" si="14"/>
        <v>#DIV/0!</v>
      </c>
      <c r="AD165" s="363"/>
      <c r="AE165" s="150"/>
      <c r="AF165" s="211"/>
      <c r="AG165" s="211"/>
      <c r="AH165" s="211"/>
      <c r="AI165" s="211"/>
      <c r="AJ165" s="333">
        <f>_xlfn.DAYS(Base_CTRs_Finalizados[[#This Row],[INÍCIO VIGÊNCIA]],Base_CTRs_Finalizados[[#This Row],[Data inicio processo]])</f>
        <v>0</v>
      </c>
      <c r="AK165" s="334"/>
      <c r="AL165" s="287"/>
      <c r="AM165" s="287"/>
    </row>
    <row r="166" spans="2:39" ht="16.5" thickTop="1" x14ac:dyDescent="0.25">
      <c r="AD166"/>
    </row>
  </sheetData>
  <mergeCells count="1">
    <mergeCell ref="AJ3:AL3"/>
  </mergeCells>
  <phoneticPr fontId="33" type="noConversion"/>
  <dataValidations count="4">
    <dataValidation allowBlank="1" showInputMessage="1" showErrorMessage="1" promptTitle="Nº Contrato" prompt="Não informar o ano, exceto se for empenho._x000a_Ex: _x000a__x000a_" sqref="S4:T4 AB4:AD4" xr:uid="{00000000-0002-0000-0000-000000000000}"/>
    <dataValidation allowBlank="1" showInputMessage="1" showErrorMessage="1" promptTitle="Nº Contrato" prompt="Não informar o ano, exceto se for empenho._x000a_Ex: CTR-00070_x000a__x000a_" sqref="O4" xr:uid="{00000000-0002-0000-0000-000001000000}"/>
    <dataValidation allowBlank="1" showInputMessage="1" showErrorMessage="1" prompt="Art.48, L.13.303/16" sqref="AE4" xr:uid="{00000000-0002-0000-0000-000002000000}"/>
    <dataValidation allowBlank="1" showInputMessage="1" showErrorMessage="1" prompt="Para o Pregão, utilizar o número sequencial do Certame. _x000a_Para as demais modalidades, utilizar o número do Termo de Aprovação gerado no SIGA-DOC." sqref="I4:L4" xr:uid="{00000000-0002-0000-0000-000003000000}"/>
  </dataValidations>
  <hyperlinks>
    <hyperlink ref="P137" r:id="rId1" xr:uid="{FA7D738C-9115-4F2B-8999-A1A3D1657833}"/>
    <hyperlink ref="P138" r:id="rId2" xr:uid="{9DB79DA4-B9D9-4535-8FAB-417770F089C5}"/>
    <hyperlink ref="P139" r:id="rId3" xr:uid="{EE1DA78B-D67B-471C-A720-D00DF2C84833}"/>
    <hyperlink ref="P140" r:id="rId4" xr:uid="{384035E4-C120-44E7-AE65-EE4F5D3A2463}"/>
    <hyperlink ref="P141" r:id="rId5" xr:uid="{A37C1EC5-D633-480D-B417-2A2A339FCAFB}"/>
    <hyperlink ref="P142" r:id="rId6" xr:uid="{02A58DEE-CB12-4BD4-A1C6-AE9F8C5CE56D}"/>
    <hyperlink ref="P95" r:id="rId7" xr:uid="{959F0B2D-88E6-441A-A83D-D094B758DF07}"/>
    <hyperlink ref="P96" r:id="rId8" xr:uid="{283C2C5F-A4A0-4B1F-BF12-6CE0E7EFB047}"/>
    <hyperlink ref="P97" r:id="rId9" xr:uid="{D5E84F66-4941-4D11-BF0C-4E6B6DB3AF35}"/>
    <hyperlink ref="P98" r:id="rId10" xr:uid="{58D4760A-4E0C-4E65-B8FD-5E311EC9617D}"/>
    <hyperlink ref="P100" r:id="rId11" xr:uid="{D260DCAB-0E44-4EC4-917D-3135884690EA}"/>
    <hyperlink ref="P101" r:id="rId12" xr:uid="{DD41151B-D14D-49B0-AC8D-17AEC28DEBD1}"/>
    <hyperlink ref="P102" r:id="rId13" xr:uid="{6FE64AE1-30B1-40AF-AA79-3F2A9BE42666}"/>
    <hyperlink ref="P103" r:id="rId14" xr:uid="{F9887FB6-6ABE-40FC-B268-363E0B03F9C2}"/>
    <hyperlink ref="P104" r:id="rId15" xr:uid="{412C56DC-9089-4D38-BE7E-B84C853BD270}"/>
    <hyperlink ref="P105" r:id="rId16" xr:uid="{80B100D9-E7B4-49CB-84EA-D53BEE2EF11B}"/>
    <hyperlink ref="P106" r:id="rId17" xr:uid="{F1432D80-FB19-45F3-B477-23B6BA0EC4A3}"/>
    <hyperlink ref="P107" r:id="rId18" xr:uid="{154208D0-7025-4390-A55D-22701A1627AB}"/>
    <hyperlink ref="P108" r:id="rId19" xr:uid="{666D24E8-AD71-4DA4-83E9-38AAF71B259D}"/>
    <hyperlink ref="P109" r:id="rId20" xr:uid="{CA3B8266-1EFE-4A4E-B0FC-16B76F7B46CB}"/>
    <hyperlink ref="P110" r:id="rId21" xr:uid="{2329C84D-478B-4B86-81F8-2267E383B71C}"/>
    <hyperlink ref="P111" r:id="rId22" xr:uid="{C2495D5D-E97A-4A5F-A8AB-53ED48BCEC79}"/>
    <hyperlink ref="P112" r:id="rId23" xr:uid="{E4DFC390-FC20-4411-9BC4-3246A74A0EBC}"/>
    <hyperlink ref="P113" r:id="rId24" xr:uid="{B53F35E0-6128-45F2-BCE3-7F8F47A4A81D}"/>
    <hyperlink ref="P114" r:id="rId25" xr:uid="{FA0BAC14-1A44-496D-8F65-A9F98AF25C28}"/>
    <hyperlink ref="P115" r:id="rId26" xr:uid="{6D339697-1D42-4F48-86AB-D03C80DAB06E}"/>
    <hyperlink ref="P116" r:id="rId27" xr:uid="{36F6C572-6FB3-4C10-AEA9-C79F6BB20DAD}"/>
    <hyperlink ref="P117" r:id="rId28" xr:uid="{6750FDC6-3F11-40E9-9FC6-9B9799B757D2}"/>
    <hyperlink ref="P119" r:id="rId29" xr:uid="{DC1E3154-C91D-4143-A5CB-E24EABF4E4AB}"/>
    <hyperlink ref="P118" r:id="rId30" xr:uid="{2B5D0F4C-6FE5-4F4F-8B2D-F88730035F80}"/>
    <hyperlink ref="P120" r:id="rId31" xr:uid="{293EFA72-1D54-4A78-B401-4E98EB7E2971}"/>
    <hyperlink ref="P121" r:id="rId32" xr:uid="{CB13DC20-135A-47C3-8A79-0A03D9978CF2}"/>
    <hyperlink ref="P122" r:id="rId33" xr:uid="{B015B358-2DEB-47EF-AEBF-05BD49101C18}"/>
    <hyperlink ref="P123" r:id="rId34" xr:uid="{A1758AFA-8063-48C5-B984-B3FD4CB6F9E9}"/>
    <hyperlink ref="P124" r:id="rId35" xr:uid="{3E8CDEC4-CB12-4A5D-BF65-474FAD1A91D6}"/>
    <hyperlink ref="P125" r:id="rId36" xr:uid="{254E3492-CA00-40EF-AD85-E4E7E290BCFC}"/>
    <hyperlink ref="P126" r:id="rId37" xr:uid="{C2CC138C-0037-4909-9024-A7A8190FD8CF}"/>
    <hyperlink ref="P127" r:id="rId38" xr:uid="{8333D6C6-BD04-4190-978B-805F94C4428B}"/>
    <hyperlink ref="P128" r:id="rId39" xr:uid="{B0F5CE51-8BCA-49C9-97F9-D142667962A9}"/>
    <hyperlink ref="P129" r:id="rId40" xr:uid="{7F1EA78C-04F5-404B-96BF-2F9A450EC1BB}"/>
    <hyperlink ref="P130" r:id="rId41" xr:uid="{727CF7F5-79E7-4EC9-B666-4D6A138ADFCA}"/>
    <hyperlink ref="P131" r:id="rId42" xr:uid="{1ABCD300-EE76-4416-B747-4D93F5793AF9}"/>
    <hyperlink ref="P132" r:id="rId43" xr:uid="{E314FE5E-FB8E-4E02-9ADC-5A23501472DA}"/>
    <hyperlink ref="P133" r:id="rId44" xr:uid="{EE653FA8-4887-43BB-918E-70720793F8C5}"/>
    <hyperlink ref="P134" r:id="rId45" xr:uid="{26D507EE-5BA8-4396-A259-B88DEE5A3619}"/>
    <hyperlink ref="P135" r:id="rId46" xr:uid="{D1936C4A-DD72-45B6-AE27-E049258F6558}"/>
    <hyperlink ref="P136" r:id="rId47" xr:uid="{002D9B73-957F-4F3D-A8D8-FA32BBEBC74C}"/>
    <hyperlink ref="P36" r:id="rId48" xr:uid="{00B02C09-9C59-4C8F-ADA5-EEA497E4D057}"/>
    <hyperlink ref="P39" r:id="rId49" xr:uid="{8FDF54EA-BD19-4AB5-967A-58CE0D8DCEF2}"/>
    <hyperlink ref="P44" r:id="rId50" xr:uid="{801CD0F7-B994-4D17-B4E3-C599ADEC72DD}"/>
    <hyperlink ref="P40" r:id="rId51" xr:uid="{65100A70-04C3-44B1-BB27-9558F6DA3E34}"/>
    <hyperlink ref="P14" r:id="rId52" xr:uid="{6F670966-A7CF-49B7-956B-072F7AE13166}"/>
    <hyperlink ref="P41" r:id="rId53" xr:uid="{8938F08F-268D-4B6D-A440-226DE3483E43}"/>
    <hyperlink ref="P7" r:id="rId54" xr:uid="{75C37882-3B9A-4785-AF2B-1669C9D6F149}"/>
    <hyperlink ref="P8" r:id="rId55" xr:uid="{C8A2FE44-5FDA-42BF-93ED-5D904812AA96}"/>
    <hyperlink ref="P15" r:id="rId56" xr:uid="{21E4D959-0A8D-41C3-A4D1-913537F2EFEC}"/>
    <hyperlink ref="P16" r:id="rId57" xr:uid="{B7DE3CA4-3E13-4907-945C-8EEBE1481F0A}"/>
    <hyperlink ref="P10" r:id="rId58" xr:uid="{3504CD6B-075B-4E27-8AB6-6489AD4379CF}"/>
    <hyperlink ref="P6" r:id="rId59" xr:uid="{681E8C4B-3939-4659-8333-E358EF0031FC}"/>
    <hyperlink ref="P11" r:id="rId60" xr:uid="{43B9A689-F66D-4743-8657-A8964B4A484F}"/>
    <hyperlink ref="P9" r:id="rId61" xr:uid="{820229BF-DFA5-4306-8D6E-28C2966EE300}"/>
    <hyperlink ref="P54" r:id="rId62" xr:uid="{C57C2E85-FD0A-48C4-855D-3D3A59532D08}"/>
    <hyperlink ref="P12" r:id="rId63" xr:uid="{F03A1BCB-E018-49BF-ADFD-9E80E7646DEB}"/>
    <hyperlink ref="P13" r:id="rId64" xr:uid="{122A7003-D3C0-4E53-82FC-83B48F6A99F6}"/>
    <hyperlink ref="P42" r:id="rId65" xr:uid="{85E2A412-0F68-4CD9-AF17-79C7072EC034}"/>
    <hyperlink ref="P43" r:id="rId66" xr:uid="{3C601EF5-AA1F-4AD5-BD81-D981E14B9670}"/>
    <hyperlink ref="P46" r:id="rId67" xr:uid="{CA590A3A-326E-4795-AC99-C9D6E4A5F0B6}"/>
    <hyperlink ref="P48" r:id="rId68" xr:uid="{D41AA185-C437-4523-8FF0-2A648E8F171C}"/>
    <hyperlink ref="P49" r:id="rId69" xr:uid="{F763A078-283B-4DA0-A51F-8CCA4099315E}"/>
    <hyperlink ref="P51" r:id="rId70" xr:uid="{9C708C84-F3B8-48E1-B017-958750DECFE2}"/>
    <hyperlink ref="P47" r:id="rId71" xr:uid="{9B2D5790-1064-4D46-AA8B-885D8B3A6363}"/>
    <hyperlink ref="P50" r:id="rId72" xr:uid="{B2A654E4-5C97-4A7C-8DAD-D7E0AE63569B}"/>
    <hyperlink ref="P52" r:id="rId73" xr:uid="{694DDDB2-C2B8-4AB5-9422-87363132DF4E}"/>
    <hyperlink ref="P53" r:id="rId74" xr:uid="{6347C039-4F4B-4F9C-B578-9703138F571B}"/>
    <hyperlink ref="P70" r:id="rId75" xr:uid="{39FF7AA1-363B-4930-B75D-585329737D41}"/>
    <hyperlink ref="P55" r:id="rId76" xr:uid="{7DD1DB3E-2E4A-4882-9C1D-1B2DC5605CC5}"/>
    <hyperlink ref="P56" r:id="rId77" xr:uid="{C739B2E0-5A9E-4197-A356-32D6D294DB0F}"/>
    <hyperlink ref="P58" r:id="rId78" xr:uid="{2FE25F54-92F0-4DD3-AB4B-8D69653B1AB4}"/>
    <hyperlink ref="P23" r:id="rId79" xr:uid="{9F28781C-D6DC-4498-B5A5-1A9FB50B284A}"/>
    <hyperlink ref="P18" r:id="rId80" xr:uid="{F0A56C57-FBD2-4858-8861-1EF1F41A81A2}"/>
    <hyperlink ref="P21" r:id="rId81" xr:uid="{55B87EE9-72BD-4CE3-B69C-645572561D87}"/>
    <hyperlink ref="P25" r:id="rId82" xr:uid="{8ABF7741-B773-4454-A178-14EAA90E8095}"/>
    <hyperlink ref="P59" r:id="rId83" xr:uid="{C191D84E-2335-449F-94AB-9909A5276388}"/>
    <hyperlink ref="P27" r:id="rId84" xr:uid="{F5DB9041-2B1E-415B-A85B-2C6CE24F566B}"/>
    <hyperlink ref="P30" r:id="rId85" xr:uid="{BABA4228-A1AD-44AC-A1D1-1A73C7D900BB}"/>
    <hyperlink ref="P26" r:id="rId86" xr:uid="{58FE88E2-9C7B-461B-8262-6A1976D250C0}"/>
    <hyperlink ref="P29" r:id="rId87" xr:uid="{2D982977-B569-4D1A-A4E2-B3D4155EF2AD}"/>
    <hyperlink ref="P28" r:id="rId88" xr:uid="{8BC13BF3-DB6A-4D28-A956-393B39F6DFE3}"/>
    <hyperlink ref="P31" r:id="rId89" xr:uid="{72CC24EA-415B-40E8-B417-4D0256895348}"/>
    <hyperlink ref="P17" r:id="rId90" xr:uid="{14E5543C-9106-48C5-96BB-4C2FC4BDAC57}"/>
    <hyperlink ref="P22" r:id="rId91" xr:uid="{B28B1253-8899-4F89-BDDD-61213F8CEFC0}"/>
    <hyperlink ref="P45" r:id="rId92" xr:uid="{11F9C66C-617E-4A65-A591-2C9B38E3BE6D}"/>
    <hyperlink ref="P60" r:id="rId93" xr:uid="{8D8606A0-01A6-4204-8621-DCAD6EF3ECC3}"/>
    <hyperlink ref="P61" r:id="rId94" xr:uid="{FC2EAAF1-BCA0-46A8-8ECF-BA5443EC794F}"/>
    <hyperlink ref="P62" r:id="rId95" xr:uid="{9C510791-E330-435B-8AEE-7B1569827136}"/>
    <hyperlink ref="P63" r:id="rId96" xr:uid="{AB97817E-4624-4ABE-B982-3F2BEC9473AE}"/>
    <hyperlink ref="P64" r:id="rId97" xr:uid="{7BF4AFF1-E324-4B6C-8E4F-483520B159E1}"/>
    <hyperlink ref="P65" r:id="rId98" xr:uid="{9276A498-21CA-4E8D-9DEA-D1AD45EEBB83}"/>
    <hyperlink ref="P66" r:id="rId99" xr:uid="{871547DB-75E6-4D06-8533-40F29DA07D46}"/>
    <hyperlink ref="P67" r:id="rId100" xr:uid="{8C961746-AF2F-43CC-9B8A-C68400F83CDA}"/>
    <hyperlink ref="P32" r:id="rId101" xr:uid="{D3BC07D6-4EDB-4834-9CBE-80B12E9811DC}"/>
    <hyperlink ref="P33" r:id="rId102" xr:uid="{F5094398-9D51-4672-8988-C2E16FE37676}"/>
    <hyperlink ref="P68" r:id="rId103" xr:uid="{25185F4E-B803-4D72-8CC0-C13C8AB341A4}"/>
    <hyperlink ref="P34" r:id="rId104" xr:uid="{40FC28FF-7B6E-41E3-8CE8-A85A116A2031}"/>
    <hyperlink ref="P35" r:id="rId105" xr:uid="{F8314BF9-C6A0-4D95-8253-81E1F02938F3}"/>
    <hyperlink ref="P69" r:id="rId106" xr:uid="{91DC84AD-87B3-45BB-804A-1B18B68E2D33}"/>
    <hyperlink ref="P72" r:id="rId107" xr:uid="{37E99F21-E099-461F-B094-273E4BADE400}"/>
    <hyperlink ref="P73" r:id="rId108" xr:uid="{5ECE5223-22C5-4BD3-AE3D-1E32E7FE4C9C}"/>
    <hyperlink ref="P74" r:id="rId109" xr:uid="{A1F3A8F2-54C7-4D36-9176-420011D24E9D}"/>
    <hyperlink ref="P75" r:id="rId110" xr:uid="{5E46609D-D326-4857-A294-D1A6784C782B}"/>
    <hyperlink ref="P76" r:id="rId111" xr:uid="{6000E06E-0962-465C-8821-84414D4F59E6}"/>
    <hyperlink ref="P77" r:id="rId112" xr:uid="{AEE469BF-53CF-4469-B5BA-18C108E1E8F9}"/>
    <hyperlink ref="P78" r:id="rId113" xr:uid="{4AB6D1BB-1B1C-4C8D-84BB-524B0A827B88}"/>
    <hyperlink ref="P79" r:id="rId114" xr:uid="{1BB380A7-D18F-4FBB-BD40-96A92A7D347F}"/>
    <hyperlink ref="P80" r:id="rId115" xr:uid="{AC8B665F-FF33-425D-8099-668373F526CF}"/>
    <hyperlink ref="P81" r:id="rId116" xr:uid="{845D6E79-550C-41FB-A646-9177F4EE8C9E}"/>
    <hyperlink ref="P82" r:id="rId117" xr:uid="{9E8F738D-5237-4469-843E-74B262826E50}"/>
    <hyperlink ref="P83" r:id="rId118" xr:uid="{2B4FAD9D-7F5B-4C4D-89D0-2F024399AF57}"/>
    <hyperlink ref="P84" r:id="rId119" xr:uid="{DEA17EF8-2C9F-4EEF-B8D1-50A9F64BCC2E}"/>
    <hyperlink ref="P85" r:id="rId120" xr:uid="{65785B24-37DD-45F8-A35F-FA69A4B729EF}"/>
    <hyperlink ref="P86" r:id="rId121" xr:uid="{D12DA41A-BAD5-4343-8315-A71D92BAC399}"/>
    <hyperlink ref="P87" r:id="rId122" xr:uid="{535FEB50-9AA1-404D-9B92-5DB39F55A2ED}"/>
    <hyperlink ref="P88" r:id="rId123" xr:uid="{8810EE5F-CE8E-4BFA-BACC-8D11FBD4B8BD}"/>
    <hyperlink ref="P89" r:id="rId124" xr:uid="{12742395-23EA-459C-A563-8B3434C07428}"/>
    <hyperlink ref="P90" r:id="rId125" xr:uid="{0E138CE0-C3FC-4CE2-BF1A-A04F4CBFD2E0}"/>
    <hyperlink ref="P91" r:id="rId126" xr:uid="{74190C38-D495-443D-8961-934A98416A89}"/>
    <hyperlink ref="P92" r:id="rId127" xr:uid="{6C7159D3-B887-4997-925D-C8B3077535CA}"/>
    <hyperlink ref="P93" r:id="rId128" xr:uid="{BA27C11C-2A6F-4F0A-97DD-BDC13819FCAE}"/>
    <hyperlink ref="P94" r:id="rId129" xr:uid="{49E1AA43-F62A-4DB3-9AFA-3C0120CF7BA3}"/>
    <hyperlink ref="P99" r:id="rId130" xr:uid="{26781C1B-5FA6-4189-A214-A6CE1C554E0C}"/>
    <hyperlink ref="P57" r:id="rId131" xr:uid="{3EE44B11-7A72-4557-8315-4747A9C0394C}"/>
    <hyperlink ref="P24" r:id="rId132" xr:uid="{D429C48F-7144-4B9F-82D5-346A2EA583D4}"/>
    <hyperlink ref="P147" r:id="rId133" xr:uid="{4CE85F58-50E0-49E2-85B2-7C7D7B2F9676}"/>
    <hyperlink ref="P148" r:id="rId134" xr:uid="{907A5A9F-2191-44C8-A517-B1D238268B6A}"/>
    <hyperlink ref="P149" r:id="rId135" xr:uid="{B95D4647-ACB7-4320-ADA1-7372880473F7}"/>
    <hyperlink ref="P150" r:id="rId136" xr:uid="{362CD77C-306C-4375-BF7A-5B1BF29174B8}"/>
    <hyperlink ref="P152" r:id="rId137" xr:uid="{ED7561F6-ECB3-46F1-98E0-F30F2783E254}"/>
    <hyperlink ref="P153" r:id="rId138" xr:uid="{8A081E02-5F41-435F-B88A-149280EDAD5C}"/>
    <hyperlink ref="P151" r:id="rId139" xr:uid="{3821F738-90D5-4E49-BF72-7FD0D02192B2}"/>
    <hyperlink ref="P145" r:id="rId140" xr:uid="{E153B1A0-FC2F-4DE7-AAF9-2B3BEA0F585F}"/>
    <hyperlink ref="P144" r:id="rId141" xr:uid="{8727969A-E21F-4F6B-B0C5-256C010637A3}"/>
    <hyperlink ref="P143" r:id="rId142" xr:uid="{280377DA-6D8F-404E-926A-6776E697F546}"/>
    <hyperlink ref="P146" r:id="rId143" xr:uid="{B202C4A6-AB1B-4D42-AD97-311B43B93187}"/>
    <hyperlink ref="P155" r:id="rId144" xr:uid="{EF55535E-6AA8-42C6-9C7E-582AF2624FAF}"/>
    <hyperlink ref="P154" r:id="rId145" xr:uid="{54191427-D3E5-4258-9435-9755A7ADD3B7}"/>
    <hyperlink ref="P158" r:id="rId146" xr:uid="{4FCA3483-3F1A-4706-8088-178A62CAEFE5}"/>
    <hyperlink ref="P156" r:id="rId147" xr:uid="{25117C1E-E33A-4184-8A0A-FAD0E1AA60F5}"/>
    <hyperlink ref="P157" r:id="rId148" xr:uid="{ED49FFF0-AFD3-40B0-8135-8BF9BCC4DBCE}"/>
    <hyperlink ref="P159" r:id="rId149" xr:uid="{9DB0AC1A-CAFD-43E0-AC65-C1EC39057949}"/>
  </hyperlinks>
  <pageMargins left="0.511811024" right="0.511811024" top="0.78740157499999996" bottom="0.78740157499999996" header="0.31496062000000002" footer="0.31496062000000002"/>
  <pageSetup paperSize="9" orientation="portrait" r:id="rId150"/>
  <legacyDrawing r:id="rId151"/>
  <tableParts count="1">
    <tablePart r:id="rId152"/>
  </tablePart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4000000}">
          <x14:formula1>
            <xm:f>Lista!$D$4:$D$9</xm:f>
          </x14:formula1>
          <xm:sqref>M5:M125 M127:M165</xm:sqref>
        </x14:dataValidation>
        <x14:dataValidation type="list" allowBlank="1" showInputMessage="1" showErrorMessage="1" xr:uid="{00000000-0002-0000-0000-000006000000}">
          <x14:formula1>
            <xm:f>Lista!$J$4:$J$7</xm:f>
          </x14:formula1>
          <xm:sqref>AE5:AE143 AE152 AE154:AE165 AE146</xm:sqref>
        </x14:dataValidation>
        <x14:dataValidation type="list" allowBlank="1" showInputMessage="1" showErrorMessage="1" xr:uid="{00000000-0002-0000-0000-000005000000}">
          <x14:formula1>
            <xm:f>Lista!$B$4:$B$8</xm:f>
          </x14:formula1>
          <xm:sqref>N5:N165</xm:sqref>
        </x14:dataValidation>
        <x14:dataValidation type="list" allowBlank="1" showInputMessage="1" showErrorMessage="1" xr:uid="{00000000-0002-0000-0000-000007000000}">
          <x14:formula1>
            <xm:f>Lista!$F$4:$F$9</xm:f>
          </x14:formula1>
          <xm:sqref>H5:H165</xm:sqref>
        </x14:dataValidation>
        <x14:dataValidation type="list" allowBlank="1" showInputMessage="1" showErrorMessage="1" xr:uid="{00000000-0002-0000-0000-000008000000}">
          <x14:formula1>
            <xm:f>Lista!$L$4:$L$11</xm:f>
          </x14:formula1>
          <xm:sqref>Y5:Y165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173"/>
  <sheetViews>
    <sheetView workbookViewId="0">
      <selection activeCell="F10" sqref="F10"/>
    </sheetView>
  </sheetViews>
  <sheetFormatPr defaultRowHeight="15" x14ac:dyDescent="0.25"/>
  <cols>
    <col min="3" max="3" width="20.85546875" bestFit="1" customWidth="1"/>
    <col min="7" max="7" width="18.85546875" customWidth="1"/>
  </cols>
  <sheetData>
    <row r="2" spans="2:7" x14ac:dyDescent="0.25">
      <c r="B2" t="s">
        <v>451</v>
      </c>
      <c r="C2" t="s">
        <v>452</v>
      </c>
    </row>
    <row r="3" spans="2:7" x14ac:dyDescent="0.25">
      <c r="B3" t="s">
        <v>73</v>
      </c>
      <c r="C3" t="s">
        <v>428</v>
      </c>
      <c r="G3" s="52" t="s">
        <v>426</v>
      </c>
    </row>
    <row r="4" spans="2:7" x14ac:dyDescent="0.25">
      <c r="B4" t="s">
        <v>429</v>
      </c>
      <c r="C4" t="s">
        <v>433</v>
      </c>
      <c r="G4" s="75" t="s">
        <v>444</v>
      </c>
    </row>
    <row r="5" spans="2:7" x14ac:dyDescent="0.25">
      <c r="B5" t="s">
        <v>73</v>
      </c>
      <c r="C5" t="s">
        <v>428</v>
      </c>
      <c r="G5" s="75" t="s">
        <v>103</v>
      </c>
    </row>
    <row r="6" spans="2:7" x14ac:dyDescent="0.25">
      <c r="B6" t="s">
        <v>49</v>
      </c>
      <c r="C6" t="s">
        <v>430</v>
      </c>
      <c r="G6" s="75" t="s">
        <v>453</v>
      </c>
    </row>
    <row r="7" spans="2:7" x14ac:dyDescent="0.25">
      <c r="B7" t="s">
        <v>74</v>
      </c>
      <c r="C7" t="s">
        <v>431</v>
      </c>
      <c r="G7" s="75" t="s">
        <v>145</v>
      </c>
    </row>
    <row r="8" spans="2:7" x14ac:dyDescent="0.25">
      <c r="B8" t="s">
        <v>48</v>
      </c>
      <c r="C8" t="s">
        <v>442</v>
      </c>
      <c r="G8" s="75" t="s">
        <v>111</v>
      </c>
    </row>
    <row r="9" spans="2:7" x14ac:dyDescent="0.25">
      <c r="B9" t="s">
        <v>49</v>
      </c>
      <c r="C9" t="s">
        <v>280</v>
      </c>
      <c r="G9" s="75" t="s">
        <v>258</v>
      </c>
    </row>
    <row r="10" spans="2:7" x14ac:dyDescent="0.25">
      <c r="B10" t="s">
        <v>48</v>
      </c>
      <c r="C10" t="s">
        <v>145</v>
      </c>
      <c r="G10" s="75" t="s">
        <v>263</v>
      </c>
    </row>
    <row r="11" spans="2:7" x14ac:dyDescent="0.25">
      <c r="B11" t="s">
        <v>336</v>
      </c>
      <c r="C11" t="s">
        <v>332</v>
      </c>
      <c r="G11" s="75" t="s">
        <v>460</v>
      </c>
    </row>
    <row r="12" spans="2:7" x14ac:dyDescent="0.25">
      <c r="B12" t="s">
        <v>48</v>
      </c>
      <c r="C12" t="s">
        <v>145</v>
      </c>
      <c r="G12" s="75" t="s">
        <v>441</v>
      </c>
    </row>
    <row r="13" spans="2:7" x14ac:dyDescent="0.25">
      <c r="B13" t="s">
        <v>46</v>
      </c>
      <c r="C13" t="s">
        <v>263</v>
      </c>
      <c r="G13" s="75" t="s">
        <v>271</v>
      </c>
    </row>
    <row r="14" spans="2:7" x14ac:dyDescent="0.25">
      <c r="B14" t="s">
        <v>55</v>
      </c>
      <c r="C14" t="s">
        <v>288</v>
      </c>
      <c r="G14" s="75" t="s">
        <v>280</v>
      </c>
    </row>
    <row r="15" spans="2:7" x14ac:dyDescent="0.25">
      <c r="B15" t="s">
        <v>49</v>
      </c>
      <c r="C15" t="s">
        <v>271</v>
      </c>
      <c r="G15" s="75" t="s">
        <v>459</v>
      </c>
    </row>
    <row r="16" spans="2:7" x14ac:dyDescent="0.25">
      <c r="B16" t="s">
        <v>46</v>
      </c>
      <c r="C16" t="s">
        <v>263</v>
      </c>
      <c r="G16" s="75" t="s">
        <v>450</v>
      </c>
    </row>
    <row r="17" spans="2:7" x14ac:dyDescent="0.25">
      <c r="B17" t="s">
        <v>336</v>
      </c>
      <c r="C17" t="s">
        <v>332</v>
      </c>
      <c r="G17" s="75" t="s">
        <v>438</v>
      </c>
    </row>
    <row r="18" spans="2:7" x14ac:dyDescent="0.25">
      <c r="B18" t="s">
        <v>90</v>
      </c>
      <c r="C18" t="s">
        <v>432</v>
      </c>
      <c r="G18" s="75" t="s">
        <v>428</v>
      </c>
    </row>
    <row r="19" spans="2:7" x14ac:dyDescent="0.25">
      <c r="B19" t="s">
        <v>49</v>
      </c>
      <c r="C19" t="s">
        <v>349</v>
      </c>
      <c r="G19" s="75" t="s">
        <v>448</v>
      </c>
    </row>
    <row r="20" spans="2:7" x14ac:dyDescent="0.25">
      <c r="B20" t="s">
        <v>52</v>
      </c>
      <c r="C20" t="s">
        <v>341</v>
      </c>
      <c r="G20" s="75" t="s">
        <v>436</v>
      </c>
    </row>
    <row r="21" spans="2:7" x14ac:dyDescent="0.25">
      <c r="B21" t="s">
        <v>336</v>
      </c>
      <c r="C21" t="s">
        <v>332</v>
      </c>
      <c r="G21" s="75" t="s">
        <v>439</v>
      </c>
    </row>
    <row r="22" spans="2:7" x14ac:dyDescent="0.25">
      <c r="B22" t="s">
        <v>73</v>
      </c>
      <c r="C22" t="s">
        <v>313</v>
      </c>
      <c r="G22" s="75" t="s">
        <v>313</v>
      </c>
    </row>
    <row r="23" spans="2:7" x14ac:dyDescent="0.25">
      <c r="B23" t="s">
        <v>429</v>
      </c>
      <c r="C23" t="s">
        <v>433</v>
      </c>
      <c r="G23" s="75" t="s">
        <v>288</v>
      </c>
    </row>
    <row r="24" spans="2:7" x14ac:dyDescent="0.25">
      <c r="B24" t="s">
        <v>46</v>
      </c>
      <c r="C24" t="s">
        <v>263</v>
      </c>
      <c r="G24" s="75" t="s">
        <v>433</v>
      </c>
    </row>
    <row r="25" spans="2:7" x14ac:dyDescent="0.25">
      <c r="B25" t="s">
        <v>74</v>
      </c>
      <c r="C25" t="s">
        <v>434</v>
      </c>
      <c r="G25" s="75" t="s">
        <v>446</v>
      </c>
    </row>
    <row r="26" spans="2:7" x14ac:dyDescent="0.25">
      <c r="B26" t="s">
        <v>429</v>
      </c>
      <c r="C26" t="s">
        <v>433</v>
      </c>
      <c r="G26" s="75" t="s">
        <v>298</v>
      </c>
    </row>
    <row r="27" spans="2:7" x14ac:dyDescent="0.25">
      <c r="B27" t="s">
        <v>50</v>
      </c>
      <c r="C27" t="s">
        <v>435</v>
      </c>
      <c r="G27" s="75" t="s">
        <v>332</v>
      </c>
    </row>
    <row r="28" spans="2:7" x14ac:dyDescent="0.25">
      <c r="B28" t="s">
        <v>52</v>
      </c>
      <c r="C28" t="s">
        <v>341</v>
      </c>
      <c r="G28" s="75" t="s">
        <v>456</v>
      </c>
    </row>
    <row r="29" spans="2:7" x14ac:dyDescent="0.25">
      <c r="B29" t="s">
        <v>90</v>
      </c>
      <c r="C29" t="s">
        <v>432</v>
      </c>
      <c r="G29" s="75" t="s">
        <v>305</v>
      </c>
    </row>
    <row r="30" spans="2:7" x14ac:dyDescent="0.25">
      <c r="B30" t="s">
        <v>48</v>
      </c>
      <c r="C30" t="s">
        <v>453</v>
      </c>
      <c r="G30" s="75" t="s">
        <v>431</v>
      </c>
    </row>
    <row r="31" spans="2:7" x14ac:dyDescent="0.25">
      <c r="B31" t="s">
        <v>46</v>
      </c>
      <c r="C31" t="s">
        <v>258</v>
      </c>
      <c r="G31" s="75" t="s">
        <v>458</v>
      </c>
    </row>
    <row r="32" spans="2:7" x14ac:dyDescent="0.25">
      <c r="B32" t="s">
        <v>429</v>
      </c>
      <c r="C32" t="s">
        <v>433</v>
      </c>
      <c r="G32" s="75" t="s">
        <v>457</v>
      </c>
    </row>
    <row r="33" spans="2:7" x14ac:dyDescent="0.25">
      <c r="B33" t="s">
        <v>49</v>
      </c>
      <c r="C33" t="s">
        <v>454</v>
      </c>
      <c r="G33" s="75" t="s">
        <v>434</v>
      </c>
    </row>
    <row r="34" spans="2:7" x14ac:dyDescent="0.25">
      <c r="B34" t="s">
        <v>46</v>
      </c>
      <c r="C34" t="s">
        <v>258</v>
      </c>
      <c r="G34" s="75" t="s">
        <v>435</v>
      </c>
    </row>
    <row r="35" spans="2:7" x14ac:dyDescent="0.25">
      <c r="B35" t="s">
        <v>46</v>
      </c>
      <c r="C35" t="s">
        <v>436</v>
      </c>
      <c r="G35" s="75" t="s">
        <v>341</v>
      </c>
    </row>
    <row r="36" spans="2:7" x14ac:dyDescent="0.25">
      <c r="B36" t="s">
        <v>437</v>
      </c>
      <c r="C36" t="s">
        <v>438</v>
      </c>
      <c r="G36" s="75" t="s">
        <v>432</v>
      </c>
    </row>
    <row r="37" spans="2:7" x14ac:dyDescent="0.25">
      <c r="B37" t="s">
        <v>429</v>
      </c>
      <c r="C37" t="s">
        <v>439</v>
      </c>
      <c r="G37" s="75" t="s">
        <v>442</v>
      </c>
    </row>
    <row r="38" spans="2:7" x14ac:dyDescent="0.25">
      <c r="B38" t="s">
        <v>73</v>
      </c>
      <c r="C38" t="s">
        <v>428</v>
      </c>
      <c r="G38" s="75" t="s">
        <v>357</v>
      </c>
    </row>
    <row r="39" spans="2:7" x14ac:dyDescent="0.25">
      <c r="B39" t="s">
        <v>336</v>
      </c>
      <c r="C39" t="s">
        <v>332</v>
      </c>
      <c r="G39" s="75" t="s">
        <v>349</v>
      </c>
    </row>
    <row r="40" spans="2:7" x14ac:dyDescent="0.25">
      <c r="B40" t="s">
        <v>50</v>
      </c>
      <c r="C40" t="s">
        <v>435</v>
      </c>
      <c r="G40" s="75" t="s">
        <v>455</v>
      </c>
    </row>
    <row r="41" spans="2:7" x14ac:dyDescent="0.25">
      <c r="B41" t="s">
        <v>90</v>
      </c>
      <c r="C41" t="s">
        <v>432</v>
      </c>
      <c r="G41" s="75" t="s">
        <v>454</v>
      </c>
    </row>
    <row r="42" spans="2:7" x14ac:dyDescent="0.25">
      <c r="B42" t="s">
        <v>49</v>
      </c>
      <c r="C42" t="s">
        <v>440</v>
      </c>
      <c r="G42" s="75" t="s">
        <v>440</v>
      </c>
    </row>
    <row r="43" spans="2:7" x14ac:dyDescent="0.25">
      <c r="B43" t="s">
        <v>90</v>
      </c>
      <c r="C43" t="s">
        <v>432</v>
      </c>
      <c r="G43" s="75" t="s">
        <v>430</v>
      </c>
    </row>
    <row r="44" spans="2:7" x14ac:dyDescent="0.25">
      <c r="B44" t="s">
        <v>78</v>
      </c>
      <c r="C44" t="s">
        <v>111</v>
      </c>
      <c r="G44" s="75" t="s">
        <v>449</v>
      </c>
    </row>
    <row r="45" spans="2:7" x14ac:dyDescent="0.25">
      <c r="B45" t="s">
        <v>73</v>
      </c>
      <c r="C45" t="s">
        <v>313</v>
      </c>
      <c r="G45" s="75" t="s">
        <v>443</v>
      </c>
    </row>
    <row r="46" spans="2:7" x14ac:dyDescent="0.25">
      <c r="B46" t="s">
        <v>49</v>
      </c>
      <c r="C46" t="s">
        <v>271</v>
      </c>
    </row>
    <row r="47" spans="2:7" x14ac:dyDescent="0.25">
      <c r="B47" t="s">
        <v>437</v>
      </c>
      <c r="C47" t="s">
        <v>438</v>
      </c>
    </row>
    <row r="48" spans="2:7" x14ac:dyDescent="0.25">
      <c r="B48" t="s">
        <v>49</v>
      </c>
      <c r="C48" t="s">
        <v>455</v>
      </c>
    </row>
    <row r="49" spans="2:3" x14ac:dyDescent="0.25">
      <c r="B49" t="s">
        <v>49</v>
      </c>
      <c r="C49" t="s">
        <v>441</v>
      </c>
    </row>
    <row r="50" spans="2:3" x14ac:dyDescent="0.25">
      <c r="B50" t="s">
        <v>90</v>
      </c>
      <c r="C50" t="s">
        <v>432</v>
      </c>
    </row>
    <row r="51" spans="2:3" x14ac:dyDescent="0.25">
      <c r="B51" t="s">
        <v>73</v>
      </c>
      <c r="C51" t="s">
        <v>298</v>
      </c>
    </row>
    <row r="52" spans="2:3" x14ac:dyDescent="0.25">
      <c r="B52" t="s">
        <v>429</v>
      </c>
      <c r="C52" t="s">
        <v>439</v>
      </c>
    </row>
    <row r="53" spans="2:3" x14ac:dyDescent="0.25">
      <c r="B53" t="s">
        <v>49</v>
      </c>
      <c r="C53" t="s">
        <v>430</v>
      </c>
    </row>
    <row r="54" spans="2:3" x14ac:dyDescent="0.25">
      <c r="B54" t="s">
        <v>73</v>
      </c>
      <c r="C54" t="s">
        <v>298</v>
      </c>
    </row>
    <row r="55" spans="2:3" x14ac:dyDescent="0.25">
      <c r="B55" t="s">
        <v>46</v>
      </c>
      <c r="C55" t="s">
        <v>258</v>
      </c>
    </row>
    <row r="56" spans="2:3" x14ac:dyDescent="0.25">
      <c r="B56" t="s">
        <v>49</v>
      </c>
      <c r="C56" t="s">
        <v>441</v>
      </c>
    </row>
    <row r="57" spans="2:3" x14ac:dyDescent="0.25">
      <c r="B57" t="s">
        <v>429</v>
      </c>
      <c r="C57" t="s">
        <v>439</v>
      </c>
    </row>
    <row r="58" spans="2:3" x14ac:dyDescent="0.25">
      <c r="B58" t="s">
        <v>50</v>
      </c>
      <c r="C58" t="s">
        <v>435</v>
      </c>
    </row>
    <row r="59" spans="2:3" x14ac:dyDescent="0.25">
      <c r="B59" t="s">
        <v>73</v>
      </c>
      <c r="C59" t="s">
        <v>298</v>
      </c>
    </row>
    <row r="60" spans="2:3" x14ac:dyDescent="0.25">
      <c r="B60" t="s">
        <v>48</v>
      </c>
      <c r="C60" t="s">
        <v>442</v>
      </c>
    </row>
    <row r="61" spans="2:3" x14ac:dyDescent="0.25">
      <c r="B61" t="s">
        <v>48</v>
      </c>
      <c r="C61" t="s">
        <v>456</v>
      </c>
    </row>
    <row r="62" spans="2:3" x14ac:dyDescent="0.25">
      <c r="B62" t="s">
        <v>73</v>
      </c>
      <c r="C62" t="s">
        <v>313</v>
      </c>
    </row>
    <row r="63" spans="2:3" x14ac:dyDescent="0.25">
      <c r="B63" t="s">
        <v>48</v>
      </c>
      <c r="C63" t="s">
        <v>357</v>
      </c>
    </row>
    <row r="64" spans="2:3" x14ac:dyDescent="0.25">
      <c r="B64" t="s">
        <v>74</v>
      </c>
      <c r="C64" t="s">
        <v>434</v>
      </c>
    </row>
    <row r="65" spans="2:3" x14ac:dyDescent="0.25">
      <c r="B65" t="s">
        <v>46</v>
      </c>
      <c r="C65" t="s">
        <v>258</v>
      </c>
    </row>
    <row r="66" spans="2:3" x14ac:dyDescent="0.25">
      <c r="B66" t="s">
        <v>48</v>
      </c>
      <c r="C66" t="s">
        <v>443</v>
      </c>
    </row>
    <row r="67" spans="2:3" x14ac:dyDescent="0.25">
      <c r="B67" t="s">
        <v>51</v>
      </c>
      <c r="C67" t="s">
        <v>444</v>
      </c>
    </row>
    <row r="68" spans="2:3" x14ac:dyDescent="0.25">
      <c r="B68" t="s">
        <v>48</v>
      </c>
      <c r="C68" t="s">
        <v>145</v>
      </c>
    </row>
    <row r="69" spans="2:3" x14ac:dyDescent="0.25">
      <c r="B69" t="s">
        <v>49</v>
      </c>
      <c r="C69" t="s">
        <v>271</v>
      </c>
    </row>
    <row r="70" spans="2:3" x14ac:dyDescent="0.25">
      <c r="B70" t="s">
        <v>74</v>
      </c>
      <c r="C70" t="s">
        <v>457</v>
      </c>
    </row>
    <row r="71" spans="2:3" x14ac:dyDescent="0.25">
      <c r="B71" t="s">
        <v>336</v>
      </c>
      <c r="C71" t="s">
        <v>332</v>
      </c>
    </row>
    <row r="72" spans="2:3" x14ac:dyDescent="0.25">
      <c r="B72" t="s">
        <v>445</v>
      </c>
      <c r="C72" t="s">
        <v>449</v>
      </c>
    </row>
    <row r="73" spans="2:3" x14ac:dyDescent="0.25">
      <c r="B73" t="s">
        <v>51</v>
      </c>
      <c r="C73" t="s">
        <v>446</v>
      </c>
    </row>
    <row r="74" spans="2:3" x14ac:dyDescent="0.25">
      <c r="B74" t="s">
        <v>51</v>
      </c>
      <c r="C74" t="s">
        <v>103</v>
      </c>
    </row>
    <row r="75" spans="2:3" x14ac:dyDescent="0.25">
      <c r="B75" t="s">
        <v>447</v>
      </c>
      <c r="C75" t="s">
        <v>448</v>
      </c>
    </row>
    <row r="76" spans="2:3" x14ac:dyDescent="0.25">
      <c r="B76" t="s">
        <v>55</v>
      </c>
      <c r="C76" t="s">
        <v>288</v>
      </c>
    </row>
    <row r="77" spans="2:3" x14ac:dyDescent="0.25">
      <c r="B77" t="s">
        <v>48</v>
      </c>
      <c r="C77" t="s">
        <v>442</v>
      </c>
    </row>
    <row r="78" spans="2:3" x14ac:dyDescent="0.25">
      <c r="B78" t="s">
        <v>437</v>
      </c>
      <c r="C78" t="s">
        <v>438</v>
      </c>
    </row>
    <row r="79" spans="2:3" x14ac:dyDescent="0.25">
      <c r="B79" t="s">
        <v>49</v>
      </c>
      <c r="C79" t="s">
        <v>305</v>
      </c>
    </row>
    <row r="80" spans="2:3" x14ac:dyDescent="0.25">
      <c r="B80" t="s">
        <v>51</v>
      </c>
      <c r="C80" t="s">
        <v>444</v>
      </c>
    </row>
    <row r="81" spans="2:3" x14ac:dyDescent="0.25">
      <c r="B81" t="s">
        <v>445</v>
      </c>
      <c r="C81" t="s">
        <v>449</v>
      </c>
    </row>
    <row r="82" spans="2:3" x14ac:dyDescent="0.25">
      <c r="B82" t="s">
        <v>49</v>
      </c>
      <c r="C82" t="s">
        <v>450</v>
      </c>
    </row>
    <row r="83" spans="2:3" x14ac:dyDescent="0.25">
      <c r="B83" t="s">
        <v>49</v>
      </c>
      <c r="C83" t="s">
        <v>271</v>
      </c>
    </row>
    <row r="84" spans="2:3" x14ac:dyDescent="0.25">
      <c r="B84" t="s">
        <v>447</v>
      </c>
      <c r="C84" t="s">
        <v>448</v>
      </c>
    </row>
    <row r="85" spans="2:3" x14ac:dyDescent="0.25">
      <c r="B85" t="s">
        <v>48</v>
      </c>
      <c r="C85" t="s">
        <v>443</v>
      </c>
    </row>
    <row r="86" spans="2:3" x14ac:dyDescent="0.25">
      <c r="B86" t="s">
        <v>46</v>
      </c>
      <c r="C86" t="s">
        <v>436</v>
      </c>
    </row>
    <row r="87" spans="2:3" x14ac:dyDescent="0.25">
      <c r="B87" t="s">
        <v>49</v>
      </c>
      <c r="C87" t="s">
        <v>349</v>
      </c>
    </row>
    <row r="88" spans="2:3" x14ac:dyDescent="0.25">
      <c r="B88" t="s">
        <v>46</v>
      </c>
      <c r="C88" t="s">
        <v>258</v>
      </c>
    </row>
    <row r="89" spans="2:3" x14ac:dyDescent="0.25">
      <c r="B89" t="s">
        <v>74</v>
      </c>
      <c r="C89" t="s">
        <v>434</v>
      </c>
    </row>
    <row r="90" spans="2:3" x14ac:dyDescent="0.25">
      <c r="B90" t="s">
        <v>73</v>
      </c>
      <c r="C90" t="s">
        <v>298</v>
      </c>
    </row>
    <row r="91" spans="2:3" x14ac:dyDescent="0.25">
      <c r="B91" t="s">
        <v>49</v>
      </c>
      <c r="C91" t="s">
        <v>305</v>
      </c>
    </row>
    <row r="92" spans="2:3" x14ac:dyDescent="0.25">
      <c r="B92" t="s">
        <v>73</v>
      </c>
      <c r="C92" t="s">
        <v>298</v>
      </c>
    </row>
    <row r="93" spans="2:3" x14ac:dyDescent="0.25">
      <c r="B93" t="s">
        <v>50</v>
      </c>
      <c r="C93" t="s">
        <v>435</v>
      </c>
    </row>
    <row r="94" spans="2:3" x14ac:dyDescent="0.25">
      <c r="B94" t="s">
        <v>51</v>
      </c>
      <c r="C94" t="s">
        <v>446</v>
      </c>
    </row>
    <row r="95" spans="2:3" x14ac:dyDescent="0.25">
      <c r="B95" t="s">
        <v>90</v>
      </c>
      <c r="C95" t="s">
        <v>432</v>
      </c>
    </row>
    <row r="96" spans="2:3" x14ac:dyDescent="0.25">
      <c r="B96" t="s">
        <v>48</v>
      </c>
      <c r="C96" t="s">
        <v>145</v>
      </c>
    </row>
    <row r="97" spans="2:3" x14ac:dyDescent="0.25">
      <c r="B97" t="s">
        <v>49</v>
      </c>
      <c r="C97" t="s">
        <v>280</v>
      </c>
    </row>
    <row r="98" spans="2:3" x14ac:dyDescent="0.25">
      <c r="B98" t="s">
        <v>74</v>
      </c>
      <c r="C98" t="s">
        <v>458</v>
      </c>
    </row>
    <row r="99" spans="2:3" x14ac:dyDescent="0.25">
      <c r="B99" t="s">
        <v>49</v>
      </c>
      <c r="C99" t="s">
        <v>271</v>
      </c>
    </row>
    <row r="100" spans="2:3" x14ac:dyDescent="0.25">
      <c r="B100" t="s">
        <v>48</v>
      </c>
      <c r="C100" t="s">
        <v>145</v>
      </c>
    </row>
    <row r="101" spans="2:3" x14ac:dyDescent="0.25">
      <c r="B101" t="s">
        <v>445</v>
      </c>
      <c r="C101" t="s">
        <v>449</v>
      </c>
    </row>
    <row r="102" spans="2:3" x14ac:dyDescent="0.25">
      <c r="B102" t="s">
        <v>51</v>
      </c>
      <c r="C102" t="s">
        <v>446</v>
      </c>
    </row>
    <row r="103" spans="2:3" x14ac:dyDescent="0.25">
      <c r="B103" t="s">
        <v>49</v>
      </c>
      <c r="C103" t="s">
        <v>430</v>
      </c>
    </row>
    <row r="104" spans="2:3" x14ac:dyDescent="0.25">
      <c r="B104" t="s">
        <v>73</v>
      </c>
      <c r="C104" t="s">
        <v>313</v>
      </c>
    </row>
    <row r="105" spans="2:3" x14ac:dyDescent="0.25">
      <c r="B105" t="s">
        <v>437</v>
      </c>
      <c r="C105" t="s">
        <v>459</v>
      </c>
    </row>
    <row r="106" spans="2:3" x14ac:dyDescent="0.25">
      <c r="B106" t="s">
        <v>51</v>
      </c>
      <c r="C106" t="s">
        <v>444</v>
      </c>
    </row>
    <row r="107" spans="2:3" x14ac:dyDescent="0.25">
      <c r="B107" t="s">
        <v>49</v>
      </c>
      <c r="C107" t="s">
        <v>280</v>
      </c>
    </row>
    <row r="108" spans="2:3" x14ac:dyDescent="0.25">
      <c r="B108" t="s">
        <v>437</v>
      </c>
      <c r="C108" t="s">
        <v>438</v>
      </c>
    </row>
    <row r="109" spans="2:3" x14ac:dyDescent="0.25">
      <c r="B109" t="s">
        <v>74</v>
      </c>
      <c r="C109" t="s">
        <v>431</v>
      </c>
    </row>
    <row r="110" spans="2:3" x14ac:dyDescent="0.25">
      <c r="B110" t="s">
        <v>51</v>
      </c>
      <c r="C110" t="s">
        <v>446</v>
      </c>
    </row>
    <row r="111" spans="2:3" x14ac:dyDescent="0.25">
      <c r="B111" t="s">
        <v>49</v>
      </c>
      <c r="C111" t="s">
        <v>440</v>
      </c>
    </row>
    <row r="112" spans="2:3" x14ac:dyDescent="0.25">
      <c r="B112" t="s">
        <v>49</v>
      </c>
      <c r="C112" t="s">
        <v>305</v>
      </c>
    </row>
    <row r="113" spans="2:3" x14ac:dyDescent="0.25">
      <c r="B113" t="s">
        <v>49</v>
      </c>
      <c r="C113" t="s">
        <v>271</v>
      </c>
    </row>
    <row r="114" spans="2:3" x14ac:dyDescent="0.25">
      <c r="B114" t="s">
        <v>447</v>
      </c>
      <c r="C114" t="s">
        <v>448</v>
      </c>
    </row>
    <row r="115" spans="2:3" x14ac:dyDescent="0.25">
      <c r="B115" t="s">
        <v>48</v>
      </c>
      <c r="C115" t="s">
        <v>442</v>
      </c>
    </row>
    <row r="116" spans="2:3" x14ac:dyDescent="0.25">
      <c r="B116" t="s">
        <v>49</v>
      </c>
      <c r="C116" t="s">
        <v>450</v>
      </c>
    </row>
    <row r="117" spans="2:3" x14ac:dyDescent="0.25">
      <c r="B117" t="s">
        <v>73</v>
      </c>
      <c r="C117" t="s">
        <v>313</v>
      </c>
    </row>
    <row r="118" spans="2:3" x14ac:dyDescent="0.25">
      <c r="B118" t="s">
        <v>73</v>
      </c>
      <c r="C118" t="s">
        <v>428</v>
      </c>
    </row>
    <row r="119" spans="2:3" x14ac:dyDescent="0.25">
      <c r="B119" t="s">
        <v>49</v>
      </c>
      <c r="C119" t="s">
        <v>440</v>
      </c>
    </row>
    <row r="120" spans="2:3" x14ac:dyDescent="0.25">
      <c r="B120" t="s">
        <v>48</v>
      </c>
      <c r="C120" t="s">
        <v>145</v>
      </c>
    </row>
    <row r="121" spans="2:3" x14ac:dyDescent="0.25">
      <c r="B121" t="s">
        <v>46</v>
      </c>
      <c r="C121" t="s">
        <v>436</v>
      </c>
    </row>
    <row r="122" spans="2:3" x14ac:dyDescent="0.25">
      <c r="B122" t="s">
        <v>49</v>
      </c>
      <c r="C122" t="s">
        <v>430</v>
      </c>
    </row>
    <row r="123" spans="2:3" x14ac:dyDescent="0.25">
      <c r="B123" t="s">
        <v>78</v>
      </c>
      <c r="C123" t="s">
        <v>111</v>
      </c>
    </row>
    <row r="124" spans="2:3" x14ac:dyDescent="0.25">
      <c r="B124" t="s">
        <v>49</v>
      </c>
      <c r="C124" t="s">
        <v>440</v>
      </c>
    </row>
    <row r="125" spans="2:3" x14ac:dyDescent="0.25">
      <c r="B125" t="s">
        <v>445</v>
      </c>
      <c r="C125" t="s">
        <v>449</v>
      </c>
    </row>
    <row r="126" spans="2:3" x14ac:dyDescent="0.25">
      <c r="B126" t="s">
        <v>51</v>
      </c>
      <c r="C126" t="s">
        <v>103</v>
      </c>
    </row>
    <row r="127" spans="2:3" x14ac:dyDescent="0.25">
      <c r="B127" t="s">
        <v>48</v>
      </c>
      <c r="C127" t="s">
        <v>145</v>
      </c>
    </row>
    <row r="128" spans="2:3" x14ac:dyDescent="0.25">
      <c r="B128" t="s">
        <v>49</v>
      </c>
      <c r="C128" t="s">
        <v>349</v>
      </c>
    </row>
    <row r="129" spans="2:3" x14ac:dyDescent="0.25">
      <c r="B129" t="s">
        <v>49</v>
      </c>
      <c r="C129" t="s">
        <v>305</v>
      </c>
    </row>
    <row r="130" spans="2:3" x14ac:dyDescent="0.25">
      <c r="B130" t="s">
        <v>55</v>
      </c>
      <c r="C130" t="s">
        <v>288</v>
      </c>
    </row>
    <row r="131" spans="2:3" x14ac:dyDescent="0.25">
      <c r="B131" t="s">
        <v>50</v>
      </c>
      <c r="C131" t="s">
        <v>435</v>
      </c>
    </row>
    <row r="132" spans="2:3" x14ac:dyDescent="0.25">
      <c r="B132" t="s">
        <v>49</v>
      </c>
      <c r="C132" t="s">
        <v>440</v>
      </c>
    </row>
    <row r="133" spans="2:3" x14ac:dyDescent="0.25">
      <c r="B133" t="s">
        <v>48</v>
      </c>
      <c r="C133" t="s">
        <v>442</v>
      </c>
    </row>
    <row r="134" spans="2:3" x14ac:dyDescent="0.25">
      <c r="B134" t="s">
        <v>49</v>
      </c>
      <c r="C134" t="s">
        <v>450</v>
      </c>
    </row>
    <row r="135" spans="2:3" x14ac:dyDescent="0.25">
      <c r="B135" t="s">
        <v>49</v>
      </c>
      <c r="C135" t="s">
        <v>349</v>
      </c>
    </row>
    <row r="136" spans="2:3" x14ac:dyDescent="0.25">
      <c r="B136" t="s">
        <v>46</v>
      </c>
      <c r="C136" t="s">
        <v>263</v>
      </c>
    </row>
    <row r="137" spans="2:3" x14ac:dyDescent="0.25">
      <c r="B137" t="s">
        <v>437</v>
      </c>
      <c r="C137" t="s">
        <v>438</v>
      </c>
    </row>
    <row r="138" spans="2:3" x14ac:dyDescent="0.25">
      <c r="B138" t="s">
        <v>46</v>
      </c>
      <c r="C138" t="s">
        <v>258</v>
      </c>
    </row>
    <row r="139" spans="2:3" x14ac:dyDescent="0.25">
      <c r="B139" t="s">
        <v>48</v>
      </c>
      <c r="C139" t="s">
        <v>443</v>
      </c>
    </row>
    <row r="140" spans="2:3" x14ac:dyDescent="0.25">
      <c r="B140" t="s">
        <v>78</v>
      </c>
      <c r="C140" t="s">
        <v>111</v>
      </c>
    </row>
    <row r="141" spans="2:3" x14ac:dyDescent="0.25">
      <c r="B141" t="s">
        <v>48</v>
      </c>
      <c r="C141" t="s">
        <v>145</v>
      </c>
    </row>
    <row r="142" spans="2:3" x14ac:dyDescent="0.25">
      <c r="B142" t="s">
        <v>429</v>
      </c>
      <c r="C142" t="s">
        <v>433</v>
      </c>
    </row>
    <row r="143" spans="2:3" x14ac:dyDescent="0.25">
      <c r="B143" t="s">
        <v>55</v>
      </c>
      <c r="C143" t="s">
        <v>288</v>
      </c>
    </row>
    <row r="144" spans="2:3" x14ac:dyDescent="0.25">
      <c r="B144" t="s">
        <v>49</v>
      </c>
      <c r="C144" t="s">
        <v>349</v>
      </c>
    </row>
    <row r="145" spans="2:3" x14ac:dyDescent="0.25">
      <c r="B145" t="s">
        <v>49</v>
      </c>
      <c r="C145" t="s">
        <v>441</v>
      </c>
    </row>
    <row r="146" spans="2:3" x14ac:dyDescent="0.25">
      <c r="B146" t="s">
        <v>46</v>
      </c>
      <c r="C146" t="s">
        <v>436</v>
      </c>
    </row>
    <row r="147" spans="2:3" x14ac:dyDescent="0.25">
      <c r="B147" t="s">
        <v>48</v>
      </c>
      <c r="C147" t="s">
        <v>357</v>
      </c>
    </row>
    <row r="148" spans="2:3" x14ac:dyDescent="0.25">
      <c r="B148" t="s">
        <v>51</v>
      </c>
      <c r="C148" t="s">
        <v>446</v>
      </c>
    </row>
    <row r="149" spans="2:3" x14ac:dyDescent="0.25">
      <c r="B149" t="s">
        <v>49</v>
      </c>
      <c r="C149" t="s">
        <v>441</v>
      </c>
    </row>
    <row r="150" spans="2:3" x14ac:dyDescent="0.25">
      <c r="B150" t="s">
        <v>55</v>
      </c>
      <c r="C150" t="s">
        <v>288</v>
      </c>
    </row>
    <row r="151" spans="2:3" x14ac:dyDescent="0.25">
      <c r="B151" t="s">
        <v>49</v>
      </c>
      <c r="C151" t="s">
        <v>450</v>
      </c>
    </row>
    <row r="152" spans="2:3" x14ac:dyDescent="0.25">
      <c r="B152" t="s">
        <v>49</v>
      </c>
      <c r="C152" t="s">
        <v>460</v>
      </c>
    </row>
    <row r="153" spans="2:3" x14ac:dyDescent="0.25">
      <c r="B153" t="s">
        <v>46</v>
      </c>
      <c r="C153" t="s">
        <v>263</v>
      </c>
    </row>
    <row r="154" spans="2:3" x14ac:dyDescent="0.25">
      <c r="B154" t="s">
        <v>49</v>
      </c>
      <c r="C154" t="s">
        <v>441</v>
      </c>
    </row>
    <row r="155" spans="2:3" x14ac:dyDescent="0.25">
      <c r="B155" t="s">
        <v>447</v>
      </c>
      <c r="C155" t="s">
        <v>448</v>
      </c>
    </row>
    <row r="156" spans="2:3" x14ac:dyDescent="0.25">
      <c r="B156" t="s">
        <v>48</v>
      </c>
      <c r="C156" t="s">
        <v>357</v>
      </c>
    </row>
    <row r="157" spans="2:3" x14ac:dyDescent="0.25">
      <c r="B157" t="s">
        <v>429</v>
      </c>
      <c r="C157" t="s">
        <v>439</v>
      </c>
    </row>
    <row r="158" spans="2:3" x14ac:dyDescent="0.25">
      <c r="B158" t="s">
        <v>74</v>
      </c>
      <c r="C158" t="s">
        <v>434</v>
      </c>
    </row>
    <row r="159" spans="2:3" x14ac:dyDescent="0.25">
      <c r="B159" t="s">
        <v>46</v>
      </c>
      <c r="C159" t="s">
        <v>436</v>
      </c>
    </row>
    <row r="160" spans="2:3" x14ac:dyDescent="0.25">
      <c r="B160" t="s">
        <v>46</v>
      </c>
      <c r="C160" t="s">
        <v>263</v>
      </c>
    </row>
    <row r="161" spans="2:3" x14ac:dyDescent="0.25">
      <c r="B161" t="s">
        <v>49</v>
      </c>
      <c r="C161" t="s">
        <v>430</v>
      </c>
    </row>
    <row r="162" spans="2:3" x14ac:dyDescent="0.25">
      <c r="B162" t="s">
        <v>50</v>
      </c>
      <c r="C162" t="s">
        <v>435</v>
      </c>
    </row>
    <row r="163" spans="2:3" x14ac:dyDescent="0.25">
      <c r="B163" t="s">
        <v>49</v>
      </c>
      <c r="C163" t="s">
        <v>280</v>
      </c>
    </row>
    <row r="164" spans="2:3" x14ac:dyDescent="0.25">
      <c r="B164" t="s">
        <v>49</v>
      </c>
      <c r="C164" t="s">
        <v>450</v>
      </c>
    </row>
    <row r="165" spans="2:3" x14ac:dyDescent="0.25">
      <c r="B165" t="s">
        <v>73</v>
      </c>
      <c r="C165" t="s">
        <v>428</v>
      </c>
    </row>
    <row r="166" spans="2:3" x14ac:dyDescent="0.25">
      <c r="B166" t="s">
        <v>447</v>
      </c>
      <c r="C166" t="s">
        <v>448</v>
      </c>
    </row>
    <row r="167" spans="2:3" x14ac:dyDescent="0.25">
      <c r="B167" t="s">
        <v>49</v>
      </c>
      <c r="C167" t="s">
        <v>440</v>
      </c>
    </row>
    <row r="168" spans="2:3" x14ac:dyDescent="0.25">
      <c r="B168" t="s">
        <v>74</v>
      </c>
      <c r="C168" t="s">
        <v>434</v>
      </c>
    </row>
    <row r="169" spans="2:3" x14ac:dyDescent="0.25">
      <c r="B169" t="s">
        <v>445</v>
      </c>
      <c r="C169" t="s">
        <v>449</v>
      </c>
    </row>
    <row r="170" spans="2:3" x14ac:dyDescent="0.25">
      <c r="B170" t="s">
        <v>46</v>
      </c>
      <c r="C170" t="s">
        <v>258</v>
      </c>
    </row>
    <row r="171" spans="2:3" x14ac:dyDescent="0.25">
      <c r="B171" t="s">
        <v>429</v>
      </c>
      <c r="C171" t="s">
        <v>439</v>
      </c>
    </row>
    <row r="172" spans="2:3" x14ac:dyDescent="0.25">
      <c r="B172" t="s">
        <v>78</v>
      </c>
      <c r="C172" t="s">
        <v>111</v>
      </c>
    </row>
    <row r="173" spans="2:3" x14ac:dyDescent="0.25">
      <c r="B173" t="s">
        <v>48</v>
      </c>
      <c r="C173" t="s">
        <v>357</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FF"/>
  </sheetPr>
  <dimension ref="A1:AA37"/>
  <sheetViews>
    <sheetView showGridLines="0" zoomScale="90" zoomScaleNormal="90" workbookViewId="0">
      <pane xSplit="2" ySplit="4" topLeftCell="M21" activePane="bottomRight" state="frozen"/>
      <selection activeCell="G32" sqref="G32"/>
      <selection pane="topRight" activeCell="G32" sqref="G32"/>
      <selection pane="bottomLeft" activeCell="G32" sqref="G32"/>
      <selection pane="bottomRight" activeCell="X23" sqref="X23"/>
    </sheetView>
  </sheetViews>
  <sheetFormatPr defaultRowHeight="15.75" x14ac:dyDescent="0.25"/>
  <cols>
    <col min="1" max="1" width="2" style="2" customWidth="1"/>
    <col min="2" max="2" width="3.85546875" style="42" customWidth="1"/>
    <col min="3" max="3" width="13.28515625" style="75" customWidth="1"/>
    <col min="4" max="4" width="14.5703125" style="77" customWidth="1"/>
    <col min="5" max="5" width="20.140625" style="100" customWidth="1"/>
    <col min="6" max="6" width="19.85546875" style="100" customWidth="1"/>
    <col min="7" max="7" width="24.140625" style="79" customWidth="1"/>
    <col min="8" max="8" width="21.140625" style="101" customWidth="1"/>
    <col min="9" max="9" width="19.7109375" style="101" customWidth="1"/>
    <col min="10" max="10" width="20.85546875" style="101" customWidth="1"/>
    <col min="11" max="11" width="23" style="155" customWidth="1"/>
    <col min="12" max="12" width="38.5703125" style="155" bestFit="1" customWidth="1"/>
    <col min="13" max="13" width="15.42578125" style="101" customWidth="1"/>
    <col min="14" max="14" width="13.7109375" style="101" customWidth="1"/>
    <col min="15" max="15" width="20.5703125" style="162" customWidth="1"/>
    <col min="16" max="16" width="18" style="153" bestFit="1" customWidth="1"/>
    <col min="17" max="17" width="11.85546875" style="153" customWidth="1"/>
    <col min="18" max="18" width="12.42578125" style="163" customWidth="1"/>
    <col min="19" max="19" width="24.28515625" style="155" customWidth="1"/>
    <col min="20" max="20" width="20.7109375" customWidth="1"/>
    <col min="21" max="21" width="18.140625" customWidth="1"/>
    <col min="22" max="23" width="14.5703125" style="101" customWidth="1"/>
    <col min="24" max="24" width="12.140625" style="164" customWidth="1"/>
    <col min="25" max="25" width="16" style="151" customWidth="1"/>
    <col min="26" max="26" width="12.5703125" style="2" customWidth="1"/>
    <col min="27" max="16384" width="9.140625" style="2"/>
  </cols>
  <sheetData>
    <row r="1" spans="1:27" ht="21" x14ac:dyDescent="0.25">
      <c r="C1" s="34" t="s">
        <v>96</v>
      </c>
      <c r="F1" s="101"/>
      <c r="G1" s="77"/>
      <c r="H1" s="100"/>
      <c r="K1" s="152"/>
      <c r="L1" s="152"/>
      <c r="O1" s="153"/>
      <c r="R1" s="155"/>
      <c r="S1" s="152"/>
      <c r="T1" s="101"/>
      <c r="U1" s="101"/>
      <c r="V1" s="152"/>
      <c r="W1" s="152"/>
      <c r="X1" s="100"/>
      <c r="Y1" s="2"/>
    </row>
    <row r="2" spans="1:27" x14ac:dyDescent="0.25">
      <c r="C2" s="156" t="s">
        <v>40</v>
      </c>
      <c r="F2" s="101"/>
      <c r="G2" s="77"/>
      <c r="H2" s="100"/>
      <c r="K2" s="152"/>
      <c r="L2" s="152"/>
      <c r="O2" s="153"/>
      <c r="R2" s="155"/>
      <c r="S2" s="152"/>
      <c r="T2" s="101"/>
      <c r="U2" s="101"/>
      <c r="V2" s="152"/>
      <c r="W2" s="152"/>
      <c r="X2" s="100"/>
      <c r="Y2" s="2"/>
    </row>
    <row r="3" spans="1:27" s="15" customFormat="1" ht="15.75" customHeight="1" thickBot="1" x14ac:dyDescent="0.3">
      <c r="B3" s="42"/>
      <c r="C3" s="391" t="s">
        <v>34</v>
      </c>
      <c r="D3" s="391"/>
      <c r="E3" s="391"/>
      <c r="F3" s="392"/>
      <c r="G3" s="393" t="s">
        <v>17</v>
      </c>
      <c r="H3" s="394"/>
      <c r="I3" s="157"/>
      <c r="J3" s="157"/>
      <c r="K3" s="315" t="s">
        <v>1645</v>
      </c>
      <c r="L3" s="157"/>
      <c r="M3" s="157"/>
      <c r="N3" s="158"/>
      <c r="O3" s="157"/>
      <c r="P3" s="159"/>
      <c r="Q3" s="159"/>
      <c r="R3" s="157"/>
      <c r="S3" s="157"/>
      <c r="T3" s="160"/>
      <c r="U3" s="160"/>
      <c r="V3" s="309" t="s">
        <v>39</v>
      </c>
      <c r="W3" s="310"/>
      <c r="X3" s="310"/>
      <c r="Y3" s="264"/>
    </row>
    <row r="4" spans="1:27" s="256" customFormat="1" ht="48.75" customHeight="1" thickTop="1" thickBot="1" x14ac:dyDescent="0.3">
      <c r="B4" s="257"/>
      <c r="C4" s="114" t="s">
        <v>87</v>
      </c>
      <c r="D4" s="114" t="s">
        <v>45</v>
      </c>
      <c r="E4" s="13" t="s">
        <v>0</v>
      </c>
      <c r="F4" s="12" t="s">
        <v>26</v>
      </c>
      <c r="G4" s="229" t="s">
        <v>2</v>
      </c>
      <c r="H4" s="12" t="s">
        <v>626</v>
      </c>
      <c r="I4" s="54" t="s">
        <v>1067</v>
      </c>
      <c r="J4" s="13" t="s">
        <v>1835</v>
      </c>
      <c r="K4" s="13" t="s">
        <v>1066</v>
      </c>
      <c r="L4" s="314" t="s">
        <v>1644</v>
      </c>
      <c r="M4" s="3" t="s">
        <v>1</v>
      </c>
      <c r="N4" s="3" t="s">
        <v>371</v>
      </c>
      <c r="O4" s="3" t="s">
        <v>368</v>
      </c>
      <c r="P4" s="13" t="s">
        <v>1068</v>
      </c>
      <c r="Q4" s="13" t="s">
        <v>69</v>
      </c>
      <c r="R4" s="121" t="s">
        <v>70</v>
      </c>
      <c r="S4" s="121" t="s">
        <v>24</v>
      </c>
      <c r="T4" s="123" t="s">
        <v>95</v>
      </c>
      <c r="U4" s="3" t="s">
        <v>6</v>
      </c>
      <c r="V4" s="3" t="s">
        <v>42</v>
      </c>
      <c r="W4" s="3" t="s">
        <v>1069</v>
      </c>
      <c r="X4" s="13" t="s">
        <v>13</v>
      </c>
      <c r="Y4" s="13" t="s">
        <v>8</v>
      </c>
      <c r="Z4" s="13" t="s">
        <v>1070</v>
      </c>
      <c r="AA4" s="215" t="s">
        <v>1624</v>
      </c>
    </row>
    <row r="5" spans="1:27" s="205" customFormat="1" ht="16.5" thickBot="1" x14ac:dyDescent="0.3">
      <c r="A5" s="17"/>
      <c r="B5" s="42"/>
      <c r="C5" s="136" t="s">
        <v>146</v>
      </c>
      <c r="D5" s="136" t="s">
        <v>48</v>
      </c>
      <c r="E5" s="247" t="s">
        <v>1282</v>
      </c>
      <c r="F5" s="247" t="s">
        <v>33</v>
      </c>
      <c r="G5" s="248" t="s">
        <v>1083</v>
      </c>
      <c r="H5" s="78" t="s">
        <v>1288</v>
      </c>
      <c r="I5" s="249" t="s">
        <v>79</v>
      </c>
      <c r="J5" s="249"/>
      <c r="K5" s="249" t="s">
        <v>1281</v>
      </c>
      <c r="L5" s="321" t="s">
        <v>1783</v>
      </c>
      <c r="M5" s="146" t="s">
        <v>1283</v>
      </c>
      <c r="N5" s="249"/>
      <c r="O5" s="249"/>
      <c r="P5" s="251">
        <v>2022</v>
      </c>
      <c r="Q5" s="252">
        <v>44596</v>
      </c>
      <c r="R5" s="252">
        <v>44596</v>
      </c>
      <c r="S5" s="253">
        <v>44961</v>
      </c>
      <c r="T5" s="251">
        <f>DATEDIF(BaseARPs_finalizados[[#This Row],[INÍCIO DA VIGÊNCIA (assinatura)]],BaseARPs_finalizados[[#This Row],[FIM DA VIGÊNCIA]],"Y")</f>
        <v>1</v>
      </c>
      <c r="U5" s="250" t="s">
        <v>1284</v>
      </c>
      <c r="V5" s="250" t="s">
        <v>1285</v>
      </c>
      <c r="W5" s="254">
        <v>50976935.659999996</v>
      </c>
      <c r="X5" s="255" t="s">
        <v>54</v>
      </c>
      <c r="Y5" s="255"/>
      <c r="Z5" s="150"/>
      <c r="AA5" s="255"/>
    </row>
    <row r="6" spans="1:27" s="205" customFormat="1" ht="17.25" thickTop="1" thickBot="1" x14ac:dyDescent="0.3">
      <c r="A6" s="17"/>
      <c r="B6" s="42"/>
      <c r="C6" s="136" t="s">
        <v>90</v>
      </c>
      <c r="D6" s="136" t="s">
        <v>46</v>
      </c>
      <c r="E6" s="247" t="s">
        <v>1287</v>
      </c>
      <c r="F6" s="247" t="s">
        <v>33</v>
      </c>
      <c r="G6" s="248" t="s">
        <v>1083</v>
      </c>
      <c r="H6" s="78" t="s">
        <v>1289</v>
      </c>
      <c r="I6" s="249" t="s">
        <v>79</v>
      </c>
      <c r="J6" s="249"/>
      <c r="K6" s="249" t="s">
        <v>1286</v>
      </c>
      <c r="L6" s="318"/>
      <c r="M6" s="147" t="s">
        <v>1165</v>
      </c>
      <c r="N6" s="147" t="s">
        <v>1165</v>
      </c>
      <c r="O6" s="147" t="s">
        <v>1165</v>
      </c>
      <c r="P6" s="147" t="s">
        <v>1165</v>
      </c>
      <c r="Q6" s="147"/>
      <c r="R6" s="311"/>
      <c r="S6" s="311"/>
      <c r="T6" s="206">
        <f>DATEDIF(BaseARPs_finalizados[[#This Row],[INÍCIO DA VIGÊNCIA (assinatura)]],BaseARPs_finalizados[[#This Row],[FIM DA VIGÊNCIA]],"Y")</f>
        <v>0</v>
      </c>
      <c r="U6" s="147" t="s">
        <v>1165</v>
      </c>
      <c r="V6" s="147" t="s">
        <v>1165</v>
      </c>
      <c r="W6" s="207">
        <v>0</v>
      </c>
      <c r="X6" s="208"/>
      <c r="Y6" s="208"/>
      <c r="Z6" s="150"/>
      <c r="AA6" s="208"/>
    </row>
    <row r="7" spans="1:27" s="205" customFormat="1" ht="17.25" thickTop="1" thickBot="1" x14ac:dyDescent="0.3">
      <c r="A7" s="17"/>
      <c r="B7" s="42"/>
      <c r="C7" s="136" t="s">
        <v>90</v>
      </c>
      <c r="D7" s="136" t="s">
        <v>46</v>
      </c>
      <c r="E7" s="247" t="s">
        <v>1287</v>
      </c>
      <c r="F7" s="247" t="s">
        <v>33</v>
      </c>
      <c r="G7" s="248" t="s">
        <v>1083</v>
      </c>
      <c r="H7" s="78" t="s">
        <v>1289</v>
      </c>
      <c r="I7" s="249" t="s">
        <v>79</v>
      </c>
      <c r="J7" s="249"/>
      <c r="K7" s="202" t="s">
        <v>1294</v>
      </c>
      <c r="L7" s="321" t="s">
        <v>1784</v>
      </c>
      <c r="M7" s="146" t="s">
        <v>1290</v>
      </c>
      <c r="N7" s="258" t="s">
        <v>461</v>
      </c>
      <c r="O7" s="258" t="s">
        <v>461</v>
      </c>
      <c r="P7" s="251">
        <v>2022</v>
      </c>
      <c r="Q7" s="146" t="s">
        <v>1291</v>
      </c>
      <c r="R7" s="161" t="s">
        <v>1291</v>
      </c>
      <c r="S7" s="253">
        <v>45168</v>
      </c>
      <c r="T7" s="251">
        <f>DATEDIF(BaseARPs_finalizados[[#This Row],[INÍCIO DA VIGÊNCIA (assinatura)]],BaseARPs_finalizados[[#This Row],[FIM DA VIGÊNCIA]],"Y")</f>
        <v>1</v>
      </c>
      <c r="U7" s="146" t="s">
        <v>1292</v>
      </c>
      <c r="V7" s="146" t="s">
        <v>1293</v>
      </c>
      <c r="W7" s="254">
        <v>3234695.57</v>
      </c>
      <c r="X7" s="255" t="s">
        <v>54</v>
      </c>
      <c r="Y7" s="255"/>
      <c r="Z7" s="150"/>
      <c r="AA7" s="255"/>
    </row>
    <row r="8" spans="1:27" s="205" customFormat="1" ht="17.25" thickTop="1" thickBot="1" x14ac:dyDescent="0.3">
      <c r="A8" s="17"/>
      <c r="B8" s="42"/>
      <c r="C8" s="136" t="s">
        <v>90</v>
      </c>
      <c r="D8" s="136" t="s">
        <v>46</v>
      </c>
      <c r="E8" s="136" t="s">
        <v>1296</v>
      </c>
      <c r="F8" s="247" t="s">
        <v>33</v>
      </c>
      <c r="G8" s="248" t="s">
        <v>1083</v>
      </c>
      <c r="H8" s="78" t="s">
        <v>1297</v>
      </c>
      <c r="I8" s="249" t="s">
        <v>79</v>
      </c>
      <c r="J8" s="249"/>
      <c r="K8" s="202" t="s">
        <v>1295</v>
      </c>
      <c r="L8" s="321" t="s">
        <v>1951</v>
      </c>
      <c r="M8" s="146" t="s">
        <v>1298</v>
      </c>
      <c r="N8" s="258" t="s">
        <v>461</v>
      </c>
      <c r="O8" s="258" t="s">
        <v>461</v>
      </c>
      <c r="P8" s="251">
        <v>2022</v>
      </c>
      <c r="Q8" s="146" t="s">
        <v>1299</v>
      </c>
      <c r="R8" s="161" t="s">
        <v>1625</v>
      </c>
      <c r="S8" s="252">
        <v>45226</v>
      </c>
      <c r="T8" s="251">
        <f>DATEDIF(BaseARPs_finalizados[[#This Row],[INÍCIO DA VIGÊNCIA (assinatura)]],BaseARPs_finalizados[[#This Row],[FIM DA VIGÊNCIA]],"Y")</f>
        <v>1</v>
      </c>
      <c r="U8" s="250" t="s">
        <v>1292</v>
      </c>
      <c r="V8" s="250" t="s">
        <v>1293</v>
      </c>
      <c r="W8" s="254">
        <v>3481619.4</v>
      </c>
      <c r="X8" s="255" t="s">
        <v>54</v>
      </c>
      <c r="Y8" s="255"/>
      <c r="Z8" s="150"/>
      <c r="AA8" s="255"/>
    </row>
    <row r="9" spans="1:27" s="205" customFormat="1" ht="17.25" thickTop="1" thickBot="1" x14ac:dyDescent="0.3">
      <c r="A9" s="17"/>
      <c r="B9" s="42"/>
      <c r="C9" s="136" t="s">
        <v>146</v>
      </c>
      <c r="D9" s="136" t="s">
        <v>48</v>
      </c>
      <c r="E9" s="247" t="s">
        <v>1301</v>
      </c>
      <c r="F9" s="247" t="s">
        <v>28</v>
      </c>
      <c r="G9" s="248" t="s">
        <v>1083</v>
      </c>
      <c r="H9" s="78" t="s">
        <v>1309</v>
      </c>
      <c r="I9" s="249" t="s">
        <v>79</v>
      </c>
      <c r="J9" s="249"/>
      <c r="K9" s="249" t="s">
        <v>1300</v>
      </c>
      <c r="L9" s="318"/>
      <c r="M9" s="147" t="s">
        <v>1165</v>
      </c>
      <c r="N9" s="147" t="s">
        <v>1165</v>
      </c>
      <c r="O9" s="147" t="s">
        <v>1165</v>
      </c>
      <c r="P9" s="147" t="s">
        <v>1165</v>
      </c>
      <c r="Q9" s="147"/>
      <c r="R9" s="311"/>
      <c r="S9" s="311"/>
      <c r="T9" s="206">
        <f>DATEDIF(BaseARPs_finalizados[[#This Row],[INÍCIO DA VIGÊNCIA (assinatura)]],BaseARPs_finalizados[[#This Row],[FIM DA VIGÊNCIA]],"Y")</f>
        <v>0</v>
      </c>
      <c r="U9" s="147" t="s">
        <v>1165</v>
      </c>
      <c r="V9" s="147" t="s">
        <v>1165</v>
      </c>
      <c r="W9" s="207">
        <v>0</v>
      </c>
      <c r="X9" s="208"/>
      <c r="Y9" s="208"/>
      <c r="Z9" s="150"/>
      <c r="AA9" s="208"/>
    </row>
    <row r="10" spans="1:27" s="205" customFormat="1" ht="17.25" thickTop="1" thickBot="1" x14ac:dyDescent="0.3">
      <c r="A10" s="17"/>
      <c r="B10" s="42"/>
      <c r="C10" s="136" t="s">
        <v>146</v>
      </c>
      <c r="D10" s="136" t="s">
        <v>48</v>
      </c>
      <c r="E10" s="247" t="s">
        <v>1301</v>
      </c>
      <c r="F10" s="247" t="s">
        <v>28</v>
      </c>
      <c r="G10" s="248" t="s">
        <v>1083</v>
      </c>
      <c r="H10" s="78" t="s">
        <v>1309</v>
      </c>
      <c r="I10" s="249" t="s">
        <v>79</v>
      </c>
      <c r="J10" s="249"/>
      <c r="K10" s="202" t="s">
        <v>1302</v>
      </c>
      <c r="L10" s="321" t="s">
        <v>1785</v>
      </c>
      <c r="M10" s="250" t="s">
        <v>1303</v>
      </c>
      <c r="N10" s="258" t="s">
        <v>461</v>
      </c>
      <c r="O10" s="258" t="s">
        <v>461</v>
      </c>
      <c r="P10" s="251">
        <v>2022</v>
      </c>
      <c r="Q10" s="250" t="s">
        <v>1304</v>
      </c>
      <c r="R10" s="161" t="s">
        <v>1304</v>
      </c>
      <c r="S10" s="253">
        <v>45244</v>
      </c>
      <c r="T10" s="251">
        <f>DATEDIF(BaseARPs_finalizados[[#This Row],[INÍCIO DA VIGÊNCIA (assinatura)]],BaseARPs_finalizados[[#This Row],[FIM DA VIGÊNCIA]],"Y")</f>
        <v>1</v>
      </c>
      <c r="U10" s="250" t="s">
        <v>1305</v>
      </c>
      <c r="V10" s="250" t="s">
        <v>1306</v>
      </c>
      <c r="W10" s="254">
        <v>826837.7</v>
      </c>
      <c r="X10" s="255" t="s">
        <v>16</v>
      </c>
      <c r="Y10" s="255"/>
      <c r="Z10" s="150"/>
      <c r="AA10" s="255"/>
    </row>
    <row r="11" spans="1:27" s="205" customFormat="1" ht="17.25" thickTop="1" thickBot="1" x14ac:dyDescent="0.3">
      <c r="A11" s="17"/>
      <c r="B11" s="42"/>
      <c r="C11" s="136"/>
      <c r="D11" s="136"/>
      <c r="E11" s="136"/>
      <c r="F11" s="136"/>
      <c r="G11" s="78"/>
      <c r="H11" s="78"/>
      <c r="I11" s="202"/>
      <c r="J11" s="202"/>
      <c r="K11" s="202"/>
      <c r="L11" s="317"/>
      <c r="M11" s="146"/>
      <c r="N11" s="202"/>
      <c r="O11" s="202"/>
      <c r="P11" s="148"/>
      <c r="Q11" s="146"/>
      <c r="R11" s="161"/>
      <c r="S11" s="259"/>
      <c r="T11" s="148">
        <f>DATEDIF(BaseARPs_finalizados[[#This Row],[INÍCIO DA VIGÊNCIA (assinatura)]],BaseARPs_finalizados[[#This Row],[FIM DA VIGÊNCIA]],"Y")</f>
        <v>0</v>
      </c>
      <c r="U11" s="146"/>
      <c r="V11" s="146"/>
      <c r="W11" s="149"/>
      <c r="X11" s="150"/>
      <c r="Y11" s="150"/>
      <c r="Z11" s="150"/>
      <c r="AA11" s="150"/>
    </row>
    <row r="12" spans="1:27" s="205" customFormat="1" ht="17.25" thickTop="1" thickBot="1" x14ac:dyDescent="0.3">
      <c r="A12" s="17"/>
      <c r="B12" s="42"/>
      <c r="C12" s="136" t="s">
        <v>146</v>
      </c>
      <c r="D12" s="136" t="s">
        <v>48</v>
      </c>
      <c r="E12" s="136" t="s">
        <v>1308</v>
      </c>
      <c r="F12" s="247" t="s">
        <v>33</v>
      </c>
      <c r="G12" s="248" t="s">
        <v>1083</v>
      </c>
      <c r="H12" s="78" t="s">
        <v>1310</v>
      </c>
      <c r="I12" s="249" t="s">
        <v>79</v>
      </c>
      <c r="J12" s="249"/>
      <c r="K12" s="249" t="s">
        <v>1307</v>
      </c>
      <c r="L12" s="318"/>
      <c r="M12" s="147" t="s">
        <v>1165</v>
      </c>
      <c r="N12" s="147" t="s">
        <v>1165</v>
      </c>
      <c r="O12" s="147" t="s">
        <v>1165</v>
      </c>
      <c r="P12" s="147" t="s">
        <v>1165</v>
      </c>
      <c r="Q12" s="147"/>
      <c r="R12" s="311"/>
      <c r="S12" s="311"/>
      <c r="T12" s="206">
        <f>DATEDIF(BaseARPs_finalizados[[#This Row],[INÍCIO DA VIGÊNCIA (assinatura)]],BaseARPs_finalizados[[#This Row],[FIM DA VIGÊNCIA]],"Y")</f>
        <v>0</v>
      </c>
      <c r="U12" s="147" t="s">
        <v>1165</v>
      </c>
      <c r="V12" s="147" t="s">
        <v>1165</v>
      </c>
      <c r="W12" s="207">
        <v>0</v>
      </c>
      <c r="X12" s="208"/>
      <c r="Y12" s="208"/>
      <c r="Z12" s="150"/>
      <c r="AA12" s="208"/>
    </row>
    <row r="13" spans="1:27" s="205" customFormat="1" ht="17.25" thickTop="1" thickBot="1" x14ac:dyDescent="0.3">
      <c r="A13" s="17"/>
      <c r="B13" s="42"/>
      <c r="C13" s="136" t="s">
        <v>146</v>
      </c>
      <c r="D13" s="136" t="s">
        <v>48</v>
      </c>
      <c r="E13" s="136" t="s">
        <v>1308</v>
      </c>
      <c r="F13" s="247" t="s">
        <v>33</v>
      </c>
      <c r="G13" s="248" t="s">
        <v>1083</v>
      </c>
      <c r="H13" s="78" t="s">
        <v>1310</v>
      </c>
      <c r="I13" s="249" t="s">
        <v>79</v>
      </c>
      <c r="J13" s="249"/>
      <c r="K13" s="202" t="s">
        <v>1313</v>
      </c>
      <c r="L13" s="321" t="s">
        <v>1952</v>
      </c>
      <c r="M13" s="146" t="s">
        <v>1311</v>
      </c>
      <c r="N13" s="249"/>
      <c r="O13" s="249"/>
      <c r="P13" s="251">
        <v>2023</v>
      </c>
      <c r="Q13" s="146" t="s">
        <v>1312</v>
      </c>
      <c r="R13" s="252">
        <v>44938</v>
      </c>
      <c r="S13" s="253">
        <v>45303</v>
      </c>
      <c r="T13" s="251">
        <f>DATEDIF(BaseARPs_finalizados[[#This Row],[INÍCIO DA VIGÊNCIA (assinatura)]],BaseARPs_finalizados[[#This Row],[FIM DA VIGÊNCIA]],"Y")</f>
        <v>1</v>
      </c>
      <c r="U13" s="146" t="s">
        <v>827</v>
      </c>
      <c r="V13" s="146" t="s">
        <v>832</v>
      </c>
      <c r="W13" s="254">
        <v>4166614.47</v>
      </c>
      <c r="X13" s="255" t="s">
        <v>14</v>
      </c>
      <c r="Y13" s="255"/>
      <c r="Z13" s="150"/>
      <c r="AA13" s="255"/>
    </row>
    <row r="14" spans="1:27" s="205" customFormat="1" ht="17.25" thickTop="1" thickBot="1" x14ac:dyDescent="0.3">
      <c r="A14" s="17"/>
      <c r="B14" s="42"/>
      <c r="C14" s="136" t="s">
        <v>90</v>
      </c>
      <c r="D14" s="136" t="s">
        <v>78</v>
      </c>
      <c r="E14" s="136" t="s">
        <v>1315</v>
      </c>
      <c r="F14" s="136" t="s">
        <v>28</v>
      </c>
      <c r="G14" s="248" t="s">
        <v>1083</v>
      </c>
      <c r="H14" s="78" t="s">
        <v>1316</v>
      </c>
      <c r="I14" s="249" t="s">
        <v>79</v>
      </c>
      <c r="J14" s="249"/>
      <c r="K14" s="202" t="s">
        <v>1314</v>
      </c>
      <c r="L14" s="317"/>
      <c r="M14" s="147" t="s">
        <v>1165</v>
      </c>
      <c r="N14" s="147" t="s">
        <v>1165</v>
      </c>
      <c r="O14" s="147" t="s">
        <v>1165</v>
      </c>
      <c r="P14" s="147" t="s">
        <v>1165</v>
      </c>
      <c r="Q14" s="147"/>
      <c r="R14" s="311"/>
      <c r="S14" s="311"/>
      <c r="T14" s="206">
        <f>DATEDIF(BaseARPs_finalizados[[#This Row],[INÍCIO DA VIGÊNCIA (assinatura)]],BaseARPs_finalizados[[#This Row],[FIM DA VIGÊNCIA]],"Y")</f>
        <v>0</v>
      </c>
      <c r="U14" s="147" t="s">
        <v>1165</v>
      </c>
      <c r="V14" s="147" t="s">
        <v>1165</v>
      </c>
      <c r="W14" s="207">
        <v>0</v>
      </c>
      <c r="X14" s="208"/>
      <c r="Y14" s="208"/>
      <c r="Z14" s="150"/>
      <c r="AA14" s="208"/>
    </row>
    <row r="15" spans="1:27" s="205" customFormat="1" ht="17.25" thickTop="1" thickBot="1" x14ac:dyDescent="0.3">
      <c r="A15" s="17"/>
      <c r="B15" s="42"/>
      <c r="C15" s="136" t="s">
        <v>90</v>
      </c>
      <c r="D15" s="136" t="s">
        <v>78</v>
      </c>
      <c r="E15" s="136" t="s">
        <v>1315</v>
      </c>
      <c r="F15" s="136" t="s">
        <v>28</v>
      </c>
      <c r="G15" s="248" t="s">
        <v>1083</v>
      </c>
      <c r="H15" s="78" t="s">
        <v>1316</v>
      </c>
      <c r="I15" s="249" t="s">
        <v>79</v>
      </c>
      <c r="J15" s="249"/>
      <c r="K15" s="202" t="s">
        <v>1317</v>
      </c>
      <c r="L15" s="321" t="s">
        <v>1953</v>
      </c>
      <c r="M15" s="146" t="s">
        <v>1318</v>
      </c>
      <c r="N15" s="258" t="s">
        <v>461</v>
      </c>
      <c r="O15" s="258" t="s">
        <v>461</v>
      </c>
      <c r="P15" s="148">
        <v>2023</v>
      </c>
      <c r="Q15" s="146" t="s">
        <v>1319</v>
      </c>
      <c r="R15" s="161">
        <v>45273</v>
      </c>
      <c r="S15" s="259">
        <v>45639</v>
      </c>
      <c r="T15" s="148">
        <f>DATEDIF(BaseARPs_finalizados[[#This Row],[INÍCIO DA VIGÊNCIA (assinatura)]],BaseARPs_finalizados[[#This Row],[FIM DA VIGÊNCIA]],"Y")</f>
        <v>1</v>
      </c>
      <c r="U15" s="146" t="s">
        <v>1320</v>
      </c>
      <c r="V15" s="146" t="s">
        <v>283</v>
      </c>
      <c r="W15" s="149">
        <v>211920</v>
      </c>
      <c r="X15" s="150" t="s">
        <v>16</v>
      </c>
      <c r="Y15" s="150"/>
      <c r="Z15" s="150"/>
      <c r="AA15" s="150"/>
    </row>
    <row r="16" spans="1:27" s="205" customFormat="1" ht="17.25" thickTop="1" thickBot="1" x14ac:dyDescent="0.3">
      <c r="A16" s="17"/>
      <c r="B16" s="42"/>
      <c r="C16" s="136" t="s">
        <v>90</v>
      </c>
      <c r="D16" s="136" t="s">
        <v>78</v>
      </c>
      <c r="E16" s="136" t="s">
        <v>1315</v>
      </c>
      <c r="F16" s="136" t="s">
        <v>28</v>
      </c>
      <c r="G16" s="248" t="s">
        <v>1083</v>
      </c>
      <c r="H16" s="78" t="s">
        <v>1316</v>
      </c>
      <c r="I16" s="249" t="s">
        <v>79</v>
      </c>
      <c r="J16" s="249"/>
      <c r="K16" s="202" t="s">
        <v>1321</v>
      </c>
      <c r="L16" s="321" t="s">
        <v>1786</v>
      </c>
      <c r="M16" s="146" t="s">
        <v>1322</v>
      </c>
      <c r="N16" s="258" t="s">
        <v>461</v>
      </c>
      <c r="O16" s="258" t="s">
        <v>461</v>
      </c>
      <c r="P16" s="148">
        <v>2023</v>
      </c>
      <c r="Q16" s="146" t="s">
        <v>1323</v>
      </c>
      <c r="R16" s="161">
        <v>45272</v>
      </c>
      <c r="S16" s="259">
        <v>45638</v>
      </c>
      <c r="T16" s="148">
        <f>DATEDIF(BaseARPs_finalizados[[#This Row],[INÍCIO DA VIGÊNCIA (assinatura)]],BaseARPs_finalizados[[#This Row],[FIM DA VIGÊNCIA]],"Y")</f>
        <v>1</v>
      </c>
      <c r="U16" s="146" t="s">
        <v>1324</v>
      </c>
      <c r="V16" s="146" t="s">
        <v>275</v>
      </c>
      <c r="W16" s="149">
        <v>1013080</v>
      </c>
      <c r="X16" s="150" t="s">
        <v>16</v>
      </c>
      <c r="Y16" s="150"/>
      <c r="Z16" s="150"/>
      <c r="AA16" s="150"/>
    </row>
    <row r="17" spans="1:27" s="205" customFormat="1" ht="17.25" thickTop="1" thickBot="1" x14ac:dyDescent="0.3">
      <c r="A17" s="17"/>
      <c r="B17" s="42"/>
      <c r="C17" s="136" t="s">
        <v>90</v>
      </c>
      <c r="D17" s="136" t="s">
        <v>46</v>
      </c>
      <c r="E17" s="136" t="s">
        <v>1326</v>
      </c>
      <c r="F17" s="136" t="s">
        <v>33</v>
      </c>
      <c r="G17" s="248" t="s">
        <v>1083</v>
      </c>
      <c r="H17" s="78" t="s">
        <v>1331</v>
      </c>
      <c r="I17" s="249" t="s">
        <v>79</v>
      </c>
      <c r="J17" s="249"/>
      <c r="K17" s="202" t="s">
        <v>1325</v>
      </c>
      <c r="L17" s="321" t="s">
        <v>1787</v>
      </c>
      <c r="M17" s="146" t="s">
        <v>1327</v>
      </c>
      <c r="N17" s="258" t="s">
        <v>461</v>
      </c>
      <c r="O17" s="258" t="s">
        <v>461</v>
      </c>
      <c r="P17" s="148">
        <v>2023</v>
      </c>
      <c r="Q17" s="146" t="s">
        <v>1328</v>
      </c>
      <c r="R17" s="252">
        <v>45280</v>
      </c>
      <c r="S17" s="253">
        <v>45646</v>
      </c>
      <c r="T17" s="251">
        <f>DATEDIF(BaseARPs_finalizados[[#This Row],[INÍCIO DA VIGÊNCIA (assinatura)]],BaseARPs_finalizados[[#This Row],[FIM DA VIGÊNCIA]],"Y")</f>
        <v>1</v>
      </c>
      <c r="U17" s="146" t="s">
        <v>839</v>
      </c>
      <c r="V17" s="146" t="s">
        <v>367</v>
      </c>
      <c r="W17" s="254">
        <v>10119234.51</v>
      </c>
      <c r="X17" s="255" t="s">
        <v>54</v>
      </c>
      <c r="Y17" s="255"/>
      <c r="Z17" s="150"/>
      <c r="AA17" s="255"/>
    </row>
    <row r="18" spans="1:27" s="205" customFormat="1" ht="17.25" thickTop="1" thickBot="1" x14ac:dyDescent="0.3">
      <c r="A18" s="17"/>
      <c r="B18" s="42"/>
      <c r="C18" s="136" t="s">
        <v>90</v>
      </c>
      <c r="D18" s="136" t="s">
        <v>46</v>
      </c>
      <c r="E18" s="136" t="s">
        <v>1330</v>
      </c>
      <c r="F18" s="136" t="s">
        <v>33</v>
      </c>
      <c r="G18" s="248" t="s">
        <v>1083</v>
      </c>
      <c r="H18" s="78" t="s">
        <v>1332</v>
      </c>
      <c r="I18" s="249" t="s">
        <v>79</v>
      </c>
      <c r="J18" s="249"/>
      <c r="K18" s="202" t="s">
        <v>1329</v>
      </c>
      <c r="L18" s="321" t="s">
        <v>1954</v>
      </c>
      <c r="M18" s="146" t="s">
        <v>1333</v>
      </c>
      <c r="N18" s="258" t="s">
        <v>461</v>
      </c>
      <c r="O18" s="258" t="s">
        <v>461</v>
      </c>
      <c r="P18" s="148">
        <v>2023</v>
      </c>
      <c r="Q18" s="146" t="s">
        <v>129</v>
      </c>
      <c r="R18" s="161" t="s">
        <v>129</v>
      </c>
      <c r="S18" s="259">
        <v>45647</v>
      </c>
      <c r="T18" s="148">
        <f>DATEDIF(BaseARPs_finalizados[[#This Row],[INÍCIO DA VIGÊNCIA (assinatura)]],BaseARPs_finalizados[[#This Row],[FIM DA VIGÊNCIA]],"Y")</f>
        <v>1</v>
      </c>
      <c r="U18" s="146" t="s">
        <v>839</v>
      </c>
      <c r="V18" s="146" t="s">
        <v>367</v>
      </c>
      <c r="W18" s="149">
        <v>5528112.3899999997</v>
      </c>
      <c r="X18" s="255" t="s">
        <v>54</v>
      </c>
      <c r="Y18" s="150"/>
      <c r="Z18" s="150"/>
      <c r="AA18" s="255"/>
    </row>
    <row r="19" spans="1:27" s="205" customFormat="1" ht="17.25" thickTop="1" thickBot="1" x14ac:dyDescent="0.3">
      <c r="A19" s="17"/>
      <c r="B19" s="42"/>
      <c r="C19" s="247"/>
      <c r="D19" s="247"/>
      <c r="E19" s="247"/>
      <c r="F19" s="247"/>
      <c r="G19" s="248"/>
      <c r="H19" s="248"/>
      <c r="I19" s="249"/>
      <c r="J19" s="249"/>
      <c r="K19" s="249"/>
      <c r="L19" s="318"/>
      <c r="M19" s="250"/>
      <c r="N19" s="249"/>
      <c r="O19" s="249"/>
      <c r="P19" s="251"/>
      <c r="Q19" s="250"/>
      <c r="R19" s="252"/>
      <c r="S19" s="253"/>
      <c r="T19" s="251">
        <f>DATEDIF(BaseARPs_finalizados[[#This Row],[INÍCIO DA VIGÊNCIA (assinatura)]],BaseARPs_finalizados[[#This Row],[FIM DA VIGÊNCIA]],"Y")</f>
        <v>0</v>
      </c>
      <c r="U19" s="250"/>
      <c r="V19" s="250"/>
      <c r="W19" s="254"/>
      <c r="X19" s="255"/>
      <c r="Y19" s="255"/>
      <c r="Z19" s="150"/>
      <c r="AA19" s="255"/>
    </row>
    <row r="20" spans="1:27" s="17" customFormat="1" ht="18" customHeight="1" thickTop="1" thickBot="1" x14ac:dyDescent="0.3">
      <c r="B20" s="42"/>
      <c r="C20" s="136" t="s">
        <v>146</v>
      </c>
      <c r="D20" s="136" t="s">
        <v>48</v>
      </c>
      <c r="E20" s="136" t="s">
        <v>361</v>
      </c>
      <c r="F20" s="136" t="s">
        <v>28</v>
      </c>
      <c r="G20" s="78" t="s">
        <v>1083</v>
      </c>
      <c r="H20" s="78" t="s">
        <v>1334</v>
      </c>
      <c r="I20" s="146" t="s">
        <v>79</v>
      </c>
      <c r="J20" s="146"/>
      <c r="K20" s="146" t="s">
        <v>362</v>
      </c>
      <c r="L20" s="321" t="s">
        <v>1955</v>
      </c>
      <c r="M20" s="146" t="s">
        <v>1065</v>
      </c>
      <c r="N20" s="146" t="s">
        <v>786</v>
      </c>
      <c r="O20" s="146" t="s">
        <v>787</v>
      </c>
      <c r="P20" s="148">
        <v>2024</v>
      </c>
      <c r="Q20" s="161">
        <v>45397</v>
      </c>
      <c r="R20" s="161">
        <v>45427</v>
      </c>
      <c r="S20" s="161">
        <v>45792</v>
      </c>
      <c r="T20" s="148">
        <f>DATEDIF(BaseARPs_finalizados[[#This Row],[INÍCIO DA VIGÊNCIA (assinatura)]],BaseARPs_finalizados[[#This Row],[FIM DA VIGÊNCIA]],"Y")</f>
        <v>1</v>
      </c>
      <c r="U20" s="146" t="s">
        <v>364</v>
      </c>
      <c r="V20" s="146" t="s">
        <v>365</v>
      </c>
      <c r="W20" s="149">
        <v>180000</v>
      </c>
      <c r="X20" s="150" t="s">
        <v>16</v>
      </c>
      <c r="Y20" s="150" t="s">
        <v>9</v>
      </c>
      <c r="Z20" s="150" t="s">
        <v>1071</v>
      </c>
      <c r="AA20" s="150"/>
    </row>
    <row r="21" spans="1:27" s="17" customFormat="1" ht="18" customHeight="1" thickTop="1" thickBot="1" x14ac:dyDescent="0.3">
      <c r="B21" s="42"/>
      <c r="C21" s="136"/>
      <c r="D21" s="136"/>
      <c r="E21" s="136"/>
      <c r="F21" s="136"/>
      <c r="G21" s="78"/>
      <c r="H21" s="78"/>
      <c r="I21" s="202"/>
      <c r="J21" s="202"/>
      <c r="K21" s="202"/>
      <c r="L21" s="317"/>
      <c r="M21" s="146"/>
      <c r="N21" s="202"/>
      <c r="O21" s="202"/>
      <c r="P21" s="148"/>
      <c r="Q21" s="146"/>
      <c r="R21" s="161"/>
      <c r="S21" s="259"/>
      <c r="T21" s="148">
        <f>DATEDIF(BaseARPs_finalizados[[#This Row],[INÍCIO DA VIGÊNCIA (assinatura)]],BaseARPs_finalizados[[#This Row],[FIM DA VIGÊNCIA]],"Y")</f>
        <v>0</v>
      </c>
      <c r="U21" s="146"/>
      <c r="V21" s="146"/>
      <c r="W21" s="149"/>
      <c r="X21" s="150"/>
      <c r="Y21" s="150"/>
      <c r="Z21" s="150"/>
      <c r="AA21" s="150"/>
    </row>
    <row r="22" spans="1:27" s="17" customFormat="1" ht="18" customHeight="1" thickTop="1" thickBot="1" x14ac:dyDescent="0.3">
      <c r="B22" s="42"/>
      <c r="C22" s="136" t="s">
        <v>90</v>
      </c>
      <c r="D22" s="136" t="s">
        <v>47</v>
      </c>
      <c r="E22" s="136" t="s">
        <v>1082</v>
      </c>
      <c r="F22" s="136" t="s">
        <v>29</v>
      </c>
      <c r="G22" s="78" t="s">
        <v>1083</v>
      </c>
      <c r="H22" s="78" t="s">
        <v>1079</v>
      </c>
      <c r="I22" s="146" t="s">
        <v>79</v>
      </c>
      <c r="J22" s="146"/>
      <c r="K22" s="146" t="s">
        <v>1164</v>
      </c>
      <c r="L22" s="316"/>
      <c r="M22" s="147" t="s">
        <v>1165</v>
      </c>
      <c r="N22" s="147" t="s">
        <v>1165</v>
      </c>
      <c r="O22" s="147" t="s">
        <v>1165</v>
      </c>
      <c r="P22" s="147" t="s">
        <v>1165</v>
      </c>
      <c r="Q22" s="147"/>
      <c r="R22" s="311"/>
      <c r="S22" s="311"/>
      <c r="T22" s="206">
        <f>DATEDIF(BaseARPs_finalizados[[#This Row],[INÍCIO DA VIGÊNCIA (assinatura)]],BaseARPs_finalizados[[#This Row],[FIM DA VIGÊNCIA]],"Y")</f>
        <v>0</v>
      </c>
      <c r="U22" s="147" t="s">
        <v>1165</v>
      </c>
      <c r="V22" s="147" t="s">
        <v>1165</v>
      </c>
      <c r="W22" s="207">
        <v>0</v>
      </c>
      <c r="X22" s="208"/>
      <c r="Y22" s="208"/>
      <c r="Z22" s="150"/>
      <c r="AA22" s="208"/>
    </row>
    <row r="23" spans="1:27" s="205" customFormat="1" ht="17.25" thickTop="1" thickBot="1" x14ac:dyDescent="0.3">
      <c r="A23" s="17"/>
      <c r="B23" s="42"/>
      <c r="C23" s="136" t="s">
        <v>90</v>
      </c>
      <c r="D23" s="136" t="s">
        <v>47</v>
      </c>
      <c r="E23" s="136" t="s">
        <v>1082</v>
      </c>
      <c r="F23" s="136" t="s">
        <v>29</v>
      </c>
      <c r="G23" s="78" t="s">
        <v>1083</v>
      </c>
      <c r="H23" s="78" t="s">
        <v>1079</v>
      </c>
      <c r="I23" s="146" t="s">
        <v>79</v>
      </c>
      <c r="J23" s="146"/>
      <c r="K23" s="146" t="s">
        <v>1073</v>
      </c>
      <c r="L23" s="321" t="s">
        <v>1956</v>
      </c>
      <c r="M23" s="146" t="s">
        <v>1084</v>
      </c>
      <c r="N23" s="146" t="s">
        <v>1129</v>
      </c>
      <c r="O23" s="146" t="s">
        <v>911</v>
      </c>
      <c r="P23" s="148">
        <v>2025</v>
      </c>
      <c r="Q23" s="146" t="s">
        <v>1085</v>
      </c>
      <c r="R23" s="161" t="s">
        <v>1085</v>
      </c>
      <c r="S23" s="161" t="s">
        <v>1086</v>
      </c>
      <c r="T23" s="148">
        <f>DATEDIF(BaseARPs_finalizados[[#This Row],[INÍCIO DA VIGÊNCIA (assinatura)]],BaseARPs_finalizados[[#This Row],[FIM DA VIGÊNCIA]],"Y")</f>
        <v>1</v>
      </c>
      <c r="U23" s="146" t="s">
        <v>1080</v>
      </c>
      <c r="V23" s="146" t="s">
        <v>1081</v>
      </c>
      <c r="W23" s="149">
        <v>6376307.2000000002</v>
      </c>
      <c r="X23" s="150" t="s">
        <v>54</v>
      </c>
      <c r="Y23" s="150" t="s">
        <v>9</v>
      </c>
      <c r="Z23" s="150"/>
      <c r="AA23" s="150" t="s">
        <v>1198</v>
      </c>
    </row>
    <row r="24" spans="1:27" s="205" customFormat="1" ht="17.25" thickTop="1" thickBot="1" x14ac:dyDescent="0.3">
      <c r="A24" s="17"/>
      <c r="B24" s="42"/>
      <c r="C24" s="136" t="s">
        <v>90</v>
      </c>
      <c r="D24" s="136" t="s">
        <v>73</v>
      </c>
      <c r="E24" s="136" t="s">
        <v>1087</v>
      </c>
      <c r="F24" s="136" t="s">
        <v>28</v>
      </c>
      <c r="G24" s="78" t="s">
        <v>1083</v>
      </c>
      <c r="H24" s="78" t="s">
        <v>1088</v>
      </c>
      <c r="I24" s="146" t="s">
        <v>79</v>
      </c>
      <c r="J24" s="146"/>
      <c r="K24" s="146" t="s">
        <v>1074</v>
      </c>
      <c r="L24" s="321" t="s">
        <v>1957</v>
      </c>
      <c r="M24" s="146" t="s">
        <v>1089</v>
      </c>
      <c r="N24" s="146" t="s">
        <v>1163</v>
      </c>
      <c r="O24" s="146" t="s">
        <v>1163</v>
      </c>
      <c r="P24" s="148">
        <v>2025</v>
      </c>
      <c r="Q24" s="146" t="s">
        <v>1160</v>
      </c>
      <c r="R24" s="161" t="s">
        <v>1136</v>
      </c>
      <c r="S24" s="161" t="s">
        <v>1194</v>
      </c>
      <c r="T24" s="148">
        <f>DATEDIF(BaseARPs_finalizados[[#This Row],[INÍCIO DA VIGÊNCIA (assinatura)]],BaseARPs_finalizados[[#This Row],[FIM DA VIGÊNCIA]],"Y")</f>
        <v>1</v>
      </c>
      <c r="U24" s="146" t="s">
        <v>1161</v>
      </c>
      <c r="V24" s="146" t="s">
        <v>1162</v>
      </c>
      <c r="W24" s="149">
        <v>325.5</v>
      </c>
      <c r="X24" s="150" t="s">
        <v>15</v>
      </c>
      <c r="Y24" s="150" t="s">
        <v>9</v>
      </c>
      <c r="Z24" s="150"/>
      <c r="AA24" s="150" t="s">
        <v>1198</v>
      </c>
    </row>
    <row r="25" spans="1:27" s="205" customFormat="1" ht="17.25" thickTop="1" thickBot="1" x14ac:dyDescent="0.3">
      <c r="A25" s="17"/>
      <c r="B25" s="42"/>
      <c r="C25" s="136" t="s">
        <v>90</v>
      </c>
      <c r="D25" s="136" t="s">
        <v>73</v>
      </c>
      <c r="E25" s="136" t="s">
        <v>1087</v>
      </c>
      <c r="F25" s="136" t="s">
        <v>28</v>
      </c>
      <c r="G25" s="78" t="s">
        <v>1083</v>
      </c>
      <c r="H25" s="78" t="s">
        <v>1088</v>
      </c>
      <c r="I25" s="146" t="s">
        <v>79</v>
      </c>
      <c r="J25" s="146"/>
      <c r="K25" s="146" t="s">
        <v>1075</v>
      </c>
      <c r="L25" s="321" t="s">
        <v>1958</v>
      </c>
      <c r="M25" s="146" t="s">
        <v>1090</v>
      </c>
      <c r="N25" s="146" t="s">
        <v>1163</v>
      </c>
      <c r="O25" s="146" t="s">
        <v>1163</v>
      </c>
      <c r="P25" s="148">
        <v>2025</v>
      </c>
      <c r="Q25" s="146" t="s">
        <v>1158</v>
      </c>
      <c r="R25" s="161" t="s">
        <v>1136</v>
      </c>
      <c r="S25" s="161" t="s">
        <v>1194</v>
      </c>
      <c r="T25" s="148">
        <f>DATEDIF(BaseARPs_finalizados[[#This Row],[INÍCIO DA VIGÊNCIA (assinatura)]],BaseARPs_finalizados[[#This Row],[FIM DA VIGÊNCIA]],"Y")</f>
        <v>1</v>
      </c>
      <c r="U25" s="146" t="s">
        <v>1156</v>
      </c>
      <c r="V25" s="146" t="s">
        <v>1157</v>
      </c>
      <c r="W25" s="149">
        <v>19399.5</v>
      </c>
      <c r="X25" s="150" t="s">
        <v>15</v>
      </c>
      <c r="Y25" s="150" t="s">
        <v>9</v>
      </c>
      <c r="Z25" s="150"/>
      <c r="AA25" s="150" t="s">
        <v>1198</v>
      </c>
    </row>
    <row r="26" spans="1:27" s="205" customFormat="1" ht="17.25" thickTop="1" thickBot="1" x14ac:dyDescent="0.3">
      <c r="A26" s="17"/>
      <c r="B26" s="42"/>
      <c r="C26" s="136" t="s">
        <v>90</v>
      </c>
      <c r="D26" s="136" t="s">
        <v>73</v>
      </c>
      <c r="E26" s="136" t="s">
        <v>1087</v>
      </c>
      <c r="F26" s="136" t="s">
        <v>28</v>
      </c>
      <c r="G26" s="78" t="s">
        <v>1083</v>
      </c>
      <c r="H26" s="78" t="s">
        <v>1088</v>
      </c>
      <c r="I26" s="146" t="s">
        <v>79</v>
      </c>
      <c r="J26" s="146"/>
      <c r="K26" s="146" t="s">
        <v>1076</v>
      </c>
      <c r="L26" s="321" t="s">
        <v>1959</v>
      </c>
      <c r="M26" s="146" t="s">
        <v>1091</v>
      </c>
      <c r="N26" s="146" t="s">
        <v>1163</v>
      </c>
      <c r="O26" s="146" t="s">
        <v>1163</v>
      </c>
      <c r="P26" s="148">
        <v>2025</v>
      </c>
      <c r="Q26" s="146" t="s">
        <v>1085</v>
      </c>
      <c r="R26" s="161" t="s">
        <v>1136</v>
      </c>
      <c r="S26" s="161" t="s">
        <v>1194</v>
      </c>
      <c r="T26" s="148">
        <f>DATEDIF(BaseARPs_finalizados[[#This Row],[INÍCIO DA VIGÊNCIA (assinatura)]],BaseARPs_finalizados[[#This Row],[FIM DA VIGÊNCIA]],"Y")</f>
        <v>1</v>
      </c>
      <c r="U26" s="146" t="s">
        <v>1155</v>
      </c>
      <c r="V26" s="146" t="s">
        <v>1154</v>
      </c>
      <c r="W26" s="149">
        <f>788.9+2811.4+7180</f>
        <v>10780.3</v>
      </c>
      <c r="X26" s="150" t="s">
        <v>15</v>
      </c>
      <c r="Y26" s="150" t="s">
        <v>9</v>
      </c>
      <c r="Z26" s="150"/>
      <c r="AA26" s="150" t="s">
        <v>1198</v>
      </c>
    </row>
    <row r="27" spans="1:27" s="205" customFormat="1" ht="17.25" thickTop="1" thickBot="1" x14ac:dyDescent="0.3">
      <c r="A27" s="17"/>
      <c r="B27" s="42"/>
      <c r="C27" s="136" t="s">
        <v>146</v>
      </c>
      <c r="D27" s="136" t="s">
        <v>48</v>
      </c>
      <c r="E27" s="136" t="s">
        <v>1092</v>
      </c>
      <c r="F27" s="136" t="s">
        <v>33</v>
      </c>
      <c r="G27" s="78" t="s">
        <v>1083</v>
      </c>
      <c r="H27" s="78" t="s">
        <v>1093</v>
      </c>
      <c r="I27" s="146" t="s">
        <v>79</v>
      </c>
      <c r="J27" s="146"/>
      <c r="K27" s="146" t="s">
        <v>1077</v>
      </c>
      <c r="L27" s="321" t="s">
        <v>1960</v>
      </c>
      <c r="M27" s="146" t="s">
        <v>1094</v>
      </c>
      <c r="N27" s="146" t="s">
        <v>1163</v>
      </c>
      <c r="O27" s="146" t="s">
        <v>1163</v>
      </c>
      <c r="P27" s="148">
        <v>2025</v>
      </c>
      <c r="Q27" s="146" t="s">
        <v>1191</v>
      </c>
      <c r="R27" s="161" t="s">
        <v>1191</v>
      </c>
      <c r="S27" s="161" t="s">
        <v>1192</v>
      </c>
      <c r="T27" s="148">
        <f>DATEDIF(BaseARPs_finalizados[[#This Row],[INÍCIO DA VIGÊNCIA (assinatura)]],BaseARPs_finalizados[[#This Row],[FIM DA VIGÊNCIA]],"Y")</f>
        <v>1</v>
      </c>
      <c r="U27" s="146" t="s">
        <v>827</v>
      </c>
      <c r="V27" s="146" t="s">
        <v>832</v>
      </c>
      <c r="W27" s="149">
        <v>521187.45</v>
      </c>
      <c r="X27" s="150" t="s">
        <v>14</v>
      </c>
      <c r="Y27" s="150" t="s">
        <v>9</v>
      </c>
      <c r="Z27" s="150"/>
      <c r="AA27" s="150" t="s">
        <v>1198</v>
      </c>
    </row>
    <row r="28" spans="1:27" s="212" customFormat="1" ht="17.25" thickTop="1" thickBot="1" x14ac:dyDescent="0.3">
      <c r="A28" s="86"/>
      <c r="B28" s="85"/>
      <c r="C28" s="136" t="s">
        <v>146</v>
      </c>
      <c r="D28" s="136" t="s">
        <v>48</v>
      </c>
      <c r="E28" s="136" t="s">
        <v>1092</v>
      </c>
      <c r="F28" s="136" t="s">
        <v>33</v>
      </c>
      <c r="G28" s="78" t="s">
        <v>1083</v>
      </c>
      <c r="H28" s="78" t="s">
        <v>1093</v>
      </c>
      <c r="I28" s="146" t="s">
        <v>79</v>
      </c>
      <c r="J28" s="146"/>
      <c r="K28" s="146" t="s">
        <v>1078</v>
      </c>
      <c r="L28" s="316"/>
      <c r="M28" s="147" t="s">
        <v>1165</v>
      </c>
      <c r="N28" s="147" t="s">
        <v>1165</v>
      </c>
      <c r="O28" s="147" t="s">
        <v>1165</v>
      </c>
      <c r="P28" s="147" t="s">
        <v>1165</v>
      </c>
      <c r="Q28" s="147"/>
      <c r="R28" s="311"/>
      <c r="S28" s="311"/>
      <c r="T28" s="209">
        <f>DATEDIF(BaseARPs_finalizados[[#This Row],[INÍCIO DA VIGÊNCIA (assinatura)]],BaseARPs_finalizados[[#This Row],[FIM DA VIGÊNCIA]],"Y")</f>
        <v>0</v>
      </c>
      <c r="U28" s="147"/>
      <c r="V28" s="147"/>
      <c r="W28" s="210"/>
      <c r="X28" s="211"/>
      <c r="Y28" s="211"/>
      <c r="Z28" s="211"/>
      <c r="AA28" s="211"/>
    </row>
    <row r="29" spans="1:27" s="205" customFormat="1" ht="17.25" thickTop="1" thickBot="1" x14ac:dyDescent="0.3">
      <c r="A29" s="17"/>
      <c r="B29" s="42"/>
      <c r="C29" s="136" t="s">
        <v>146</v>
      </c>
      <c r="D29" s="136" t="s">
        <v>48</v>
      </c>
      <c r="E29" s="136" t="s">
        <v>1092</v>
      </c>
      <c r="F29" s="136" t="s">
        <v>33</v>
      </c>
      <c r="G29" s="78" t="s">
        <v>1083</v>
      </c>
      <c r="H29" s="78" t="s">
        <v>1093</v>
      </c>
      <c r="I29" s="146" t="s">
        <v>79</v>
      </c>
      <c r="J29" s="146"/>
      <c r="K29" s="146" t="s">
        <v>1166</v>
      </c>
      <c r="L29" s="321" t="s">
        <v>1961</v>
      </c>
      <c r="M29" s="146" t="s">
        <v>1195</v>
      </c>
      <c r="N29" s="146" t="s">
        <v>1163</v>
      </c>
      <c r="O29" s="146" t="s">
        <v>1163</v>
      </c>
      <c r="P29" s="148">
        <v>2025</v>
      </c>
      <c r="Q29" s="146" t="s">
        <v>1191</v>
      </c>
      <c r="R29" s="161" t="s">
        <v>1191</v>
      </c>
      <c r="S29" s="161" t="s">
        <v>1192</v>
      </c>
      <c r="T29" s="148">
        <f>DATEDIF(BaseARPs_finalizados[[#This Row],[INÍCIO DA VIGÊNCIA (assinatura)]],BaseARPs_finalizados[[#This Row],[FIM DA VIGÊNCIA]],"Y")</f>
        <v>1</v>
      </c>
      <c r="U29" s="146" t="s">
        <v>1196</v>
      </c>
      <c r="V29" s="146" t="s">
        <v>1193</v>
      </c>
      <c r="W29" s="149">
        <v>937756.06</v>
      </c>
      <c r="X29" s="150" t="s">
        <v>14</v>
      </c>
      <c r="Y29" s="150" t="s">
        <v>9</v>
      </c>
      <c r="Z29" s="150"/>
      <c r="AA29" s="150" t="s">
        <v>1198</v>
      </c>
    </row>
    <row r="30" spans="1:27" s="205" customFormat="1" ht="17.25" thickTop="1" thickBot="1" x14ac:dyDescent="0.3">
      <c r="A30" s="17"/>
      <c r="B30" s="42"/>
      <c r="C30" s="136" t="s">
        <v>90</v>
      </c>
      <c r="D30" s="136" t="s">
        <v>51</v>
      </c>
      <c r="E30" s="136" t="s">
        <v>1366</v>
      </c>
      <c r="F30" s="247" t="s">
        <v>28</v>
      </c>
      <c r="G30" s="78" t="s">
        <v>1083</v>
      </c>
      <c r="H30" s="78" t="s">
        <v>1372</v>
      </c>
      <c r="I30" s="146" t="s">
        <v>79</v>
      </c>
      <c r="J30" s="146" t="s">
        <v>1836</v>
      </c>
      <c r="K30" s="202" t="s">
        <v>1364</v>
      </c>
      <c r="L30" s="321" t="s">
        <v>1962</v>
      </c>
      <c r="M30" s="146" t="s">
        <v>1365</v>
      </c>
      <c r="N30" s="249"/>
      <c r="O30" s="146" t="s">
        <v>1163</v>
      </c>
      <c r="P30" s="251">
        <v>2025</v>
      </c>
      <c r="Q30" s="146" t="s">
        <v>1367</v>
      </c>
      <c r="R30" s="161">
        <v>45875</v>
      </c>
      <c r="S30" s="161">
        <v>46240</v>
      </c>
      <c r="T30" s="148">
        <f>DATEDIF(BaseARPs_finalizados[[#This Row],[INÍCIO DA VIGÊNCIA (assinatura)]],BaseARPs_finalizados[[#This Row],[FIM DA VIGÊNCIA]],"Y")</f>
        <v>1</v>
      </c>
      <c r="U30" s="146" t="s">
        <v>1369</v>
      </c>
      <c r="V30" s="146" t="s">
        <v>1370</v>
      </c>
      <c r="W30" s="254">
        <v>7748400</v>
      </c>
      <c r="X30" s="150" t="s">
        <v>54</v>
      </c>
      <c r="Y30" s="150" t="s">
        <v>9</v>
      </c>
      <c r="Z30" s="150"/>
      <c r="AA30" s="150" t="s">
        <v>1198</v>
      </c>
    </row>
    <row r="31" spans="1:27" s="205" customFormat="1" ht="17.25" thickTop="1" thickBot="1" x14ac:dyDescent="0.3">
      <c r="A31" s="17"/>
      <c r="B31" s="42"/>
      <c r="C31" s="136" t="s">
        <v>90</v>
      </c>
      <c r="D31" s="136" t="s">
        <v>46</v>
      </c>
      <c r="E31" s="136" t="s">
        <v>1463</v>
      </c>
      <c r="F31" s="136" t="s">
        <v>33</v>
      </c>
      <c r="G31" s="78" t="s">
        <v>1083</v>
      </c>
      <c r="H31" s="78" t="s">
        <v>1464</v>
      </c>
      <c r="I31" s="146" t="s">
        <v>79</v>
      </c>
      <c r="J31" s="146" t="s">
        <v>1836</v>
      </c>
      <c r="K31" s="202" t="s">
        <v>1465</v>
      </c>
      <c r="L31" s="321" t="s">
        <v>1963</v>
      </c>
      <c r="M31" s="146" t="s">
        <v>1466</v>
      </c>
      <c r="N31" s="249"/>
      <c r="O31" s="202" t="s">
        <v>388</v>
      </c>
      <c r="P31" s="251">
        <v>2025</v>
      </c>
      <c r="Q31" s="146" t="s">
        <v>1467</v>
      </c>
      <c r="R31" s="252">
        <v>45951</v>
      </c>
      <c r="S31" s="252">
        <v>46316</v>
      </c>
      <c r="T31" s="251">
        <f>DATEDIF(BaseARPs_finalizados[[#This Row],[INÍCIO DA VIGÊNCIA (assinatura)]],BaseARPs_finalizados[[#This Row],[FIM DA VIGÊNCIA]],"Y")</f>
        <v>1</v>
      </c>
      <c r="U31" s="146" t="s">
        <v>1468</v>
      </c>
      <c r="V31" s="146" t="s">
        <v>1469</v>
      </c>
      <c r="W31" s="254">
        <v>1123000</v>
      </c>
      <c r="X31" s="150" t="s">
        <v>54</v>
      </c>
      <c r="Y31" s="150" t="s">
        <v>9</v>
      </c>
      <c r="Z31" s="150"/>
      <c r="AA31" s="150" t="s">
        <v>1198</v>
      </c>
    </row>
    <row r="32" spans="1:27" s="205" customFormat="1" ht="17.25" thickTop="1" thickBot="1" x14ac:dyDescent="0.3">
      <c r="A32" s="17"/>
      <c r="B32" s="42"/>
      <c r="C32" s="247"/>
      <c r="D32" s="247"/>
      <c r="E32" s="247"/>
      <c r="F32" s="247"/>
      <c r="G32" s="248"/>
      <c r="H32" s="248"/>
      <c r="I32" s="249"/>
      <c r="J32" s="249"/>
      <c r="K32" s="260"/>
      <c r="L32" s="319"/>
      <c r="M32" s="250"/>
      <c r="N32" s="249"/>
      <c r="O32" s="249"/>
      <c r="P32" s="251"/>
      <c r="Q32" s="250"/>
      <c r="R32" s="252"/>
      <c r="S32" s="253"/>
      <c r="T32" s="251">
        <f>DATEDIF(BaseARPs_finalizados[[#This Row],[INÍCIO DA VIGÊNCIA (assinatura)]],BaseARPs_finalizados[[#This Row],[FIM DA VIGÊNCIA]],"Y")</f>
        <v>0</v>
      </c>
      <c r="U32" s="250"/>
      <c r="V32" s="250"/>
      <c r="W32" s="254"/>
      <c r="X32" s="255"/>
      <c r="Y32" s="255"/>
      <c r="Z32" s="150"/>
      <c r="AA32" s="255"/>
    </row>
    <row r="33" spans="1:27" s="205" customFormat="1" ht="17.25" thickTop="1" thickBot="1" x14ac:dyDescent="0.3">
      <c r="A33" s="17"/>
      <c r="B33" s="42"/>
      <c r="C33" s="136" t="s">
        <v>1811</v>
      </c>
      <c r="D33" s="136" t="s">
        <v>1812</v>
      </c>
      <c r="E33" s="136" t="s">
        <v>1810</v>
      </c>
      <c r="F33" s="247" t="s">
        <v>33</v>
      </c>
      <c r="G33" s="78" t="s">
        <v>1083</v>
      </c>
      <c r="H33" s="78" t="s">
        <v>1813</v>
      </c>
      <c r="I33" s="249" t="s">
        <v>79</v>
      </c>
      <c r="J33" s="249"/>
      <c r="K33" s="344" t="s">
        <v>1809</v>
      </c>
      <c r="L33" s="318"/>
      <c r="M33" s="147" t="s">
        <v>1165</v>
      </c>
      <c r="N33" s="147" t="s">
        <v>1165</v>
      </c>
      <c r="O33" s="147" t="s">
        <v>1165</v>
      </c>
      <c r="P33" s="147" t="s">
        <v>1165</v>
      </c>
      <c r="Q33" s="147"/>
      <c r="R33" s="311"/>
      <c r="S33" s="311"/>
      <c r="T33" s="206">
        <f>DATEDIF(BaseARPs_finalizados[[#This Row],[INÍCIO DA VIGÊNCIA (assinatura)]],BaseARPs_finalizados[[#This Row],[FIM DA VIGÊNCIA]],"Y")</f>
        <v>0</v>
      </c>
      <c r="U33" s="147" t="s">
        <v>1165</v>
      </c>
      <c r="V33" s="147" t="s">
        <v>1165</v>
      </c>
      <c r="W33" s="207">
        <v>0</v>
      </c>
      <c r="X33" s="208"/>
      <c r="Y33" s="208"/>
      <c r="Z33" s="150"/>
      <c r="AA33" s="208"/>
    </row>
    <row r="34" spans="1:27" s="205" customFormat="1" ht="17.25" thickTop="1" thickBot="1" x14ac:dyDescent="0.3">
      <c r="A34" s="17"/>
      <c r="B34" s="42"/>
      <c r="C34" s="136" t="s">
        <v>1811</v>
      </c>
      <c r="D34" s="136" t="s">
        <v>1812</v>
      </c>
      <c r="E34" s="136" t="s">
        <v>1810</v>
      </c>
      <c r="F34" s="136" t="s">
        <v>33</v>
      </c>
      <c r="G34" s="78" t="s">
        <v>1083</v>
      </c>
      <c r="H34" s="78" t="s">
        <v>1813</v>
      </c>
      <c r="I34" s="202" t="s">
        <v>79</v>
      </c>
      <c r="J34" s="146" t="s">
        <v>1836</v>
      </c>
      <c r="K34" s="146" t="s">
        <v>1808</v>
      </c>
      <c r="L34" s="321" t="s">
        <v>1964</v>
      </c>
      <c r="M34" s="146" t="s">
        <v>2012</v>
      </c>
      <c r="N34" s="146" t="s">
        <v>1814</v>
      </c>
      <c r="O34" s="146" t="s">
        <v>1815</v>
      </c>
      <c r="P34" s="148">
        <v>2026</v>
      </c>
      <c r="Q34" s="146" t="s">
        <v>1816</v>
      </c>
      <c r="R34" s="146" t="s">
        <v>1816</v>
      </c>
      <c r="S34" s="161">
        <v>46512</v>
      </c>
      <c r="T34" s="148">
        <f>DATEDIF(BaseARPs_finalizados[[#This Row],[INÍCIO DA VIGÊNCIA (assinatura)]],BaseARPs_finalizados[[#This Row],[FIM DA VIGÊNCIA]],"Y")</f>
        <v>1</v>
      </c>
      <c r="U34" s="146" t="s">
        <v>1817</v>
      </c>
      <c r="V34" s="146" t="s">
        <v>1818</v>
      </c>
      <c r="W34" s="149">
        <v>140850</v>
      </c>
      <c r="X34" s="150" t="s">
        <v>14</v>
      </c>
      <c r="Y34" s="150" t="s">
        <v>9</v>
      </c>
      <c r="Z34" s="150"/>
      <c r="AA34" s="150"/>
    </row>
    <row r="35" spans="1:27" ht="16.5" thickTop="1" x14ac:dyDescent="0.25"/>
    <row r="37" spans="1:27" x14ac:dyDescent="0.25">
      <c r="M37" s="155"/>
    </row>
  </sheetData>
  <mergeCells count="2">
    <mergeCell ref="C3:F3"/>
    <mergeCell ref="G3:H3"/>
  </mergeCells>
  <dataValidations count="3">
    <dataValidation allowBlank="1" showInputMessage="1" showErrorMessage="1" promptTitle="Nº Contrato" prompt="Não informar o ano, exceto se for empenho._x000a_Ex: CTR-00070_x000a__x000a_" sqref="K4" xr:uid="{00000000-0002-0000-0200-000001000000}"/>
    <dataValidation allowBlank="1" showInputMessage="1" showErrorMessage="1" promptTitle="Nº Contrato" prompt="Não informar o ano, exceto se for empenho._x000a_Ex: _x000a__x000a_" sqref="W4 P4:Q4" xr:uid="{00000000-0002-0000-0200-000002000000}"/>
    <dataValidation allowBlank="1" showInputMessage="1" showErrorMessage="1" prompt="Art.48, L.13.303/16" sqref="X4" xr:uid="{00000000-0002-0000-0200-000000000000}"/>
  </dataValidations>
  <hyperlinks>
    <hyperlink ref="L23" r:id="rId1" xr:uid="{E71D9496-EBFB-4747-9AEB-A62FA02E4832}"/>
    <hyperlink ref="L24" r:id="rId2" xr:uid="{0C25DD80-3869-491C-B37F-0DAA07825F88}"/>
    <hyperlink ref="L25" r:id="rId3" xr:uid="{C48935AF-4CD7-4BC3-A318-B74395817E16}"/>
    <hyperlink ref="L26" r:id="rId4" xr:uid="{A5DD81F2-A548-4774-99E8-F8CE11FB5249}"/>
    <hyperlink ref="L27" r:id="rId5" xr:uid="{A143179E-2131-4C9B-8E08-D9E776ABC486}"/>
    <hyperlink ref="L29" r:id="rId6" xr:uid="{D9628D8C-72FA-4802-851C-FEA371C871B4}"/>
    <hyperlink ref="L30" r:id="rId7" xr:uid="{5D7A5E52-CC82-4589-81BC-C19A37B22549}"/>
    <hyperlink ref="L31" r:id="rId8" xr:uid="{841429F8-6538-4C2B-8188-0CBCCC4867E0}"/>
    <hyperlink ref="L5" r:id="rId9" xr:uid="{73D5A469-4417-4743-89CE-CF043A2CE17A}"/>
    <hyperlink ref="L7" r:id="rId10" xr:uid="{D18FAA9A-01F4-48F3-8328-FEF81A0914A1}"/>
    <hyperlink ref="L8" r:id="rId11" xr:uid="{942FF614-7C20-4B83-83D4-16A6CF32E36C}"/>
    <hyperlink ref="L10" r:id="rId12" xr:uid="{9AFAA287-8535-4792-8108-EA4DCFCE6EAC}"/>
    <hyperlink ref="L13" r:id="rId13" xr:uid="{F2EB2FDD-5278-4AD6-A1F2-AE8C86CA1E65}"/>
    <hyperlink ref="L15" r:id="rId14" xr:uid="{C33712E5-DFCF-413F-8C8B-AF8C798B20D0}"/>
    <hyperlink ref="L16" r:id="rId15" xr:uid="{B7F3016B-2354-4B43-B708-355632579A7F}"/>
    <hyperlink ref="L17" r:id="rId16" xr:uid="{20E703AF-133F-49BC-B509-E070267517A6}"/>
    <hyperlink ref="L18" r:id="rId17" xr:uid="{76C84D6C-C924-421A-83FE-14D212F4A7F1}"/>
    <hyperlink ref="L20" r:id="rId18" xr:uid="{D21E10E2-E298-4939-9F45-E90B40A95607}"/>
    <hyperlink ref="L34" r:id="rId19" xr:uid="{8CF785AF-F847-468E-8E51-B9E47E0FDC98}"/>
  </hyperlinks>
  <pageMargins left="0.511811024" right="0.511811024" top="0.78740157499999996" bottom="0.78740157499999996" header="0.31496062000000002" footer="0.31496062000000002"/>
  <pageSetup paperSize="9" orientation="portrait" r:id="rId20"/>
  <tableParts count="1">
    <tablePart r:id="rId21"/>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5000000}">
          <x14:formula1>
            <xm:f>Lista!$B$4:$B$8</xm:f>
          </x14:formula1>
          <xm:sqref>I5:I34</xm:sqref>
        </x14:dataValidation>
        <x14:dataValidation type="list" allowBlank="1" showInputMessage="1" showErrorMessage="1" xr:uid="{00000000-0002-0000-0200-000007000000}">
          <x14:formula1>
            <xm:f>Lista!$L$4:$L$11</xm:f>
          </x14:formula1>
          <xm:sqref>F5:F34</xm:sqref>
        </x14:dataValidation>
        <x14:dataValidation type="list" allowBlank="1" showInputMessage="1" showErrorMessage="1" xr:uid="{00000000-0002-0000-0200-000006000000}">
          <x14:formula1>
            <xm:f>Lista!$F$4:$F$9</xm:f>
          </x14:formula1>
          <xm:sqref>G5:G34</xm:sqref>
        </x14:dataValidation>
        <x14:dataValidation type="list" allowBlank="1" showInputMessage="1" showErrorMessage="1" xr:uid="{00000000-0002-0000-0200-000004000000}">
          <x14:formula1>
            <xm:f>Lista!$J$4:$J$7</xm:f>
          </x14:formula1>
          <xm:sqref>AA5:AA22 AA32:AA34 X5:X34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A8089-B262-425E-A2DB-1C78EEA91A34}">
  <dimension ref="A1:F12"/>
  <sheetViews>
    <sheetView workbookViewId="0">
      <selection activeCell="I16" sqref="I16"/>
    </sheetView>
  </sheetViews>
  <sheetFormatPr defaultRowHeight="15" x14ac:dyDescent="0.25"/>
  <cols>
    <col min="1" max="1" width="26.42578125" bestFit="1" customWidth="1"/>
    <col min="2" max="2" width="19.5703125" bestFit="1" customWidth="1"/>
    <col min="3" max="4" width="5" bestFit="1" customWidth="1"/>
    <col min="5" max="5" width="7" bestFit="1" customWidth="1"/>
    <col min="6" max="6" width="10.7109375" bestFit="1" customWidth="1"/>
    <col min="7" max="7" width="10.5703125" bestFit="1" customWidth="1"/>
    <col min="8" max="8" width="9" bestFit="1" customWidth="1"/>
    <col min="9" max="11" width="8.7109375" bestFit="1" customWidth="1"/>
    <col min="12" max="14" width="8.5703125" bestFit="1" customWidth="1"/>
    <col min="15" max="16" width="8.140625" bestFit="1" customWidth="1"/>
    <col min="17" max="18" width="8.7109375" bestFit="1" customWidth="1"/>
    <col min="22" max="24" width="9.28515625" bestFit="1" customWidth="1"/>
    <col min="27" max="28" width="8.85546875" bestFit="1" customWidth="1"/>
    <col min="29" max="30" width="8.5703125" bestFit="1" customWidth="1"/>
    <col min="31" max="31" width="10.7109375" bestFit="1" customWidth="1"/>
    <col min="32" max="32" width="10.5703125" bestFit="1" customWidth="1"/>
  </cols>
  <sheetData>
    <row r="1" spans="1:6" x14ac:dyDescent="0.25">
      <c r="A1" s="52" t="s">
        <v>1638</v>
      </c>
      <c r="B1" t="s">
        <v>68</v>
      </c>
    </row>
    <row r="2" spans="1:6" x14ac:dyDescent="0.25">
      <c r="A2" s="52" t="s">
        <v>18</v>
      </c>
      <c r="B2" t="s">
        <v>62</v>
      </c>
    </row>
    <row r="4" spans="1:6" x14ac:dyDescent="0.25">
      <c r="A4" s="52" t="s">
        <v>1853</v>
      </c>
      <c r="B4" s="52" t="s">
        <v>1852</v>
      </c>
    </row>
    <row r="5" spans="1:6" x14ac:dyDescent="0.25">
      <c r="A5" s="52" t="s">
        <v>426</v>
      </c>
      <c r="B5">
        <v>2024</v>
      </c>
      <c r="C5">
        <v>2025</v>
      </c>
      <c r="D5">
        <v>2026</v>
      </c>
      <c r="E5" t="s">
        <v>56</v>
      </c>
      <c r="F5" t="s">
        <v>57</v>
      </c>
    </row>
    <row r="6" spans="1:6" x14ac:dyDescent="0.25">
      <c r="A6" s="75" t="s">
        <v>11</v>
      </c>
      <c r="B6">
        <v>9</v>
      </c>
      <c r="C6">
        <v>9</v>
      </c>
      <c r="D6">
        <v>2</v>
      </c>
      <c r="F6">
        <v>20</v>
      </c>
    </row>
    <row r="7" spans="1:6" x14ac:dyDescent="0.25">
      <c r="A7" s="75" t="s">
        <v>7</v>
      </c>
      <c r="B7">
        <v>8</v>
      </c>
      <c r="C7">
        <v>9</v>
      </c>
      <c r="D7">
        <v>4</v>
      </c>
      <c r="F7">
        <v>21</v>
      </c>
    </row>
    <row r="8" spans="1:6" x14ac:dyDescent="0.25">
      <c r="A8" s="75" t="s">
        <v>4</v>
      </c>
      <c r="B8">
        <v>7</v>
      </c>
      <c r="C8">
        <v>8</v>
      </c>
      <c r="D8">
        <v>3</v>
      </c>
      <c r="F8">
        <v>18</v>
      </c>
    </row>
    <row r="9" spans="1:6" x14ac:dyDescent="0.25">
      <c r="A9" s="75" t="s">
        <v>5</v>
      </c>
      <c r="B9">
        <v>21</v>
      </c>
      <c r="C9">
        <v>13</v>
      </c>
      <c r="D9">
        <v>8</v>
      </c>
      <c r="F9">
        <v>42</v>
      </c>
    </row>
    <row r="10" spans="1:6" x14ac:dyDescent="0.25">
      <c r="A10" s="75" t="s">
        <v>1083</v>
      </c>
      <c r="C10">
        <v>2</v>
      </c>
      <c r="D10">
        <v>6</v>
      </c>
      <c r="F10">
        <v>8</v>
      </c>
    </row>
    <row r="11" spans="1:6" x14ac:dyDescent="0.25">
      <c r="A11" s="75" t="s">
        <v>56</v>
      </c>
      <c r="E11">
        <v>3</v>
      </c>
      <c r="F11">
        <v>3</v>
      </c>
    </row>
    <row r="12" spans="1:6" x14ac:dyDescent="0.25">
      <c r="A12" s="75" t="s">
        <v>57</v>
      </c>
      <c r="B12">
        <v>45</v>
      </c>
      <c r="C12">
        <v>41</v>
      </c>
      <c r="D12">
        <v>23</v>
      </c>
      <c r="E12">
        <v>3</v>
      </c>
      <c r="F12">
        <v>112</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sheetPr>
  <dimension ref="A1:S154"/>
  <sheetViews>
    <sheetView showGridLines="0" topLeftCell="G6" zoomScale="115" zoomScaleNormal="115" workbookViewId="0">
      <selection activeCell="N12" sqref="N12"/>
    </sheetView>
  </sheetViews>
  <sheetFormatPr defaultRowHeight="15" x14ac:dyDescent="0.25"/>
  <cols>
    <col min="1" max="1" width="3.28515625" customWidth="1"/>
    <col min="2" max="2" width="14.42578125" style="5" customWidth="1"/>
    <col min="3" max="3" width="12.5703125" style="5" customWidth="1"/>
    <col min="4" max="4" width="11.85546875" customWidth="1"/>
    <col min="5" max="5" width="18.28515625" style="5" customWidth="1"/>
    <col min="6" max="6" width="20" style="5" customWidth="1"/>
    <col min="7" max="7" width="17.7109375" style="5" customWidth="1"/>
    <col min="8" max="8" width="19.7109375" style="5" customWidth="1"/>
    <col min="9" max="9" width="9.42578125" style="5" customWidth="1"/>
    <col min="10" max="10" width="13" customWidth="1"/>
    <col min="11" max="11" width="12.28515625" customWidth="1"/>
    <col min="12" max="12" width="10.7109375" customWidth="1"/>
    <col min="13" max="13" width="4.7109375" customWidth="1"/>
    <col min="14" max="14" width="13.28515625" style="5" customWidth="1"/>
    <col min="15" max="15" width="17.42578125" style="307" customWidth="1"/>
    <col min="16" max="16" width="9.42578125" style="5" customWidth="1"/>
    <col min="17" max="17" width="17.42578125" style="5" customWidth="1"/>
    <col min="18" max="18" width="16.7109375" style="5" customWidth="1"/>
    <col min="19" max="19" width="17.28515625" style="5" customWidth="1"/>
  </cols>
  <sheetData>
    <row r="1" spans="1:19" x14ac:dyDescent="0.25">
      <c r="J1" t="s">
        <v>1619</v>
      </c>
    </row>
    <row r="2" spans="1:19" ht="18.75" x14ac:dyDescent="0.3">
      <c r="B2" s="312" t="s">
        <v>1176</v>
      </c>
      <c r="F2" t="s">
        <v>1274</v>
      </c>
      <c r="H2" s="5" t="s">
        <v>1441</v>
      </c>
      <c r="J2">
        <v>21172</v>
      </c>
      <c r="K2" t="s">
        <v>1620</v>
      </c>
    </row>
    <row r="3" spans="1:19" x14ac:dyDescent="0.25">
      <c r="B3" s="313" t="s">
        <v>1175</v>
      </c>
      <c r="F3" s="75" t="s">
        <v>1634</v>
      </c>
    </row>
    <row r="4" spans="1:19" x14ac:dyDescent="0.25">
      <c r="B4"/>
      <c r="C4"/>
      <c r="E4" s="5" t="s">
        <v>1373</v>
      </c>
      <c r="F4" s="5" t="s">
        <v>1376</v>
      </c>
      <c r="G4" s="262" t="s">
        <v>1378</v>
      </c>
    </row>
    <row r="5" spans="1:19" x14ac:dyDescent="0.25">
      <c r="B5" s="52" t="s">
        <v>93</v>
      </c>
      <c r="C5" t="s">
        <v>62</v>
      </c>
      <c r="E5" s="5" t="s">
        <v>1374</v>
      </c>
      <c r="F5" s="5" t="s">
        <v>1375</v>
      </c>
      <c r="G5" s="262" t="s">
        <v>1377</v>
      </c>
    </row>
    <row r="6" spans="1:19" x14ac:dyDescent="0.25">
      <c r="B6" s="52" t="s">
        <v>8</v>
      </c>
      <c r="C6" t="s">
        <v>68</v>
      </c>
      <c r="E6" t="s">
        <v>1636</v>
      </c>
      <c r="F6" s="5">
        <v>925150</v>
      </c>
    </row>
    <row r="7" spans="1:19" s="40" customFormat="1" x14ac:dyDescent="0.25">
      <c r="A7" s="88"/>
      <c r="B7" s="5"/>
      <c r="C7" s="5"/>
      <c r="D7"/>
      <c r="E7"/>
      <c r="F7" s="5"/>
      <c r="G7" s="5"/>
      <c r="H7" s="5"/>
      <c r="I7" s="5"/>
      <c r="J7"/>
      <c r="K7"/>
      <c r="N7" s="72"/>
      <c r="O7" s="308"/>
      <c r="P7" s="72"/>
      <c r="Q7" s="72"/>
      <c r="R7" s="72"/>
      <c r="S7" s="72"/>
    </row>
    <row r="8" spans="1:19" s="71" customFormat="1" ht="60" x14ac:dyDescent="0.25">
      <c r="A8" s="268"/>
      <c r="B8" s="22" t="s">
        <v>1219</v>
      </c>
      <c r="C8" s="52" t="s">
        <v>1642</v>
      </c>
      <c r="D8" s="52" t="s">
        <v>1643</v>
      </c>
      <c r="E8" s="52" t="s">
        <v>620</v>
      </c>
      <c r="F8" s="52" t="s">
        <v>1637</v>
      </c>
      <c r="G8" s="22" t="s">
        <v>6</v>
      </c>
      <c r="H8" s="345" t="s">
        <v>19</v>
      </c>
      <c r="I8" s="345" t="s">
        <v>26</v>
      </c>
      <c r="J8" s="52" t="s">
        <v>1639</v>
      </c>
      <c r="K8" s="22" t="s">
        <v>368</v>
      </c>
      <c r="L8" s="22" t="s">
        <v>1</v>
      </c>
      <c r="M8" s="22" t="s">
        <v>36</v>
      </c>
      <c r="N8" s="22" t="s">
        <v>37</v>
      </c>
      <c r="O8" s="22" t="s">
        <v>1273</v>
      </c>
      <c r="P8" s="22" t="s">
        <v>1443</v>
      </c>
      <c r="Q8" s="27" t="s">
        <v>1445</v>
      </c>
      <c r="R8" s="23" t="s">
        <v>1742</v>
      </c>
      <c r="S8"/>
    </row>
    <row r="9" spans="1:19" s="89" customFormat="1" x14ac:dyDescent="0.25">
      <c r="A9" s="88"/>
      <c r="B9" s="76">
        <v>46167</v>
      </c>
      <c r="C9" s="76">
        <v>46205</v>
      </c>
      <c r="D9" s="76">
        <v>46389</v>
      </c>
      <c r="E9" t="s">
        <v>7</v>
      </c>
      <c r="F9" t="s">
        <v>1838</v>
      </c>
      <c r="G9" t="s">
        <v>1866</v>
      </c>
      <c r="H9" t="s">
        <v>1837</v>
      </c>
      <c r="I9" t="s">
        <v>33</v>
      </c>
      <c r="J9" t="s">
        <v>1842</v>
      </c>
      <c r="K9" t="s">
        <v>686</v>
      </c>
      <c r="L9" t="s">
        <v>1841</v>
      </c>
      <c r="M9">
        <v>6</v>
      </c>
      <c r="N9" s="105">
        <v>6583.333333333333</v>
      </c>
      <c r="O9" t="s">
        <v>2015</v>
      </c>
      <c r="P9" t="s">
        <v>1198</v>
      </c>
      <c r="Q9" t="s">
        <v>56</v>
      </c>
      <c r="R9" s="346">
        <v>39500</v>
      </c>
      <c r="S9"/>
    </row>
    <row r="10" spans="1:19" s="89" customFormat="1" x14ac:dyDescent="0.25">
      <c r="A10" s="88"/>
      <c r="B10" s="76">
        <v>46167</v>
      </c>
      <c r="C10" s="76">
        <v>46226</v>
      </c>
      <c r="D10" s="76">
        <v>46410</v>
      </c>
      <c r="E10" t="s">
        <v>7</v>
      </c>
      <c r="F10" t="s">
        <v>1878</v>
      </c>
      <c r="G10" t="s">
        <v>1981</v>
      </c>
      <c r="H10" t="s">
        <v>1874</v>
      </c>
      <c r="I10" t="s">
        <v>33</v>
      </c>
      <c r="J10" t="s">
        <v>1982</v>
      </c>
      <c r="K10" t="s">
        <v>1979</v>
      </c>
      <c r="L10" t="s">
        <v>1980</v>
      </c>
      <c r="M10">
        <v>1</v>
      </c>
      <c r="N10" s="105">
        <v>14398</v>
      </c>
      <c r="O10" t="s">
        <v>56</v>
      </c>
      <c r="P10" t="s">
        <v>56</v>
      </c>
      <c r="Q10" t="s">
        <v>56</v>
      </c>
      <c r="R10" s="346">
        <v>14398</v>
      </c>
      <c r="S10"/>
    </row>
    <row r="11" spans="1:19" s="89" customFormat="1" x14ac:dyDescent="0.25">
      <c r="A11" s="88"/>
      <c r="B11" s="76">
        <v>46197</v>
      </c>
      <c r="C11" s="76">
        <v>46217</v>
      </c>
      <c r="D11" s="76">
        <v>48043</v>
      </c>
      <c r="E11" t="s">
        <v>1083</v>
      </c>
      <c r="F11" t="s">
        <v>1848</v>
      </c>
      <c r="G11" t="s">
        <v>1846</v>
      </c>
      <c r="H11" t="s">
        <v>1845</v>
      </c>
      <c r="I11" t="s">
        <v>33</v>
      </c>
      <c r="J11" t="s">
        <v>1847</v>
      </c>
      <c r="K11" t="s">
        <v>1850</v>
      </c>
      <c r="L11" t="s">
        <v>1867</v>
      </c>
      <c r="M11">
        <v>60</v>
      </c>
      <c r="N11" s="105">
        <v>9.6833333333333336</v>
      </c>
      <c r="O11" t="s">
        <v>2005</v>
      </c>
      <c r="P11" t="s">
        <v>1198</v>
      </c>
      <c r="Q11" t="s">
        <v>56</v>
      </c>
      <c r="R11" s="346">
        <v>581</v>
      </c>
      <c r="S11"/>
    </row>
    <row r="12" spans="1:19" s="89" customFormat="1" x14ac:dyDescent="0.25">
      <c r="A12" s="88"/>
      <c r="B12" s="76">
        <v>46134</v>
      </c>
      <c r="C12" s="76">
        <v>46237</v>
      </c>
      <c r="D12" s="76">
        <v>46602</v>
      </c>
      <c r="E12" t="s">
        <v>5</v>
      </c>
      <c r="F12" t="s">
        <v>1855</v>
      </c>
      <c r="G12" t="s">
        <v>1862</v>
      </c>
      <c r="H12" t="s">
        <v>1854</v>
      </c>
      <c r="I12" t="s">
        <v>33</v>
      </c>
      <c r="J12" t="s">
        <v>1857</v>
      </c>
      <c r="K12" t="s">
        <v>1861</v>
      </c>
      <c r="L12" t="s">
        <v>1868</v>
      </c>
      <c r="M12">
        <v>12</v>
      </c>
      <c r="N12" s="105">
        <v>936138.41666666663</v>
      </c>
      <c r="O12" t="s">
        <v>2014</v>
      </c>
      <c r="P12" t="s">
        <v>1198</v>
      </c>
      <c r="Q12" t="s">
        <v>56</v>
      </c>
      <c r="R12" s="346">
        <v>11233661</v>
      </c>
      <c r="S12"/>
    </row>
    <row r="13" spans="1:19" s="89" customFormat="1" x14ac:dyDescent="0.25">
      <c r="A13" s="88"/>
      <c r="B13" s="76">
        <v>46009</v>
      </c>
      <c r="C13" s="76">
        <v>46230</v>
      </c>
      <c r="D13" s="76">
        <v>46961</v>
      </c>
      <c r="E13" t="s">
        <v>5</v>
      </c>
      <c r="F13" t="s">
        <v>1983</v>
      </c>
      <c r="G13" t="s">
        <v>1986</v>
      </c>
      <c r="H13" t="s">
        <v>1965</v>
      </c>
      <c r="I13" t="s">
        <v>33</v>
      </c>
      <c r="J13" t="s">
        <v>1987</v>
      </c>
      <c r="K13" t="s">
        <v>1985</v>
      </c>
      <c r="L13" t="s">
        <v>1988</v>
      </c>
      <c r="M13">
        <v>24</v>
      </c>
      <c r="N13" s="105">
        <v>95812.416666666672</v>
      </c>
      <c r="O13" t="s">
        <v>1990</v>
      </c>
      <c r="P13" t="s">
        <v>1198</v>
      </c>
      <c r="Q13" t="s">
        <v>56</v>
      </c>
      <c r="R13" s="346">
        <v>2299498</v>
      </c>
      <c r="S13"/>
    </row>
    <row r="14" spans="1:19" s="89" customFormat="1" x14ac:dyDescent="0.25">
      <c r="A14" s="88"/>
      <c r="B14" s="76">
        <v>46093</v>
      </c>
      <c r="C14" s="76">
        <v>46253</v>
      </c>
      <c r="D14" s="76">
        <v>48079</v>
      </c>
      <c r="E14" t="s">
        <v>5</v>
      </c>
      <c r="F14" t="s">
        <v>1989</v>
      </c>
      <c r="G14" t="s">
        <v>1995</v>
      </c>
      <c r="H14" t="s">
        <v>1966</v>
      </c>
      <c r="I14" t="s">
        <v>1224</v>
      </c>
      <c r="J14" t="s">
        <v>1996</v>
      </c>
      <c r="K14" t="s">
        <v>1993</v>
      </c>
      <c r="L14" t="s">
        <v>1994</v>
      </c>
      <c r="M14">
        <v>60</v>
      </c>
      <c r="N14" s="105">
        <v>156602.88233333331</v>
      </c>
      <c r="O14" t="s">
        <v>1991</v>
      </c>
      <c r="P14" t="s">
        <v>1198</v>
      </c>
      <c r="Q14" t="s">
        <v>56</v>
      </c>
      <c r="R14" s="346">
        <v>9396172.9399999995</v>
      </c>
      <c r="S14"/>
    </row>
    <row r="15" spans="1:19" s="89" customFormat="1" x14ac:dyDescent="0.25">
      <c r="A15" s="88"/>
      <c r="B15" s="76">
        <v>46147</v>
      </c>
      <c r="C15" s="76">
        <v>46252</v>
      </c>
      <c r="D15" s="76">
        <v>48078</v>
      </c>
      <c r="E15" t="s">
        <v>5</v>
      </c>
      <c r="F15" t="s">
        <v>1997</v>
      </c>
      <c r="G15" t="s">
        <v>2002</v>
      </c>
      <c r="H15" t="s">
        <v>1967</v>
      </c>
      <c r="I15" t="s">
        <v>33</v>
      </c>
      <c r="J15" t="s">
        <v>2003</v>
      </c>
      <c r="K15" t="s">
        <v>2000</v>
      </c>
      <c r="L15" t="s">
        <v>2001</v>
      </c>
      <c r="M15">
        <v>60</v>
      </c>
      <c r="N15" s="105">
        <v>58322.583333333336</v>
      </c>
      <c r="O15" t="s">
        <v>1998</v>
      </c>
      <c r="P15" t="s">
        <v>1198</v>
      </c>
      <c r="Q15" t="s">
        <v>56</v>
      </c>
      <c r="R15" s="346">
        <v>3499355</v>
      </c>
      <c r="S15"/>
    </row>
    <row r="16" spans="1:19" s="89" customFormat="1" x14ac:dyDescent="0.25">
      <c r="A16" s="88"/>
      <c r="B16" s="76">
        <v>45966</v>
      </c>
      <c r="C16" s="76">
        <v>46247</v>
      </c>
      <c r="D16" s="76">
        <v>48073</v>
      </c>
      <c r="E16" t="s">
        <v>1083</v>
      </c>
      <c r="F16" t="s">
        <v>2004</v>
      </c>
      <c r="G16" t="s">
        <v>1846</v>
      </c>
      <c r="H16" t="s">
        <v>1968</v>
      </c>
      <c r="I16" t="s">
        <v>33</v>
      </c>
      <c r="J16" t="s">
        <v>1847</v>
      </c>
      <c r="K16" t="s">
        <v>2007</v>
      </c>
      <c r="L16" t="s">
        <v>2008</v>
      </c>
      <c r="M16">
        <v>60</v>
      </c>
      <c r="N16" s="105">
        <v>38.75</v>
      </c>
      <c r="O16" t="s">
        <v>2005</v>
      </c>
      <c r="P16" t="s">
        <v>1198</v>
      </c>
      <c r="Q16" t="s">
        <v>56</v>
      </c>
      <c r="R16" s="346">
        <v>2325</v>
      </c>
      <c r="S16"/>
    </row>
    <row r="17" spans="1:19" s="89" customFormat="1" x14ac:dyDescent="0.25">
      <c r="A17" s="88"/>
      <c r="B17" s="76">
        <v>45966</v>
      </c>
      <c r="C17" s="76">
        <v>46260</v>
      </c>
      <c r="D17" s="76">
        <v>48086</v>
      </c>
      <c r="E17" t="s">
        <v>1083</v>
      </c>
      <c r="F17" t="s">
        <v>2009</v>
      </c>
      <c r="G17" t="s">
        <v>1846</v>
      </c>
      <c r="H17" t="s">
        <v>1969</v>
      </c>
      <c r="I17" t="s">
        <v>33</v>
      </c>
      <c r="J17" t="s">
        <v>1847</v>
      </c>
      <c r="K17" t="s">
        <v>2007</v>
      </c>
      <c r="L17" t="s">
        <v>2011</v>
      </c>
      <c r="M17">
        <v>60</v>
      </c>
      <c r="N17" s="105">
        <v>697.66666666666663</v>
      </c>
      <c r="O17" t="s">
        <v>2005</v>
      </c>
      <c r="P17" t="s">
        <v>1198</v>
      </c>
      <c r="Q17" t="s">
        <v>56</v>
      </c>
      <c r="R17" s="346">
        <v>41860</v>
      </c>
      <c r="S17"/>
    </row>
    <row r="18" spans="1:19" s="89" customFormat="1" x14ac:dyDescent="0.25">
      <c r="A18" s="88"/>
      <c r="B18"/>
      <c r="C18"/>
      <c r="D18"/>
      <c r="E18"/>
      <c r="F18"/>
      <c r="G18"/>
      <c r="H18"/>
      <c r="I18"/>
      <c r="J18"/>
      <c r="K18"/>
      <c r="L18"/>
      <c r="M18"/>
      <c r="N18"/>
      <c r="O18"/>
      <c r="P18"/>
      <c r="Q18"/>
      <c r="R18"/>
      <c r="S18"/>
    </row>
    <row r="19" spans="1:19" s="89" customFormat="1" x14ac:dyDescent="0.25">
      <c r="A19" s="88"/>
      <c r="B19"/>
      <c r="C19"/>
      <c r="D19"/>
      <c r="E19"/>
      <c r="F19"/>
      <c r="G19"/>
      <c r="H19"/>
      <c r="I19"/>
      <c r="J19"/>
      <c r="K19"/>
      <c r="L19"/>
      <c r="M19"/>
      <c r="N19"/>
      <c r="O19"/>
      <c r="P19"/>
      <c r="Q19"/>
      <c r="R19"/>
      <c r="S19"/>
    </row>
    <row r="20" spans="1:19" s="89" customFormat="1" x14ac:dyDescent="0.25">
      <c r="A20" s="88"/>
      <c r="B20"/>
      <c r="C20"/>
      <c r="D20"/>
      <c r="E20"/>
      <c r="F20"/>
      <c r="G20"/>
      <c r="H20"/>
      <c r="I20"/>
      <c r="J20"/>
      <c r="K20"/>
      <c r="L20"/>
      <c r="M20"/>
      <c r="N20"/>
      <c r="O20"/>
      <c r="P20"/>
      <c r="Q20"/>
      <c r="R20"/>
      <c r="S20"/>
    </row>
    <row r="21" spans="1:19" s="89" customFormat="1" x14ac:dyDescent="0.25">
      <c r="A21" s="88"/>
      <c r="B21"/>
      <c r="C21"/>
      <c r="D21"/>
      <c r="E21"/>
      <c r="F21"/>
      <c r="G21"/>
      <c r="H21"/>
      <c r="I21"/>
      <c r="J21"/>
      <c r="K21"/>
      <c r="L21"/>
      <c r="M21"/>
      <c r="N21"/>
      <c r="O21"/>
      <c r="P21"/>
      <c r="Q21"/>
      <c r="R21"/>
      <c r="S21"/>
    </row>
    <row r="22" spans="1:19" s="89" customFormat="1" x14ac:dyDescent="0.25">
      <c r="A22" s="88"/>
      <c r="B22"/>
      <c r="C22"/>
      <c r="D22"/>
      <c r="E22"/>
      <c r="F22"/>
      <c r="G22"/>
      <c r="H22"/>
      <c r="I22"/>
      <c r="J22"/>
      <c r="K22"/>
      <c r="L22"/>
      <c r="M22"/>
      <c r="N22"/>
      <c r="O22"/>
      <c r="P22"/>
      <c r="Q22"/>
      <c r="R22"/>
      <c r="S22"/>
    </row>
    <row r="23" spans="1:19" s="89" customFormat="1" x14ac:dyDescent="0.25">
      <c r="A23" s="88"/>
      <c r="B23"/>
      <c r="C23"/>
      <c r="D23"/>
      <c r="E23"/>
      <c r="F23"/>
      <c r="G23"/>
      <c r="H23"/>
      <c r="I23"/>
      <c r="J23"/>
      <c r="K23"/>
      <c r="L23"/>
      <c r="M23"/>
      <c r="N23"/>
      <c r="O23"/>
      <c r="P23"/>
      <c r="Q23"/>
      <c r="R23"/>
      <c r="S23"/>
    </row>
    <row r="24" spans="1:19" s="89" customFormat="1" x14ac:dyDescent="0.25">
      <c r="A24" s="88"/>
      <c r="B24"/>
      <c r="C24"/>
      <c r="D24"/>
      <c r="E24"/>
      <c r="F24"/>
      <c r="G24"/>
      <c r="H24"/>
      <c r="I24"/>
      <c r="J24"/>
      <c r="K24"/>
      <c r="L24"/>
      <c r="M24"/>
      <c r="N24"/>
      <c r="O24"/>
      <c r="P24"/>
      <c r="Q24"/>
      <c r="R24"/>
      <c r="S24"/>
    </row>
    <row r="25" spans="1:19" s="89" customFormat="1" x14ac:dyDescent="0.25">
      <c r="A25" s="88"/>
      <c r="B25"/>
      <c r="C25"/>
      <c r="D25"/>
      <c r="E25"/>
      <c r="F25"/>
      <c r="G25"/>
      <c r="H25"/>
      <c r="I25"/>
      <c r="J25"/>
      <c r="K25"/>
      <c r="L25"/>
      <c r="M25"/>
      <c r="N25"/>
      <c r="O25"/>
      <c r="P25"/>
      <c r="Q25"/>
      <c r="R25"/>
      <c r="S25"/>
    </row>
    <row r="26" spans="1:19" s="89" customFormat="1" x14ac:dyDescent="0.25">
      <c r="A26" s="88"/>
      <c r="B26"/>
      <c r="C26"/>
      <c r="D26"/>
      <c r="E26"/>
      <c r="F26"/>
      <c r="G26"/>
      <c r="H26"/>
      <c r="I26"/>
      <c r="J26"/>
      <c r="K26"/>
      <c r="L26"/>
      <c r="M26"/>
      <c r="N26"/>
      <c r="O26"/>
      <c r="P26"/>
      <c r="Q26"/>
      <c r="R26"/>
      <c r="S26"/>
    </row>
    <row r="27" spans="1:19" s="89" customFormat="1" x14ac:dyDescent="0.25">
      <c r="A27" s="88"/>
      <c r="B27"/>
      <c r="C27"/>
      <c r="D27"/>
      <c r="E27"/>
      <c r="F27"/>
      <c r="G27"/>
      <c r="H27"/>
      <c r="I27"/>
      <c r="J27"/>
      <c r="K27"/>
      <c r="L27"/>
      <c r="M27"/>
      <c r="N27"/>
      <c r="O27"/>
      <c r="P27"/>
      <c r="Q27"/>
      <c r="R27"/>
      <c r="S27"/>
    </row>
    <row r="28" spans="1:19" s="89" customFormat="1" x14ac:dyDescent="0.25">
      <c r="A28" s="88"/>
      <c r="B28"/>
      <c r="C28"/>
      <c r="D28"/>
      <c r="E28"/>
      <c r="F28"/>
      <c r="G28"/>
      <c r="H28"/>
      <c r="I28"/>
      <c r="J28"/>
      <c r="K28"/>
      <c r="L28"/>
      <c r="M28"/>
      <c r="N28"/>
      <c r="O28"/>
      <c r="P28"/>
      <c r="Q28"/>
      <c r="R28"/>
      <c r="S28"/>
    </row>
    <row r="29" spans="1:19" s="89" customFormat="1" x14ac:dyDescent="0.25">
      <c r="A29" s="88"/>
      <c r="B29"/>
      <c r="C29"/>
      <c r="D29"/>
      <c r="E29"/>
      <c r="F29"/>
      <c r="G29"/>
      <c r="H29"/>
      <c r="I29"/>
      <c r="J29"/>
      <c r="K29"/>
      <c r="L29"/>
      <c r="M29"/>
      <c r="N29"/>
      <c r="O29"/>
      <c r="P29"/>
      <c r="Q29"/>
      <c r="R29"/>
      <c r="S29"/>
    </row>
    <row r="30" spans="1:19" s="89" customFormat="1" x14ac:dyDescent="0.25">
      <c r="A30" s="88"/>
      <c r="B30"/>
      <c r="C30"/>
      <c r="D30"/>
      <c r="E30"/>
      <c r="F30"/>
      <c r="G30"/>
      <c r="H30"/>
      <c r="I30"/>
      <c r="J30"/>
      <c r="K30"/>
      <c r="L30"/>
      <c r="M30"/>
      <c r="N30"/>
      <c r="O30"/>
      <c r="P30"/>
      <c r="Q30"/>
      <c r="R30"/>
      <c r="S30"/>
    </row>
    <row r="31" spans="1:19" s="40" customFormat="1" x14ac:dyDescent="0.25">
      <c r="A31" s="72"/>
      <c r="B31"/>
      <c r="C31"/>
      <c r="D31"/>
      <c r="E31"/>
      <c r="F31"/>
      <c r="G31"/>
      <c r="H31"/>
      <c r="I31"/>
      <c r="J31"/>
      <c r="K31"/>
      <c r="L31"/>
      <c r="M31"/>
      <c r="N31"/>
      <c r="O31"/>
      <c r="P31"/>
      <c r="Q31"/>
      <c r="R31"/>
      <c r="S31"/>
    </row>
    <row r="32" spans="1:19" s="40" customFormat="1" x14ac:dyDescent="0.25">
      <c r="A32" s="72"/>
      <c r="B32"/>
      <c r="C32"/>
      <c r="D32"/>
      <c r="E32"/>
      <c r="F32"/>
      <c r="G32"/>
      <c r="H32"/>
      <c r="I32"/>
      <c r="J32"/>
      <c r="K32"/>
      <c r="L32"/>
      <c r="M32"/>
      <c r="N32"/>
      <c r="O32"/>
      <c r="P32"/>
      <c r="Q32"/>
      <c r="R32"/>
      <c r="S32"/>
    </row>
    <row r="33" spans="1:19" s="40" customFormat="1" x14ac:dyDescent="0.25">
      <c r="A33" s="72"/>
      <c r="B33"/>
      <c r="C33"/>
      <c r="D33"/>
      <c r="E33"/>
      <c r="F33"/>
      <c r="G33"/>
      <c r="H33"/>
      <c r="I33"/>
      <c r="J33"/>
      <c r="K33"/>
      <c r="L33"/>
      <c r="M33"/>
      <c r="N33"/>
      <c r="O33"/>
      <c r="P33"/>
      <c r="Q33"/>
      <c r="R33"/>
      <c r="S33"/>
    </row>
    <row r="34" spans="1:19" s="40" customFormat="1" x14ac:dyDescent="0.25">
      <c r="A34" s="72"/>
      <c r="B34"/>
      <c r="C34"/>
      <c r="D34"/>
      <c r="E34"/>
      <c r="F34"/>
      <c r="G34"/>
      <c r="H34"/>
      <c r="I34"/>
      <c r="J34"/>
      <c r="K34"/>
      <c r="L34"/>
      <c r="M34"/>
      <c r="N34"/>
      <c r="O34"/>
      <c r="P34"/>
      <c r="Q34"/>
      <c r="R34"/>
      <c r="S34"/>
    </row>
    <row r="35" spans="1:19" s="40" customFormat="1" x14ac:dyDescent="0.25">
      <c r="A35" s="72"/>
      <c r="B35"/>
      <c r="C35"/>
      <c r="D35"/>
      <c r="E35"/>
      <c r="F35"/>
      <c r="G35"/>
      <c r="H35"/>
      <c r="I35"/>
      <c r="J35"/>
      <c r="K35"/>
      <c r="L35"/>
      <c r="M35"/>
      <c r="N35"/>
      <c r="O35"/>
      <c r="P35"/>
      <c r="Q35"/>
      <c r="R35"/>
      <c r="S35"/>
    </row>
    <row r="36" spans="1:19" s="40" customFormat="1" x14ac:dyDescent="0.25">
      <c r="A36" s="72"/>
      <c r="B36"/>
      <c r="C36"/>
      <c r="D36"/>
      <c r="E36"/>
      <c r="F36"/>
      <c r="G36"/>
      <c r="H36"/>
      <c r="I36"/>
      <c r="J36"/>
      <c r="K36"/>
      <c r="L36"/>
      <c r="M36"/>
      <c r="N36"/>
      <c r="O36"/>
      <c r="P36"/>
      <c r="Q36"/>
      <c r="R36"/>
      <c r="S36"/>
    </row>
    <row r="37" spans="1:19" s="40" customFormat="1" x14ac:dyDescent="0.25">
      <c r="A37" s="72"/>
      <c r="B37"/>
      <c r="C37"/>
      <c r="D37"/>
      <c r="E37"/>
      <c r="F37"/>
      <c r="G37"/>
      <c r="H37"/>
      <c r="I37"/>
      <c r="J37"/>
      <c r="K37"/>
      <c r="L37"/>
      <c r="M37"/>
      <c r="N37"/>
      <c r="O37"/>
      <c r="P37"/>
      <c r="Q37"/>
      <c r="R37"/>
      <c r="S37"/>
    </row>
    <row r="38" spans="1:19" s="40" customFormat="1" x14ac:dyDescent="0.25">
      <c r="A38" s="72"/>
      <c r="B38"/>
      <c r="C38"/>
      <c r="D38"/>
      <c r="E38"/>
      <c r="F38"/>
      <c r="G38"/>
      <c r="H38"/>
      <c r="I38"/>
      <c r="J38"/>
      <c r="K38"/>
      <c r="L38"/>
      <c r="M38"/>
      <c r="N38"/>
      <c r="O38"/>
      <c r="P38"/>
      <c r="Q38"/>
      <c r="R38"/>
      <c r="S38"/>
    </row>
    <row r="39" spans="1:19" s="40" customFormat="1" x14ac:dyDescent="0.25">
      <c r="A39" s="72"/>
      <c r="B39"/>
      <c r="C39"/>
      <c r="D39"/>
      <c r="E39"/>
      <c r="F39"/>
      <c r="G39"/>
      <c r="H39"/>
      <c r="I39"/>
      <c r="J39"/>
      <c r="K39"/>
      <c r="L39"/>
      <c r="M39"/>
      <c r="N39"/>
      <c r="O39"/>
      <c r="P39"/>
      <c r="Q39"/>
      <c r="R39"/>
      <c r="S39"/>
    </row>
    <row r="40" spans="1:19" s="89" customFormat="1" x14ac:dyDescent="0.25">
      <c r="A40" s="88"/>
      <c r="B40"/>
      <c r="C40"/>
      <c r="D40"/>
      <c r="E40"/>
      <c r="F40"/>
      <c r="G40"/>
      <c r="H40"/>
      <c r="I40"/>
      <c r="J40"/>
      <c r="K40"/>
      <c r="L40"/>
      <c r="M40"/>
      <c r="N40"/>
      <c r="O40"/>
      <c r="P40"/>
      <c r="Q40"/>
      <c r="R40"/>
      <c r="S40"/>
    </row>
    <row r="41" spans="1:19" s="89" customFormat="1" x14ac:dyDescent="0.25">
      <c r="A41" s="88"/>
      <c r="B41"/>
      <c r="C41"/>
      <c r="D41"/>
      <c r="E41"/>
      <c r="F41"/>
      <c r="G41"/>
      <c r="H41"/>
      <c r="I41"/>
      <c r="J41"/>
      <c r="K41"/>
      <c r="L41"/>
      <c r="M41"/>
      <c r="N41"/>
      <c r="O41"/>
      <c r="P41"/>
      <c r="Q41"/>
      <c r="R41"/>
      <c r="S41"/>
    </row>
    <row r="42" spans="1:19" s="89" customFormat="1" x14ac:dyDescent="0.25">
      <c r="A42" s="88"/>
      <c r="B42"/>
      <c r="C42"/>
      <c r="D42"/>
      <c r="E42"/>
      <c r="F42"/>
      <c r="G42"/>
      <c r="H42"/>
      <c r="I42"/>
      <c r="J42"/>
      <c r="K42"/>
      <c r="L42"/>
      <c r="M42"/>
      <c r="N42"/>
      <c r="O42"/>
      <c r="P42"/>
      <c r="Q42"/>
      <c r="R42"/>
      <c r="S42"/>
    </row>
    <row r="43" spans="1:19" s="40" customFormat="1" x14ac:dyDescent="0.25">
      <c r="A43" s="72"/>
      <c r="B43"/>
      <c r="C43"/>
      <c r="D43"/>
      <c r="E43"/>
      <c r="F43"/>
      <c r="G43"/>
      <c r="H43"/>
      <c r="I43"/>
      <c r="J43"/>
      <c r="K43"/>
      <c r="L43"/>
      <c r="M43"/>
      <c r="N43"/>
      <c r="O43"/>
      <c r="P43"/>
      <c r="Q43"/>
      <c r="R43"/>
      <c r="S43"/>
    </row>
    <row r="44" spans="1:19" s="40" customFormat="1" ht="16.5" customHeight="1" x14ac:dyDescent="0.25">
      <c r="A44" s="72"/>
      <c r="B44"/>
      <c r="C44"/>
      <c r="D44"/>
      <c r="E44"/>
      <c r="F44"/>
      <c r="G44"/>
      <c r="H44"/>
      <c r="I44"/>
      <c r="J44"/>
      <c r="K44"/>
      <c r="L44"/>
      <c r="M44"/>
      <c r="N44"/>
      <c r="O44"/>
      <c r="P44"/>
      <c r="Q44"/>
      <c r="R44"/>
      <c r="S44"/>
    </row>
    <row r="45" spans="1:19" s="40" customFormat="1" x14ac:dyDescent="0.25">
      <c r="A45" s="72"/>
      <c r="B45"/>
      <c r="C45"/>
      <c r="D45"/>
      <c r="E45"/>
      <c r="F45"/>
      <c r="G45"/>
      <c r="H45"/>
      <c r="I45"/>
      <c r="J45"/>
      <c r="K45"/>
      <c r="L45"/>
      <c r="M45"/>
      <c r="N45"/>
      <c r="O45"/>
      <c r="P45"/>
      <c r="Q45"/>
      <c r="R45"/>
      <c r="S45"/>
    </row>
    <row r="46" spans="1:19" s="40" customFormat="1" x14ac:dyDescent="0.25">
      <c r="A46" s="72"/>
      <c r="B46"/>
      <c r="C46"/>
      <c r="D46"/>
      <c r="E46"/>
      <c r="F46"/>
      <c r="G46"/>
      <c r="H46"/>
      <c r="I46"/>
      <c r="J46"/>
      <c r="K46"/>
      <c r="L46"/>
      <c r="M46"/>
      <c r="N46"/>
      <c r="O46"/>
      <c r="P46"/>
      <c r="Q46"/>
      <c r="R46"/>
      <c r="S46"/>
    </row>
    <row r="47" spans="1:19" s="40" customFormat="1" x14ac:dyDescent="0.25">
      <c r="A47" s="72"/>
      <c r="B47"/>
      <c r="C47"/>
      <c r="D47"/>
      <c r="E47"/>
      <c r="F47"/>
      <c r="G47"/>
      <c r="H47"/>
      <c r="I47"/>
      <c r="J47"/>
      <c r="K47"/>
      <c r="L47"/>
      <c r="M47"/>
      <c r="N47"/>
      <c r="O47"/>
      <c r="P47"/>
      <c r="Q47"/>
      <c r="R47"/>
      <c r="S47"/>
    </row>
    <row r="48" spans="1:19" s="40" customFormat="1" x14ac:dyDescent="0.25">
      <c r="A48" s="72"/>
      <c r="B48"/>
      <c r="C48"/>
      <c r="D48"/>
      <c r="E48"/>
      <c r="F48"/>
      <c r="G48"/>
      <c r="H48"/>
      <c r="I48"/>
      <c r="J48"/>
      <c r="K48"/>
      <c r="L48"/>
      <c r="M48"/>
      <c r="N48"/>
      <c r="O48"/>
      <c r="P48"/>
      <c r="Q48"/>
      <c r="R48"/>
      <c r="S48"/>
    </row>
    <row r="49" spans="1:19" s="89" customFormat="1" x14ac:dyDescent="0.25">
      <c r="A49" s="88"/>
      <c r="B49"/>
      <c r="C49"/>
      <c r="D49"/>
      <c r="E49"/>
      <c r="F49"/>
      <c r="G49"/>
      <c r="H49"/>
      <c r="I49"/>
      <c r="J49"/>
      <c r="K49"/>
      <c r="L49"/>
      <c r="M49"/>
      <c r="N49"/>
      <c r="O49"/>
      <c r="P49"/>
      <c r="Q49"/>
      <c r="R49"/>
      <c r="S49"/>
    </row>
    <row r="50" spans="1:19" s="89" customFormat="1" x14ac:dyDescent="0.25">
      <c r="A50" s="88"/>
      <c r="B50"/>
      <c r="C50"/>
      <c r="D50"/>
      <c r="E50"/>
      <c r="F50"/>
      <c r="G50"/>
      <c r="H50"/>
      <c r="I50"/>
      <c r="J50"/>
      <c r="K50"/>
      <c r="L50"/>
      <c r="M50"/>
      <c r="N50"/>
      <c r="O50"/>
      <c r="P50"/>
      <c r="Q50"/>
      <c r="R50"/>
      <c r="S50"/>
    </row>
    <row r="51" spans="1:19" s="89" customFormat="1" x14ac:dyDescent="0.25">
      <c r="A51" s="88"/>
      <c r="B51"/>
      <c r="C51"/>
      <c r="D51"/>
      <c r="E51"/>
      <c r="F51"/>
      <c r="G51"/>
      <c r="H51"/>
      <c r="I51"/>
      <c r="J51"/>
      <c r="K51"/>
      <c r="L51"/>
      <c r="M51"/>
      <c r="N51"/>
      <c r="O51"/>
      <c r="P51"/>
      <c r="Q51"/>
      <c r="R51"/>
      <c r="S51"/>
    </row>
    <row r="52" spans="1:19" s="89" customFormat="1" x14ac:dyDescent="0.25">
      <c r="A52" s="88"/>
      <c r="B52"/>
      <c r="C52"/>
      <c r="D52"/>
      <c r="E52"/>
      <c r="F52"/>
      <c r="G52"/>
      <c r="H52"/>
      <c r="I52"/>
      <c r="J52"/>
      <c r="K52"/>
      <c r="L52"/>
      <c r="M52"/>
      <c r="N52"/>
      <c r="O52"/>
      <c r="P52"/>
      <c r="Q52"/>
      <c r="R52"/>
      <c r="S52"/>
    </row>
    <row r="53" spans="1:19" s="89" customFormat="1" x14ac:dyDescent="0.25">
      <c r="A53" s="88"/>
      <c r="B53"/>
      <c r="C53"/>
      <c r="D53"/>
      <c r="E53"/>
      <c r="F53"/>
      <c r="G53"/>
      <c r="H53"/>
      <c r="I53"/>
      <c r="J53"/>
      <c r="K53"/>
      <c r="L53"/>
      <c r="M53"/>
      <c r="N53"/>
      <c r="O53"/>
      <c r="P53"/>
      <c r="Q53"/>
      <c r="R53"/>
      <c r="S53"/>
    </row>
    <row r="54" spans="1:19" s="89" customFormat="1" x14ac:dyDescent="0.25">
      <c r="A54" s="88"/>
      <c r="B54"/>
      <c r="C54"/>
      <c r="D54"/>
      <c r="E54"/>
      <c r="F54"/>
      <c r="G54"/>
      <c r="H54"/>
      <c r="I54"/>
      <c r="J54"/>
      <c r="K54"/>
      <c r="L54"/>
      <c r="M54"/>
      <c r="N54"/>
      <c r="O54"/>
      <c r="P54"/>
      <c r="Q54"/>
      <c r="R54"/>
      <c r="S54"/>
    </row>
    <row r="55" spans="1:19" s="89" customFormat="1" x14ac:dyDescent="0.25">
      <c r="A55" s="88"/>
      <c r="B55"/>
      <c r="C55"/>
      <c r="D55"/>
      <c r="E55"/>
      <c r="F55"/>
      <c r="G55"/>
      <c r="H55"/>
      <c r="I55"/>
      <c r="J55"/>
      <c r="K55"/>
      <c r="L55"/>
      <c r="M55"/>
      <c r="N55"/>
      <c r="O55"/>
      <c r="P55"/>
      <c r="Q55"/>
      <c r="R55"/>
      <c r="S55"/>
    </row>
    <row r="56" spans="1:19" s="89" customFormat="1" x14ac:dyDescent="0.25">
      <c r="A56" s="88"/>
      <c r="B56"/>
      <c r="C56"/>
      <c r="D56"/>
      <c r="E56"/>
      <c r="F56"/>
      <c r="G56"/>
      <c r="H56"/>
      <c r="I56"/>
      <c r="J56"/>
      <c r="K56"/>
      <c r="L56"/>
      <c r="M56"/>
      <c r="N56"/>
      <c r="O56"/>
      <c r="P56"/>
      <c r="Q56"/>
      <c r="R56"/>
      <c r="S56" s="88"/>
    </row>
    <row r="57" spans="1:19" s="89" customFormat="1" x14ac:dyDescent="0.25">
      <c r="A57" s="88"/>
      <c r="B57"/>
      <c r="C57"/>
      <c r="D57"/>
      <c r="E57"/>
      <c r="F57"/>
      <c r="G57"/>
      <c r="H57"/>
      <c r="I57"/>
      <c r="J57"/>
      <c r="K57"/>
      <c r="L57"/>
      <c r="M57"/>
      <c r="N57"/>
      <c r="O57"/>
      <c r="P57"/>
      <c r="Q57"/>
      <c r="R57"/>
      <c r="S57" s="88"/>
    </row>
    <row r="58" spans="1:19" s="89" customFormat="1" x14ac:dyDescent="0.25">
      <c r="A58" s="88"/>
      <c r="B58"/>
      <c r="C58"/>
      <c r="D58"/>
      <c r="E58"/>
      <c r="F58"/>
      <c r="G58"/>
      <c r="H58"/>
      <c r="I58"/>
      <c r="J58"/>
      <c r="K58"/>
      <c r="L58"/>
      <c r="M58"/>
      <c r="N58"/>
      <c r="O58"/>
      <c r="P58"/>
      <c r="Q58"/>
      <c r="R58"/>
      <c r="S58" s="88"/>
    </row>
    <row r="59" spans="1:19" s="89" customFormat="1" x14ac:dyDescent="0.25">
      <c r="A59" s="88"/>
      <c r="B59"/>
      <c r="C59"/>
      <c r="D59"/>
      <c r="E59"/>
      <c r="F59"/>
      <c r="G59"/>
      <c r="H59"/>
      <c r="I59"/>
      <c r="J59"/>
      <c r="K59"/>
      <c r="L59"/>
      <c r="M59"/>
      <c r="N59"/>
      <c r="O59"/>
      <c r="P59"/>
      <c r="Q59"/>
      <c r="R59"/>
      <c r="S59" s="88"/>
    </row>
    <row r="60" spans="1:19" s="89" customFormat="1" x14ac:dyDescent="0.25">
      <c r="A60" s="88"/>
      <c r="B60"/>
      <c r="C60"/>
      <c r="D60"/>
      <c r="E60"/>
      <c r="F60"/>
      <c r="G60"/>
      <c r="H60"/>
      <c r="I60"/>
      <c r="J60"/>
      <c r="K60"/>
      <c r="L60"/>
      <c r="M60"/>
      <c r="N60"/>
      <c r="O60"/>
      <c r="P60"/>
      <c r="Q60"/>
      <c r="R60"/>
      <c r="S60" s="88"/>
    </row>
    <row r="61" spans="1:19" s="89" customFormat="1" x14ac:dyDescent="0.25">
      <c r="A61" s="88"/>
      <c r="B61"/>
      <c r="C61"/>
      <c r="D61"/>
      <c r="E61"/>
      <c r="F61"/>
      <c r="G61"/>
      <c r="H61"/>
      <c r="I61"/>
      <c r="J61"/>
      <c r="K61"/>
      <c r="L61"/>
      <c r="M61"/>
      <c r="N61"/>
      <c r="O61"/>
      <c r="P61"/>
      <c r="Q61"/>
      <c r="R61"/>
      <c r="S61" s="88"/>
    </row>
    <row r="62" spans="1:19" s="89" customFormat="1" x14ac:dyDescent="0.25">
      <c r="A62" s="88"/>
      <c r="B62"/>
      <c r="C62"/>
      <c r="D62"/>
      <c r="E62"/>
      <c r="F62"/>
      <c r="G62"/>
      <c r="H62"/>
      <c r="I62"/>
      <c r="J62"/>
      <c r="K62"/>
      <c r="L62"/>
      <c r="M62"/>
      <c r="N62"/>
      <c r="O62"/>
      <c r="P62"/>
      <c r="Q62"/>
      <c r="R62"/>
      <c r="S62" s="88"/>
    </row>
    <row r="63" spans="1:19" s="89" customFormat="1" x14ac:dyDescent="0.25">
      <c r="A63" s="88"/>
      <c r="B63"/>
      <c r="C63"/>
      <c r="D63"/>
      <c r="E63"/>
      <c r="F63"/>
      <c r="G63"/>
      <c r="H63"/>
      <c r="I63"/>
      <c r="J63"/>
      <c r="K63"/>
      <c r="L63"/>
      <c r="M63"/>
      <c r="N63"/>
      <c r="O63"/>
      <c r="P63"/>
      <c r="Q63"/>
      <c r="R63"/>
      <c r="S63" s="88"/>
    </row>
    <row r="64" spans="1:19" s="89" customFormat="1" x14ac:dyDescent="0.25">
      <c r="A64" s="88"/>
      <c r="B64"/>
      <c r="C64"/>
      <c r="D64"/>
      <c r="E64"/>
      <c r="F64"/>
      <c r="G64"/>
      <c r="H64"/>
      <c r="I64"/>
      <c r="J64"/>
      <c r="K64"/>
      <c r="L64"/>
      <c r="M64"/>
      <c r="N64"/>
      <c r="O64"/>
      <c r="P64"/>
      <c r="Q64"/>
      <c r="R64"/>
      <c r="S64" s="88"/>
    </row>
    <row r="65" spans="1:19" s="89" customFormat="1" x14ac:dyDescent="0.25">
      <c r="A65" s="88"/>
      <c r="B65"/>
      <c r="C65"/>
      <c r="D65"/>
      <c r="E65"/>
      <c r="F65"/>
      <c r="G65"/>
      <c r="H65"/>
      <c r="I65"/>
      <c r="J65"/>
      <c r="K65"/>
      <c r="L65"/>
      <c r="M65"/>
      <c r="N65"/>
      <c r="O65"/>
      <c r="P65"/>
      <c r="Q65"/>
      <c r="R65"/>
      <c r="S65" s="88"/>
    </row>
    <row r="66" spans="1:19" s="89" customFormat="1" x14ac:dyDescent="0.25">
      <c r="B66"/>
      <c r="C66"/>
      <c r="D66"/>
      <c r="E66"/>
      <c r="F66"/>
      <c r="G66"/>
      <c r="H66"/>
      <c r="I66"/>
      <c r="J66"/>
      <c r="K66"/>
      <c r="L66"/>
      <c r="M66"/>
      <c r="N66"/>
      <c r="O66"/>
      <c r="P66"/>
      <c r="Q66"/>
      <c r="R66"/>
      <c r="S66" s="88"/>
    </row>
    <row r="67" spans="1:19" s="89" customFormat="1" x14ac:dyDescent="0.25">
      <c r="B67"/>
      <c r="C67"/>
      <c r="D67"/>
      <c r="E67"/>
      <c r="F67"/>
      <c r="G67"/>
      <c r="H67"/>
      <c r="I67"/>
      <c r="J67"/>
      <c r="K67"/>
      <c r="L67"/>
      <c r="M67"/>
      <c r="N67"/>
      <c r="O67"/>
      <c r="P67"/>
      <c r="Q67"/>
      <c r="R67"/>
      <c r="S67" s="88"/>
    </row>
    <row r="68" spans="1:19" s="89" customFormat="1" x14ac:dyDescent="0.25">
      <c r="B68"/>
      <c r="C68"/>
      <c r="D68"/>
      <c r="E68"/>
      <c r="F68"/>
      <c r="G68"/>
      <c r="H68"/>
      <c r="I68"/>
      <c r="J68"/>
      <c r="K68"/>
      <c r="L68"/>
      <c r="M68"/>
      <c r="N68"/>
      <c r="O68"/>
      <c r="P68"/>
      <c r="Q68"/>
      <c r="R68"/>
      <c r="S68" s="88"/>
    </row>
    <row r="69" spans="1:19" s="40" customFormat="1" x14ac:dyDescent="0.25">
      <c r="B69"/>
      <c r="C69"/>
      <c r="D69"/>
      <c r="E69"/>
      <c r="F69"/>
      <c r="G69"/>
      <c r="H69"/>
      <c r="I69"/>
      <c r="J69"/>
      <c r="K69"/>
      <c r="L69"/>
      <c r="M69"/>
      <c r="N69"/>
      <c r="O69"/>
      <c r="P69"/>
      <c r="Q69"/>
      <c r="R69"/>
      <c r="S69" s="72"/>
    </row>
    <row r="70" spans="1:19" x14ac:dyDescent="0.25">
      <c r="B70"/>
      <c r="C70"/>
      <c r="E70"/>
      <c r="F70"/>
      <c r="G70"/>
      <c r="H70"/>
      <c r="I70"/>
      <c r="N70"/>
      <c r="O70"/>
      <c r="P70"/>
      <c r="Q70"/>
      <c r="R70"/>
    </row>
    <row r="71" spans="1:19" x14ac:dyDescent="0.25">
      <c r="B71"/>
      <c r="C71"/>
      <c r="E71"/>
      <c r="F71"/>
      <c r="G71"/>
      <c r="H71"/>
      <c r="I71"/>
      <c r="N71"/>
      <c r="O71"/>
      <c r="P71"/>
      <c r="Q71"/>
      <c r="R71"/>
    </row>
    <row r="72" spans="1:19" x14ac:dyDescent="0.25">
      <c r="B72"/>
      <c r="C72"/>
      <c r="E72"/>
      <c r="F72"/>
      <c r="G72"/>
      <c r="H72"/>
      <c r="I72"/>
      <c r="N72"/>
      <c r="O72"/>
      <c r="P72"/>
      <c r="Q72"/>
      <c r="R72"/>
    </row>
    <row r="73" spans="1:19" x14ac:dyDescent="0.25">
      <c r="B73"/>
      <c r="C73"/>
      <c r="E73"/>
      <c r="F73"/>
      <c r="G73"/>
      <c r="H73"/>
      <c r="I73"/>
    </row>
    <row r="74" spans="1:19" x14ac:dyDescent="0.25">
      <c r="B74"/>
      <c r="C74"/>
      <c r="E74"/>
      <c r="F74"/>
      <c r="G74"/>
      <c r="H74"/>
      <c r="I74"/>
    </row>
    <row r="75" spans="1:19" x14ac:dyDescent="0.25">
      <c r="B75"/>
      <c r="C75"/>
      <c r="E75"/>
      <c r="F75"/>
      <c r="G75"/>
      <c r="H75"/>
      <c r="I75"/>
    </row>
    <row r="76" spans="1:19" x14ac:dyDescent="0.25">
      <c r="B76"/>
      <c r="C76"/>
      <c r="E76"/>
      <c r="F76"/>
      <c r="G76"/>
      <c r="H76"/>
      <c r="I76"/>
    </row>
    <row r="77" spans="1:19" x14ac:dyDescent="0.25">
      <c r="B77"/>
      <c r="C77"/>
      <c r="E77"/>
      <c r="F77"/>
      <c r="G77"/>
      <c r="H77"/>
      <c r="I77"/>
    </row>
    <row r="78" spans="1:19" x14ac:dyDescent="0.25">
      <c r="B78"/>
      <c r="C78"/>
      <c r="E78"/>
      <c r="F78"/>
      <c r="G78"/>
      <c r="H78"/>
      <c r="I78"/>
    </row>
    <row r="79" spans="1:19" x14ac:dyDescent="0.25">
      <c r="B79"/>
      <c r="C79"/>
      <c r="E79"/>
      <c r="F79"/>
      <c r="G79"/>
      <c r="H79"/>
      <c r="I79"/>
    </row>
    <row r="80" spans="1:19" x14ac:dyDescent="0.25">
      <c r="B80"/>
      <c r="C80"/>
      <c r="E80"/>
      <c r="F80"/>
      <c r="G80"/>
      <c r="H80"/>
      <c r="I80"/>
    </row>
    <row r="81" spans="2:9" x14ac:dyDescent="0.25">
      <c r="B81"/>
      <c r="C81"/>
      <c r="E81"/>
      <c r="F81"/>
      <c r="G81"/>
      <c r="H81"/>
      <c r="I81"/>
    </row>
    <row r="82" spans="2:9" x14ac:dyDescent="0.25">
      <c r="B82"/>
      <c r="C82"/>
      <c r="E82"/>
      <c r="F82"/>
      <c r="G82"/>
      <c r="H82"/>
      <c r="I82"/>
    </row>
    <row r="83" spans="2:9" x14ac:dyDescent="0.25">
      <c r="B83"/>
      <c r="C83"/>
      <c r="E83"/>
      <c r="F83"/>
      <c r="G83"/>
      <c r="H83"/>
      <c r="I83"/>
    </row>
    <row r="84" spans="2:9" x14ac:dyDescent="0.25">
      <c r="B84"/>
      <c r="C84"/>
      <c r="E84"/>
      <c r="F84"/>
      <c r="G84"/>
      <c r="H84"/>
      <c r="I84"/>
    </row>
    <row r="85" spans="2:9" x14ac:dyDescent="0.25">
      <c r="B85"/>
      <c r="C85"/>
      <c r="E85"/>
      <c r="F85"/>
      <c r="G85"/>
      <c r="H85"/>
      <c r="I85"/>
    </row>
    <row r="86" spans="2:9" x14ac:dyDescent="0.25">
      <c r="B86"/>
      <c r="C86"/>
      <c r="E86"/>
      <c r="F86"/>
      <c r="G86"/>
      <c r="H86"/>
      <c r="I86"/>
    </row>
    <row r="87" spans="2:9" x14ac:dyDescent="0.25">
      <c r="B87"/>
      <c r="C87"/>
      <c r="E87"/>
      <c r="F87"/>
      <c r="G87"/>
      <c r="H87"/>
      <c r="I87"/>
    </row>
    <row r="88" spans="2:9" x14ac:dyDescent="0.25">
      <c r="B88"/>
      <c r="C88"/>
      <c r="E88"/>
      <c r="F88"/>
      <c r="G88"/>
      <c r="H88"/>
      <c r="I88"/>
    </row>
    <row r="89" spans="2:9" x14ac:dyDescent="0.25">
      <c r="B89"/>
      <c r="C89"/>
      <c r="E89"/>
      <c r="F89"/>
      <c r="G89"/>
      <c r="H89"/>
      <c r="I89"/>
    </row>
    <row r="90" spans="2:9" x14ac:dyDescent="0.25">
      <c r="B90"/>
      <c r="C90"/>
      <c r="E90"/>
      <c r="F90"/>
      <c r="G90"/>
      <c r="H90"/>
      <c r="I90"/>
    </row>
    <row r="91" spans="2:9" x14ac:dyDescent="0.25">
      <c r="B91"/>
      <c r="C91"/>
      <c r="E91"/>
      <c r="F91"/>
      <c r="G91"/>
      <c r="H91"/>
      <c r="I91"/>
    </row>
    <row r="92" spans="2:9" x14ac:dyDescent="0.25">
      <c r="B92"/>
      <c r="C92"/>
      <c r="E92"/>
      <c r="F92"/>
      <c r="G92"/>
      <c r="H92"/>
      <c r="I92"/>
    </row>
    <row r="93" spans="2:9" x14ac:dyDescent="0.25">
      <c r="B93"/>
      <c r="C93"/>
      <c r="E93"/>
      <c r="F93"/>
      <c r="G93"/>
      <c r="H93"/>
      <c r="I93"/>
    </row>
    <row r="94" spans="2:9" x14ac:dyDescent="0.25">
      <c r="B94"/>
      <c r="C94"/>
      <c r="E94"/>
      <c r="F94"/>
      <c r="G94"/>
      <c r="H94"/>
      <c r="I94"/>
    </row>
    <row r="95" spans="2:9" x14ac:dyDescent="0.25">
      <c r="B95"/>
      <c r="C95"/>
      <c r="E95"/>
      <c r="F95"/>
      <c r="G95"/>
      <c r="H95"/>
      <c r="I95"/>
    </row>
    <row r="96" spans="2:9" x14ac:dyDescent="0.25">
      <c r="B96"/>
      <c r="C96"/>
      <c r="E96"/>
      <c r="F96"/>
      <c r="G96"/>
      <c r="H96"/>
      <c r="I96"/>
    </row>
    <row r="97" spans="2:9" x14ac:dyDescent="0.25">
      <c r="B97"/>
      <c r="C97"/>
      <c r="E97"/>
      <c r="F97"/>
      <c r="G97"/>
      <c r="H97"/>
      <c r="I97"/>
    </row>
    <row r="98" spans="2:9" x14ac:dyDescent="0.25">
      <c r="B98"/>
      <c r="C98"/>
      <c r="E98"/>
      <c r="F98"/>
      <c r="G98"/>
      <c r="H98"/>
      <c r="I98"/>
    </row>
    <row r="99" spans="2:9" x14ac:dyDescent="0.25">
      <c r="B99"/>
      <c r="C99"/>
      <c r="E99"/>
      <c r="F99"/>
      <c r="G99"/>
      <c r="H99"/>
      <c r="I99"/>
    </row>
    <row r="100" spans="2:9" x14ac:dyDescent="0.25">
      <c r="B100"/>
      <c r="C100"/>
      <c r="E100"/>
      <c r="F100"/>
      <c r="G100"/>
      <c r="H100"/>
      <c r="I100"/>
    </row>
    <row r="101" spans="2:9" x14ac:dyDescent="0.25">
      <c r="B101"/>
      <c r="C101"/>
      <c r="E101"/>
      <c r="F101"/>
      <c r="G101"/>
      <c r="H101"/>
      <c r="I101"/>
    </row>
    <row r="102" spans="2:9" x14ac:dyDescent="0.25">
      <c r="B102"/>
      <c r="C102"/>
      <c r="E102"/>
      <c r="F102"/>
      <c r="G102"/>
      <c r="H102"/>
      <c r="I102"/>
    </row>
    <row r="103" spans="2:9" x14ac:dyDescent="0.25">
      <c r="B103"/>
      <c r="C103"/>
      <c r="E103"/>
      <c r="F103"/>
      <c r="G103"/>
      <c r="H103"/>
      <c r="I103"/>
    </row>
    <row r="104" spans="2:9" x14ac:dyDescent="0.25">
      <c r="B104"/>
      <c r="C104"/>
      <c r="E104"/>
      <c r="F104"/>
      <c r="G104"/>
      <c r="H104"/>
      <c r="I104"/>
    </row>
    <row r="105" spans="2:9" x14ac:dyDescent="0.25">
      <c r="B105"/>
      <c r="C105"/>
      <c r="E105"/>
      <c r="F105"/>
      <c r="G105"/>
      <c r="H105"/>
      <c r="I105"/>
    </row>
    <row r="106" spans="2:9" x14ac:dyDescent="0.25">
      <c r="B106"/>
      <c r="C106"/>
      <c r="E106"/>
      <c r="F106"/>
      <c r="G106"/>
      <c r="H106"/>
      <c r="I106"/>
    </row>
    <row r="107" spans="2:9" x14ac:dyDescent="0.25">
      <c r="B107"/>
      <c r="C107"/>
      <c r="E107"/>
      <c r="F107"/>
      <c r="G107"/>
      <c r="H107"/>
      <c r="I107"/>
    </row>
    <row r="108" spans="2:9" x14ac:dyDescent="0.25">
      <c r="B108"/>
      <c r="C108"/>
      <c r="E108"/>
      <c r="F108"/>
      <c r="G108"/>
      <c r="H108"/>
      <c r="I108"/>
    </row>
    <row r="109" spans="2:9" x14ac:dyDescent="0.25">
      <c r="B109"/>
      <c r="C109"/>
      <c r="E109"/>
      <c r="F109"/>
      <c r="G109"/>
      <c r="H109"/>
      <c r="I109"/>
    </row>
    <row r="110" spans="2:9" x14ac:dyDescent="0.25">
      <c r="B110"/>
      <c r="C110"/>
      <c r="E110"/>
      <c r="F110"/>
      <c r="G110"/>
      <c r="H110"/>
      <c r="I110"/>
    </row>
    <row r="111" spans="2:9" x14ac:dyDescent="0.25">
      <c r="B111"/>
      <c r="C111"/>
      <c r="E111"/>
      <c r="F111"/>
      <c r="G111"/>
      <c r="H111"/>
      <c r="I111"/>
    </row>
    <row r="112" spans="2:9" x14ac:dyDescent="0.25">
      <c r="B112"/>
      <c r="C112"/>
      <c r="E112"/>
      <c r="F112"/>
      <c r="G112"/>
      <c r="H112"/>
      <c r="I112"/>
    </row>
    <row r="113" spans="2:9" x14ac:dyDescent="0.25">
      <c r="B113"/>
      <c r="C113"/>
      <c r="E113"/>
      <c r="F113"/>
      <c r="G113"/>
      <c r="H113"/>
      <c r="I113"/>
    </row>
    <row r="114" spans="2:9" x14ac:dyDescent="0.25">
      <c r="B114"/>
      <c r="C114"/>
      <c r="E114"/>
      <c r="F114"/>
      <c r="G114"/>
      <c r="H114"/>
      <c r="I114"/>
    </row>
    <row r="115" spans="2:9" x14ac:dyDescent="0.25">
      <c r="B115"/>
      <c r="C115"/>
      <c r="E115"/>
      <c r="F115"/>
      <c r="G115"/>
      <c r="H115"/>
      <c r="I115"/>
    </row>
    <row r="116" spans="2:9" x14ac:dyDescent="0.25">
      <c r="B116"/>
      <c r="C116"/>
      <c r="E116"/>
      <c r="F116"/>
      <c r="G116"/>
      <c r="H116"/>
      <c r="I116"/>
    </row>
    <row r="117" spans="2:9" x14ac:dyDescent="0.25">
      <c r="B117"/>
      <c r="C117"/>
      <c r="E117"/>
      <c r="F117"/>
      <c r="G117"/>
      <c r="H117"/>
      <c r="I117"/>
    </row>
    <row r="118" spans="2:9" x14ac:dyDescent="0.25">
      <c r="B118"/>
      <c r="C118"/>
      <c r="E118"/>
      <c r="F118"/>
      <c r="G118"/>
      <c r="H118"/>
      <c r="I118"/>
    </row>
    <row r="119" spans="2:9" x14ac:dyDescent="0.25">
      <c r="B119"/>
      <c r="C119"/>
      <c r="E119"/>
      <c r="F119"/>
      <c r="G119"/>
      <c r="H119"/>
      <c r="I119"/>
    </row>
    <row r="120" spans="2:9" x14ac:dyDescent="0.25">
      <c r="B120"/>
      <c r="C120"/>
      <c r="E120"/>
      <c r="F120"/>
      <c r="G120"/>
      <c r="H120"/>
      <c r="I120"/>
    </row>
    <row r="121" spans="2:9" x14ac:dyDescent="0.25">
      <c r="B121"/>
      <c r="C121"/>
      <c r="E121"/>
      <c r="F121"/>
      <c r="G121"/>
      <c r="H121"/>
      <c r="I121"/>
    </row>
    <row r="122" spans="2:9" x14ac:dyDescent="0.25">
      <c r="B122"/>
      <c r="C122"/>
      <c r="E122"/>
      <c r="F122"/>
      <c r="G122"/>
      <c r="H122"/>
      <c r="I122"/>
    </row>
    <row r="123" spans="2:9" x14ac:dyDescent="0.25">
      <c r="B123"/>
      <c r="C123"/>
      <c r="E123"/>
      <c r="F123"/>
      <c r="G123"/>
      <c r="H123"/>
      <c r="I123"/>
    </row>
    <row r="124" spans="2:9" x14ac:dyDescent="0.25">
      <c r="B124"/>
      <c r="C124"/>
      <c r="E124"/>
      <c r="F124"/>
      <c r="G124"/>
      <c r="H124"/>
      <c r="I124"/>
    </row>
    <row r="125" spans="2:9" x14ac:dyDescent="0.25">
      <c r="B125"/>
      <c r="C125"/>
      <c r="E125"/>
      <c r="F125"/>
      <c r="G125"/>
      <c r="H125"/>
      <c r="I125"/>
    </row>
    <row r="126" spans="2:9" x14ac:dyDescent="0.25">
      <c r="B126"/>
      <c r="C126"/>
      <c r="E126"/>
      <c r="F126"/>
      <c r="G126"/>
      <c r="H126"/>
      <c r="I126"/>
    </row>
    <row r="127" spans="2:9" x14ac:dyDescent="0.25">
      <c r="B127"/>
      <c r="C127"/>
      <c r="E127"/>
      <c r="F127"/>
      <c r="G127"/>
      <c r="H127"/>
      <c r="I127"/>
    </row>
    <row r="128" spans="2:9" x14ac:dyDescent="0.25">
      <c r="B128"/>
      <c r="C128"/>
      <c r="E128"/>
      <c r="F128"/>
      <c r="G128"/>
      <c r="H128"/>
      <c r="I128"/>
    </row>
    <row r="129" spans="2:9" x14ac:dyDescent="0.25">
      <c r="B129"/>
      <c r="C129"/>
      <c r="E129"/>
      <c r="F129"/>
      <c r="G129"/>
      <c r="H129"/>
      <c r="I129"/>
    </row>
    <row r="130" spans="2:9" x14ac:dyDescent="0.25">
      <c r="B130"/>
      <c r="C130"/>
      <c r="E130"/>
      <c r="F130"/>
      <c r="G130"/>
      <c r="H130"/>
      <c r="I130"/>
    </row>
    <row r="131" spans="2:9" x14ac:dyDescent="0.25">
      <c r="B131"/>
      <c r="C131"/>
      <c r="E131"/>
      <c r="F131"/>
      <c r="G131"/>
      <c r="H131"/>
      <c r="I131"/>
    </row>
    <row r="132" spans="2:9" x14ac:dyDescent="0.25">
      <c r="B132"/>
      <c r="C132"/>
      <c r="E132"/>
      <c r="F132"/>
      <c r="G132"/>
      <c r="H132"/>
      <c r="I132"/>
    </row>
    <row r="133" spans="2:9" x14ac:dyDescent="0.25">
      <c r="B133"/>
      <c r="C133"/>
      <c r="E133"/>
      <c r="F133"/>
      <c r="G133"/>
      <c r="H133"/>
      <c r="I133"/>
    </row>
    <row r="134" spans="2:9" x14ac:dyDescent="0.25">
      <c r="B134"/>
      <c r="C134"/>
      <c r="E134"/>
      <c r="F134"/>
      <c r="G134"/>
      <c r="H134"/>
      <c r="I134"/>
    </row>
    <row r="135" spans="2:9" x14ac:dyDescent="0.25">
      <c r="B135"/>
      <c r="C135"/>
      <c r="E135"/>
      <c r="F135"/>
      <c r="G135"/>
      <c r="H135"/>
      <c r="I135"/>
    </row>
    <row r="136" spans="2:9" x14ac:dyDescent="0.25">
      <c r="B136"/>
      <c r="C136"/>
      <c r="E136"/>
      <c r="F136"/>
      <c r="G136"/>
      <c r="H136"/>
      <c r="I136"/>
    </row>
    <row r="137" spans="2:9" x14ac:dyDescent="0.25">
      <c r="B137"/>
      <c r="C137"/>
      <c r="E137"/>
      <c r="F137"/>
      <c r="G137"/>
      <c r="H137"/>
      <c r="I137"/>
    </row>
    <row r="138" spans="2:9" x14ac:dyDescent="0.25">
      <c r="B138"/>
      <c r="C138"/>
      <c r="E138"/>
      <c r="F138"/>
      <c r="G138"/>
      <c r="H138"/>
      <c r="I138"/>
    </row>
    <row r="139" spans="2:9" x14ac:dyDescent="0.25">
      <c r="B139"/>
      <c r="C139"/>
      <c r="E139"/>
      <c r="F139"/>
      <c r="G139"/>
      <c r="H139"/>
      <c r="I139"/>
    </row>
    <row r="140" spans="2:9" x14ac:dyDescent="0.25">
      <c r="B140"/>
      <c r="C140"/>
      <c r="E140"/>
      <c r="F140"/>
      <c r="G140"/>
      <c r="H140"/>
      <c r="I140"/>
    </row>
    <row r="141" spans="2:9" x14ac:dyDescent="0.25">
      <c r="B141"/>
      <c r="C141"/>
      <c r="E141"/>
      <c r="F141"/>
      <c r="G141"/>
      <c r="H141"/>
      <c r="I141"/>
    </row>
    <row r="142" spans="2:9" x14ac:dyDescent="0.25">
      <c r="B142"/>
      <c r="C142"/>
      <c r="E142"/>
      <c r="F142"/>
      <c r="G142"/>
      <c r="H142"/>
      <c r="I142"/>
    </row>
    <row r="143" spans="2:9" x14ac:dyDescent="0.25">
      <c r="B143"/>
      <c r="C143"/>
      <c r="E143"/>
      <c r="F143"/>
      <c r="G143"/>
      <c r="H143"/>
      <c r="I143"/>
    </row>
    <row r="144" spans="2:9" x14ac:dyDescent="0.25">
      <c r="B144"/>
      <c r="C144"/>
      <c r="E144"/>
      <c r="F144"/>
      <c r="G144"/>
      <c r="H144"/>
      <c r="I144"/>
    </row>
    <row r="145" spans="2:9" x14ac:dyDescent="0.25">
      <c r="B145"/>
      <c r="C145"/>
      <c r="E145"/>
      <c r="F145"/>
      <c r="G145"/>
      <c r="H145"/>
      <c r="I145"/>
    </row>
    <row r="146" spans="2:9" x14ac:dyDescent="0.25">
      <c r="B146"/>
      <c r="C146"/>
      <c r="E146"/>
      <c r="F146"/>
      <c r="G146"/>
      <c r="H146"/>
      <c r="I146"/>
    </row>
    <row r="147" spans="2:9" x14ac:dyDescent="0.25">
      <c r="B147"/>
      <c r="C147"/>
      <c r="E147"/>
      <c r="F147"/>
      <c r="G147"/>
      <c r="H147"/>
      <c r="I147"/>
    </row>
    <row r="148" spans="2:9" x14ac:dyDescent="0.25">
      <c r="B148"/>
      <c r="C148"/>
      <c r="E148"/>
      <c r="F148"/>
      <c r="G148"/>
      <c r="H148"/>
      <c r="I148"/>
    </row>
    <row r="149" spans="2:9" x14ac:dyDescent="0.25">
      <c r="B149"/>
      <c r="C149"/>
      <c r="E149"/>
      <c r="F149"/>
      <c r="G149"/>
      <c r="H149"/>
      <c r="I149"/>
    </row>
    <row r="150" spans="2:9" x14ac:dyDescent="0.25">
      <c r="B150"/>
      <c r="C150"/>
      <c r="E150"/>
      <c r="F150"/>
      <c r="G150"/>
      <c r="H150"/>
      <c r="I150"/>
    </row>
    <row r="151" spans="2:9" x14ac:dyDescent="0.25">
      <c r="B151"/>
      <c r="C151"/>
      <c r="E151"/>
      <c r="F151"/>
      <c r="G151"/>
      <c r="H151"/>
      <c r="I151"/>
    </row>
    <row r="152" spans="2:9" x14ac:dyDescent="0.25">
      <c r="B152"/>
      <c r="C152"/>
      <c r="E152"/>
      <c r="F152"/>
      <c r="G152"/>
      <c r="H152"/>
      <c r="I152"/>
    </row>
    <row r="153" spans="2:9" x14ac:dyDescent="0.25">
      <c r="B153"/>
      <c r="C153"/>
      <c r="E153"/>
      <c r="F153"/>
      <c r="G153"/>
      <c r="H153"/>
      <c r="I153"/>
    </row>
    <row r="154" spans="2:9" x14ac:dyDescent="0.25">
      <c r="B154"/>
      <c r="C154"/>
      <c r="E154"/>
      <c r="F154"/>
      <c r="G154"/>
      <c r="H154"/>
      <c r="I154"/>
    </row>
  </sheetData>
  <hyperlinks>
    <hyperlink ref="G4" r:id="rId2" xr:uid="{34D8AB14-DD49-4D2F-848D-DFD528688765}"/>
    <hyperlink ref="G5" r:id="rId3" xr:uid="{618ADBE2-E06B-4692-8AC3-153E6EDB5977}"/>
  </hyperlinks>
  <pageMargins left="0.511811024" right="0.511811024" top="0.78740157499999996" bottom="0.78740157499999996" header="0.31496062000000002" footer="0.31496062000000002"/>
  <pageSetup paperSize="9"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2:N820"/>
  <sheetViews>
    <sheetView showGridLines="0" topLeftCell="C1" workbookViewId="0">
      <selection activeCell="J23" sqref="J23"/>
    </sheetView>
  </sheetViews>
  <sheetFormatPr defaultRowHeight="15" x14ac:dyDescent="0.25"/>
  <cols>
    <col min="1" max="1" width="7.140625" customWidth="1"/>
    <col min="2" max="2" width="20.5703125" customWidth="1"/>
    <col min="3" max="3" width="13.42578125" customWidth="1"/>
    <col min="4" max="4" width="18.85546875" customWidth="1"/>
    <col min="5" max="5" width="20.28515625" style="5" customWidth="1"/>
    <col min="6" max="6" width="21.28515625" style="5" customWidth="1"/>
    <col min="7" max="7" width="19.42578125" style="5" customWidth="1"/>
    <col min="8" max="8" width="16.140625" style="5" customWidth="1"/>
    <col min="9" max="9" width="21.7109375" customWidth="1"/>
    <col min="10" max="10" width="30.85546875" customWidth="1"/>
    <col min="11" max="11" width="17.85546875" style="5" customWidth="1"/>
    <col min="12" max="12" width="19.7109375" style="5" customWidth="1"/>
    <col min="13" max="13" width="16.140625" customWidth="1"/>
  </cols>
  <sheetData>
    <row r="2" spans="1:13" ht="18.75" x14ac:dyDescent="0.3">
      <c r="B2" s="213" t="s">
        <v>1790</v>
      </c>
    </row>
    <row r="3" spans="1:13" x14ac:dyDescent="0.25">
      <c r="B3" s="214" t="s">
        <v>1175</v>
      </c>
    </row>
    <row r="5" spans="1:13" x14ac:dyDescent="0.25">
      <c r="E5"/>
    </row>
    <row r="6" spans="1:13" x14ac:dyDescent="0.25">
      <c r="B6" s="52" t="s">
        <v>69</v>
      </c>
      <c r="C6" t="s">
        <v>62</v>
      </c>
      <c r="E6"/>
    </row>
    <row r="7" spans="1:13" s="40" customFormat="1" x14ac:dyDescent="0.25">
      <c r="A7" s="88"/>
      <c r="B7"/>
      <c r="C7"/>
      <c r="D7"/>
      <c r="E7"/>
      <c r="F7" s="5"/>
      <c r="G7" s="5"/>
      <c r="H7" s="5"/>
      <c r="I7"/>
      <c r="J7"/>
      <c r="K7" s="5"/>
      <c r="L7" s="72"/>
    </row>
    <row r="8" spans="1:13" s="40" customFormat="1" x14ac:dyDescent="0.25">
      <c r="A8" s="88"/>
      <c r="B8" s="52" t="s">
        <v>1637</v>
      </c>
      <c r="C8" s="52" t="s">
        <v>18</v>
      </c>
      <c r="D8" s="52" t="s">
        <v>620</v>
      </c>
      <c r="E8" s="52" t="s">
        <v>19</v>
      </c>
      <c r="F8" s="52" t="s">
        <v>1640</v>
      </c>
      <c r="G8" s="52" t="s">
        <v>368</v>
      </c>
      <c r="H8" s="52" t="s">
        <v>26</v>
      </c>
      <c r="I8" s="52" t="s">
        <v>1</v>
      </c>
      <c r="J8" s="52" t="s">
        <v>6</v>
      </c>
      <c r="K8" s="246" t="s">
        <v>1642</v>
      </c>
      <c r="L8" s="246" t="s">
        <v>1643</v>
      </c>
      <c r="M8" t="s">
        <v>1742</v>
      </c>
    </row>
    <row r="9" spans="1:13" s="89" customFormat="1" x14ac:dyDescent="0.25">
      <c r="A9" s="88"/>
      <c r="B9" t="s">
        <v>1855</v>
      </c>
      <c r="C9" t="s">
        <v>20</v>
      </c>
      <c r="D9" t="s">
        <v>5</v>
      </c>
      <c r="E9" t="s">
        <v>1854</v>
      </c>
      <c r="F9" t="s">
        <v>1860</v>
      </c>
      <c r="G9" t="s">
        <v>1861</v>
      </c>
      <c r="H9" t="s">
        <v>33</v>
      </c>
      <c r="I9" t="s">
        <v>1868</v>
      </c>
      <c r="J9" t="s">
        <v>1862</v>
      </c>
      <c r="K9" s="76">
        <v>46237</v>
      </c>
      <c r="L9" s="76">
        <v>46602</v>
      </c>
      <c r="M9" s="388">
        <v>11233661</v>
      </c>
    </row>
    <row r="10" spans="1:13" s="89" customFormat="1" x14ac:dyDescent="0.25">
      <c r="A10" s="88"/>
      <c r="B10" t="s">
        <v>1989</v>
      </c>
      <c r="C10" t="s">
        <v>20</v>
      </c>
      <c r="D10" t="s">
        <v>5</v>
      </c>
      <c r="E10" t="s">
        <v>1966</v>
      </c>
      <c r="F10" t="s">
        <v>1992</v>
      </c>
      <c r="G10" t="s">
        <v>1993</v>
      </c>
      <c r="H10" t="s">
        <v>1224</v>
      </c>
      <c r="I10" t="s">
        <v>1994</v>
      </c>
      <c r="J10" t="s">
        <v>1995</v>
      </c>
      <c r="K10" s="76">
        <v>46253</v>
      </c>
      <c r="L10" s="76">
        <v>48079</v>
      </c>
      <c r="M10" s="388">
        <v>9396172.9399999995</v>
      </c>
    </row>
    <row r="11" spans="1:13" s="89" customFormat="1" x14ac:dyDescent="0.25">
      <c r="A11" s="88"/>
      <c r="B11" t="s">
        <v>1997</v>
      </c>
      <c r="C11" t="s">
        <v>20</v>
      </c>
      <c r="D11" t="s">
        <v>5</v>
      </c>
      <c r="E11" t="s">
        <v>1967</v>
      </c>
      <c r="F11" t="s">
        <v>1999</v>
      </c>
      <c r="G11" t="s">
        <v>2000</v>
      </c>
      <c r="H11" t="s">
        <v>33</v>
      </c>
      <c r="I11" t="s">
        <v>2001</v>
      </c>
      <c r="J11" t="s">
        <v>2002</v>
      </c>
      <c r="K11" s="76">
        <v>46252</v>
      </c>
      <c r="L11" s="76">
        <v>48078</v>
      </c>
      <c r="M11" s="388">
        <v>3499355</v>
      </c>
    </row>
    <row r="12" spans="1:13" s="89" customFormat="1" x14ac:dyDescent="0.25">
      <c r="A12" s="88"/>
      <c r="B12" t="s">
        <v>2004</v>
      </c>
      <c r="C12" t="s">
        <v>20</v>
      </c>
      <c r="D12" t="s">
        <v>1083</v>
      </c>
      <c r="E12" t="s">
        <v>1968</v>
      </c>
      <c r="F12" t="s">
        <v>2006</v>
      </c>
      <c r="G12" t="s">
        <v>2007</v>
      </c>
      <c r="H12" t="s">
        <v>33</v>
      </c>
      <c r="I12" t="s">
        <v>2008</v>
      </c>
      <c r="J12" t="s">
        <v>1846</v>
      </c>
      <c r="K12" s="76">
        <v>46247</v>
      </c>
      <c r="L12" s="76">
        <v>48073</v>
      </c>
      <c r="M12" s="388">
        <v>2325</v>
      </c>
    </row>
    <row r="13" spans="1:13" s="89" customFormat="1" x14ac:dyDescent="0.25">
      <c r="A13" s="88"/>
      <c r="B13" t="s">
        <v>2009</v>
      </c>
      <c r="C13" t="s">
        <v>20</v>
      </c>
      <c r="D13" t="s">
        <v>1083</v>
      </c>
      <c r="E13" t="s">
        <v>1969</v>
      </c>
      <c r="F13" t="s">
        <v>2010</v>
      </c>
      <c r="G13" t="s">
        <v>2007</v>
      </c>
      <c r="H13" t="s">
        <v>33</v>
      </c>
      <c r="I13" t="s">
        <v>2011</v>
      </c>
      <c r="J13" t="s">
        <v>1846</v>
      </c>
      <c r="K13" s="76">
        <v>46260</v>
      </c>
      <c r="L13" s="76">
        <v>48086</v>
      </c>
      <c r="M13" s="388">
        <v>41860</v>
      </c>
    </row>
    <row r="14" spans="1:13" s="89" customFormat="1" x14ac:dyDescent="0.25">
      <c r="A14" s="88"/>
      <c r="B14"/>
      <c r="C14"/>
      <c r="D14"/>
      <c r="E14"/>
      <c r="F14"/>
      <c r="G14"/>
      <c r="H14"/>
      <c r="I14"/>
      <c r="J14"/>
      <c r="K14"/>
      <c r="L14"/>
      <c r="M14"/>
    </row>
    <row r="15" spans="1:13" s="89" customFormat="1" x14ac:dyDescent="0.25">
      <c r="A15" s="88"/>
      <c r="B15"/>
      <c r="C15"/>
      <c r="D15"/>
      <c r="E15"/>
      <c r="F15"/>
      <c r="G15"/>
      <c r="H15"/>
      <c r="I15"/>
      <c r="J15"/>
      <c r="K15"/>
      <c r="L15"/>
      <c r="M15"/>
    </row>
    <row r="16" spans="1:13" s="89" customFormat="1" x14ac:dyDescent="0.25">
      <c r="A16" s="88"/>
      <c r="B16"/>
      <c r="C16"/>
      <c r="D16"/>
      <c r="E16"/>
      <c r="F16"/>
      <c r="G16"/>
      <c r="H16"/>
      <c r="I16"/>
      <c r="J16"/>
      <c r="K16"/>
      <c r="L16"/>
      <c r="M16"/>
    </row>
    <row r="17" spans="1:13" s="89" customFormat="1" x14ac:dyDescent="0.25">
      <c r="A17" s="88"/>
      <c r="B17"/>
      <c r="C17"/>
      <c r="D17"/>
      <c r="E17"/>
      <c r="F17"/>
      <c r="G17"/>
      <c r="H17"/>
      <c r="I17"/>
      <c r="J17"/>
      <c r="K17"/>
      <c r="L17"/>
      <c r="M17"/>
    </row>
    <row r="18" spans="1:13" s="89" customFormat="1" x14ac:dyDescent="0.25">
      <c r="A18" s="88"/>
      <c r="B18"/>
      <c r="C18"/>
      <c r="D18"/>
      <c r="E18"/>
      <c r="F18"/>
      <c r="G18"/>
      <c r="H18"/>
      <c r="I18"/>
      <c r="J18"/>
      <c r="K18"/>
      <c r="L18"/>
      <c r="M18"/>
    </row>
    <row r="19" spans="1:13" s="89" customFormat="1" x14ac:dyDescent="0.25">
      <c r="A19" s="88"/>
      <c r="B19"/>
      <c r="C19"/>
      <c r="D19"/>
      <c r="E19"/>
      <c r="F19"/>
      <c r="G19"/>
      <c r="H19"/>
      <c r="I19"/>
      <c r="J19"/>
      <c r="K19"/>
      <c r="L19"/>
      <c r="M19"/>
    </row>
    <row r="20" spans="1:13" s="89" customFormat="1" x14ac:dyDescent="0.25">
      <c r="A20" s="88"/>
      <c r="B20"/>
      <c r="C20"/>
      <c r="D20"/>
      <c r="E20"/>
      <c r="F20"/>
      <c r="G20"/>
      <c r="H20"/>
      <c r="I20"/>
      <c r="J20"/>
      <c r="K20"/>
      <c r="L20"/>
      <c r="M20"/>
    </row>
    <row r="21" spans="1:13" s="89" customFormat="1" x14ac:dyDescent="0.25">
      <c r="A21" s="88"/>
      <c r="B21"/>
      <c r="C21"/>
      <c r="D21"/>
      <c r="E21"/>
      <c r="F21"/>
      <c r="G21"/>
      <c r="H21"/>
      <c r="I21"/>
      <c r="J21"/>
      <c r="K21"/>
      <c r="L21"/>
      <c r="M21"/>
    </row>
    <row r="22" spans="1:13" s="89" customFormat="1" x14ac:dyDescent="0.25">
      <c r="A22" s="88"/>
      <c r="B22"/>
      <c r="C22"/>
      <c r="D22"/>
      <c r="E22"/>
      <c r="F22"/>
      <c r="G22"/>
      <c r="H22"/>
      <c r="I22"/>
      <c r="J22"/>
      <c r="K22"/>
      <c r="L22"/>
      <c r="M22"/>
    </row>
    <row r="23" spans="1:13" s="89" customFormat="1" x14ac:dyDescent="0.25">
      <c r="A23" s="88"/>
      <c r="B23"/>
      <c r="C23"/>
      <c r="D23"/>
      <c r="E23"/>
      <c r="F23"/>
      <c r="G23"/>
      <c r="H23"/>
      <c r="I23"/>
      <c r="J23"/>
      <c r="K23"/>
      <c r="L23"/>
      <c r="M23"/>
    </row>
    <row r="24" spans="1:13" s="89" customFormat="1" x14ac:dyDescent="0.25">
      <c r="A24" s="88"/>
      <c r="B24"/>
      <c r="C24"/>
      <c r="D24"/>
      <c r="E24"/>
      <c r="F24"/>
      <c r="G24"/>
      <c r="H24"/>
      <c r="I24"/>
      <c r="J24"/>
      <c r="K24"/>
      <c r="L24"/>
      <c r="M24"/>
    </row>
    <row r="25" spans="1:13" s="89" customFormat="1" x14ac:dyDescent="0.25">
      <c r="A25" s="88"/>
      <c r="B25"/>
      <c r="C25"/>
      <c r="D25"/>
      <c r="E25"/>
      <c r="F25"/>
      <c r="G25"/>
      <c r="H25"/>
      <c r="I25"/>
      <c r="J25"/>
      <c r="K25"/>
      <c r="L25"/>
      <c r="M25"/>
    </row>
    <row r="26" spans="1:13" s="89" customFormat="1" x14ac:dyDescent="0.25">
      <c r="A26" s="88"/>
      <c r="B26"/>
      <c r="C26"/>
      <c r="D26"/>
      <c r="E26"/>
      <c r="F26"/>
      <c r="G26"/>
      <c r="H26"/>
      <c r="I26"/>
      <c r="J26"/>
      <c r="K26"/>
      <c r="L26"/>
      <c r="M26"/>
    </row>
    <row r="27" spans="1:13" s="89" customFormat="1" x14ac:dyDescent="0.25">
      <c r="A27" s="88"/>
      <c r="B27"/>
      <c r="C27"/>
      <c r="D27"/>
      <c r="E27"/>
      <c r="F27"/>
      <c r="G27"/>
      <c r="H27"/>
      <c r="I27"/>
      <c r="J27"/>
      <c r="K27"/>
      <c r="L27"/>
      <c r="M27"/>
    </row>
    <row r="28" spans="1:13" s="89" customFormat="1" x14ac:dyDescent="0.25">
      <c r="A28" s="88"/>
      <c r="B28"/>
      <c r="C28"/>
      <c r="D28"/>
      <c r="E28"/>
      <c r="F28"/>
      <c r="G28"/>
      <c r="H28"/>
      <c r="I28"/>
      <c r="J28"/>
      <c r="K28"/>
      <c r="L28"/>
      <c r="M28"/>
    </row>
    <row r="29" spans="1:13" s="89" customFormat="1" x14ac:dyDescent="0.25">
      <c r="A29" s="88"/>
      <c r="B29"/>
      <c r="C29"/>
      <c r="D29"/>
      <c r="E29"/>
      <c r="F29"/>
      <c r="G29"/>
      <c r="H29"/>
      <c r="I29"/>
      <c r="J29"/>
      <c r="K29"/>
      <c r="L29"/>
      <c r="M29"/>
    </row>
    <row r="30" spans="1:13" s="89" customFormat="1" x14ac:dyDescent="0.25">
      <c r="A30" s="88"/>
      <c r="B30"/>
      <c r="C30"/>
      <c r="D30"/>
      <c r="E30"/>
      <c r="F30"/>
      <c r="G30"/>
      <c r="H30"/>
      <c r="I30"/>
      <c r="J30"/>
      <c r="K30"/>
      <c r="L30"/>
      <c r="M30"/>
    </row>
    <row r="31" spans="1:13" s="89" customFormat="1" x14ac:dyDescent="0.25">
      <c r="A31" s="88"/>
      <c r="B31"/>
      <c r="C31"/>
      <c r="D31"/>
      <c r="E31"/>
      <c r="F31"/>
      <c r="G31"/>
      <c r="H31"/>
      <c r="I31"/>
      <c r="J31"/>
      <c r="K31"/>
      <c r="L31"/>
      <c r="M31"/>
    </row>
    <row r="32" spans="1:13" s="89" customFormat="1" x14ac:dyDescent="0.25">
      <c r="A32" s="88"/>
      <c r="B32"/>
      <c r="C32"/>
      <c r="D32"/>
      <c r="E32"/>
      <c r="F32"/>
      <c r="G32"/>
      <c r="H32"/>
      <c r="I32"/>
      <c r="J32"/>
      <c r="K32"/>
      <c r="L32"/>
      <c r="M32"/>
    </row>
    <row r="33" spans="1:14" s="89" customFormat="1" x14ac:dyDescent="0.25">
      <c r="A33" s="88"/>
      <c r="B33"/>
      <c r="C33"/>
      <c r="D33"/>
      <c r="E33"/>
      <c r="F33"/>
      <c r="G33"/>
      <c r="H33"/>
      <c r="I33"/>
      <c r="J33"/>
      <c r="K33"/>
      <c r="L33"/>
      <c r="M33"/>
    </row>
    <row r="34" spans="1:14" s="89" customFormat="1" x14ac:dyDescent="0.25">
      <c r="A34" s="88"/>
      <c r="B34"/>
      <c r="C34"/>
      <c r="D34"/>
      <c r="E34"/>
      <c r="F34"/>
      <c r="G34"/>
      <c r="H34"/>
      <c r="I34"/>
      <c r="J34"/>
      <c r="K34"/>
      <c r="L34"/>
      <c r="M34"/>
    </row>
    <row r="35" spans="1:14" s="89" customFormat="1" x14ac:dyDescent="0.25">
      <c r="A35" s="88"/>
      <c r="B35"/>
      <c r="C35"/>
      <c r="D35"/>
      <c r="E35"/>
      <c r="F35"/>
      <c r="G35"/>
      <c r="H35"/>
      <c r="I35"/>
      <c r="J35"/>
      <c r="K35"/>
      <c r="L35"/>
      <c r="M35"/>
    </row>
    <row r="36" spans="1:14" s="89" customFormat="1" x14ac:dyDescent="0.25">
      <c r="A36" s="88"/>
      <c r="B36"/>
      <c r="C36"/>
      <c r="D36"/>
      <c r="E36"/>
      <c r="F36"/>
      <c r="G36"/>
      <c r="H36"/>
      <c r="I36"/>
      <c r="J36"/>
      <c r="K36"/>
      <c r="L36"/>
      <c r="M36"/>
    </row>
    <row r="37" spans="1:14" s="89" customFormat="1" x14ac:dyDescent="0.25">
      <c r="A37" s="88"/>
      <c r="B37"/>
      <c r="C37"/>
      <c r="D37"/>
      <c r="E37"/>
      <c r="F37"/>
      <c r="G37"/>
      <c r="H37"/>
      <c r="I37"/>
      <c r="J37"/>
      <c r="K37"/>
      <c r="L37"/>
      <c r="M37"/>
    </row>
    <row r="38" spans="1:14" s="89" customFormat="1" x14ac:dyDescent="0.25">
      <c r="A38" s="88"/>
      <c r="B38"/>
      <c r="C38"/>
      <c r="D38"/>
      <c r="E38"/>
      <c r="F38"/>
      <c r="G38"/>
      <c r="H38"/>
      <c r="I38"/>
      <c r="J38"/>
      <c r="K38"/>
      <c r="L38"/>
      <c r="M38"/>
    </row>
    <row r="39" spans="1:14" s="89" customFormat="1" x14ac:dyDescent="0.25">
      <c r="A39" s="88"/>
      <c r="B39"/>
      <c r="C39"/>
      <c r="D39"/>
      <c r="E39"/>
      <c r="F39"/>
      <c r="G39"/>
      <c r="H39"/>
      <c r="I39"/>
      <c r="J39"/>
      <c r="K39"/>
      <c r="L39"/>
      <c r="M39"/>
    </row>
    <row r="40" spans="1:14" s="89" customFormat="1" x14ac:dyDescent="0.25">
      <c r="A40" s="88"/>
      <c r="B40"/>
      <c r="C40"/>
      <c r="D40"/>
      <c r="E40"/>
      <c r="F40"/>
      <c r="G40"/>
      <c r="H40"/>
      <c r="I40"/>
      <c r="J40"/>
      <c r="K40"/>
      <c r="L40"/>
      <c r="M40"/>
    </row>
    <row r="41" spans="1:14" s="89" customFormat="1" x14ac:dyDescent="0.25">
      <c r="A41" s="88"/>
      <c r="B41"/>
      <c r="C41"/>
      <c r="D41"/>
      <c r="E41"/>
      <c r="F41"/>
      <c r="G41"/>
      <c r="H41"/>
      <c r="I41"/>
      <c r="J41"/>
      <c r="K41"/>
      <c r="L41"/>
      <c r="M41"/>
    </row>
    <row r="42" spans="1:14" s="89" customFormat="1" x14ac:dyDescent="0.25">
      <c r="A42" s="88" t="s">
        <v>1505</v>
      </c>
      <c r="B42"/>
      <c r="C42"/>
      <c r="D42"/>
      <c r="E42"/>
      <c r="F42"/>
      <c r="G42"/>
      <c r="H42"/>
      <c r="I42"/>
      <c r="J42"/>
      <c r="K42"/>
      <c r="L42"/>
      <c r="M42"/>
      <c r="N42" s="89" t="s">
        <v>1505</v>
      </c>
    </row>
    <row r="43" spans="1:14" s="40" customFormat="1" x14ac:dyDescent="0.25">
      <c r="A43" s="72"/>
      <c r="B43"/>
      <c r="C43"/>
      <c r="D43"/>
      <c r="E43"/>
      <c r="F43"/>
      <c r="G43"/>
      <c r="H43"/>
      <c r="I43"/>
      <c r="J43"/>
      <c r="K43"/>
      <c r="L43"/>
      <c r="M43"/>
    </row>
    <row r="44" spans="1:14" s="40" customFormat="1" ht="16.5" customHeight="1" x14ac:dyDescent="0.25">
      <c r="A44" s="72"/>
      <c r="B44"/>
      <c r="C44"/>
      <c r="D44"/>
      <c r="E44"/>
      <c r="F44"/>
      <c r="G44"/>
      <c r="H44"/>
      <c r="I44"/>
      <c r="J44"/>
      <c r="K44"/>
      <c r="L44"/>
      <c r="M44"/>
    </row>
    <row r="45" spans="1:14" s="40" customFormat="1" x14ac:dyDescent="0.25">
      <c r="A45" s="72"/>
      <c r="B45"/>
      <c r="C45"/>
      <c r="D45"/>
      <c r="E45"/>
      <c r="F45"/>
      <c r="G45"/>
      <c r="H45"/>
      <c r="I45"/>
      <c r="J45"/>
      <c r="K45"/>
      <c r="L45"/>
      <c r="M45"/>
    </row>
    <row r="46" spans="1:14" s="40" customFormat="1" x14ac:dyDescent="0.25">
      <c r="A46" s="72"/>
      <c r="B46"/>
      <c r="C46"/>
      <c r="D46"/>
      <c r="E46"/>
      <c r="F46"/>
      <c r="G46"/>
      <c r="H46"/>
      <c r="I46"/>
      <c r="J46"/>
      <c r="K46"/>
      <c r="L46"/>
      <c r="M46"/>
    </row>
    <row r="47" spans="1:14" s="40" customFormat="1" x14ac:dyDescent="0.25">
      <c r="A47" s="72"/>
      <c r="B47"/>
      <c r="C47"/>
      <c r="D47"/>
      <c r="E47"/>
      <c r="F47"/>
      <c r="G47"/>
      <c r="H47"/>
      <c r="I47"/>
      <c r="J47"/>
      <c r="K47"/>
      <c r="L47"/>
      <c r="M47"/>
    </row>
    <row r="48" spans="1:14" s="40" customFormat="1" x14ac:dyDescent="0.25">
      <c r="A48" s="72"/>
      <c r="B48"/>
      <c r="C48"/>
      <c r="D48"/>
      <c r="E48"/>
      <c r="F48"/>
      <c r="G48"/>
      <c r="H48"/>
      <c r="I48"/>
      <c r="J48"/>
      <c r="K48"/>
      <c r="L48"/>
      <c r="M48"/>
    </row>
    <row r="49" spans="1:13" s="40" customFormat="1" x14ac:dyDescent="0.25">
      <c r="A49" s="72"/>
      <c r="B49"/>
      <c r="C49"/>
      <c r="D49"/>
      <c r="E49"/>
      <c r="F49"/>
      <c r="G49"/>
      <c r="H49"/>
      <c r="I49"/>
      <c r="J49"/>
      <c r="K49"/>
      <c r="L49"/>
      <c r="M49"/>
    </row>
    <row r="50" spans="1:13" s="89" customFormat="1" x14ac:dyDescent="0.25">
      <c r="A50" s="88"/>
      <c r="B50"/>
      <c r="C50"/>
      <c r="D50"/>
      <c r="E50"/>
      <c r="F50"/>
      <c r="G50"/>
      <c r="H50"/>
      <c r="I50"/>
      <c r="J50"/>
      <c r="K50"/>
      <c r="L50"/>
      <c r="M50"/>
    </row>
    <row r="51" spans="1:13" s="89" customFormat="1" x14ac:dyDescent="0.25">
      <c r="A51" s="88"/>
      <c r="B51"/>
      <c r="C51"/>
      <c r="D51"/>
      <c r="E51"/>
      <c r="F51"/>
      <c r="G51"/>
      <c r="H51"/>
      <c r="I51"/>
      <c r="J51"/>
      <c r="K51"/>
      <c r="L51"/>
      <c r="M51"/>
    </row>
    <row r="52" spans="1:13" s="89" customFormat="1" x14ac:dyDescent="0.25">
      <c r="A52" s="88"/>
      <c r="B52"/>
      <c r="C52"/>
      <c r="D52"/>
      <c r="E52"/>
      <c r="F52"/>
      <c r="G52"/>
      <c r="H52"/>
      <c r="I52"/>
      <c r="J52"/>
      <c r="K52"/>
      <c r="L52"/>
      <c r="M52"/>
    </row>
    <row r="53" spans="1:13" s="89" customFormat="1" x14ac:dyDescent="0.25">
      <c r="A53" s="88"/>
      <c r="B53"/>
      <c r="C53"/>
      <c r="D53"/>
      <c r="E53"/>
      <c r="F53"/>
      <c r="G53"/>
      <c r="H53"/>
      <c r="I53"/>
      <c r="J53"/>
      <c r="K53"/>
      <c r="L53"/>
      <c r="M53"/>
    </row>
    <row r="54" spans="1:13" s="89" customFormat="1" x14ac:dyDescent="0.25">
      <c r="A54" s="88"/>
      <c r="B54"/>
      <c r="C54"/>
      <c r="D54"/>
      <c r="E54"/>
      <c r="F54"/>
      <c r="G54"/>
      <c r="H54"/>
      <c r="I54"/>
      <c r="J54"/>
      <c r="K54"/>
      <c r="L54"/>
      <c r="M54"/>
    </row>
    <row r="55" spans="1:13" s="89" customFormat="1" x14ac:dyDescent="0.25">
      <c r="A55" s="88"/>
      <c r="B55"/>
      <c r="C55"/>
      <c r="D55"/>
      <c r="E55"/>
      <c r="F55"/>
      <c r="G55"/>
      <c r="H55"/>
      <c r="I55"/>
      <c r="J55"/>
      <c r="K55"/>
      <c r="L55"/>
      <c r="M55"/>
    </row>
    <row r="56" spans="1:13" s="89" customFormat="1" x14ac:dyDescent="0.25">
      <c r="A56" s="88"/>
      <c r="B56"/>
      <c r="C56"/>
      <c r="D56"/>
      <c r="E56"/>
      <c r="F56"/>
      <c r="G56"/>
      <c r="H56"/>
      <c r="I56"/>
      <c r="J56"/>
      <c r="K56"/>
      <c r="L56"/>
      <c r="M56"/>
    </row>
    <row r="57" spans="1:13" s="89" customFormat="1" x14ac:dyDescent="0.25">
      <c r="A57" s="88"/>
      <c r="B57"/>
      <c r="C57"/>
      <c r="D57"/>
      <c r="E57"/>
      <c r="F57"/>
      <c r="G57"/>
      <c r="H57"/>
      <c r="I57"/>
      <c r="J57"/>
      <c r="K57"/>
      <c r="L57"/>
      <c r="M57"/>
    </row>
    <row r="58" spans="1:13" s="89" customFormat="1" x14ac:dyDescent="0.25">
      <c r="A58" s="88"/>
      <c r="B58"/>
      <c r="C58"/>
      <c r="D58"/>
      <c r="E58"/>
      <c r="F58"/>
      <c r="G58"/>
      <c r="H58"/>
      <c r="I58"/>
      <c r="J58"/>
      <c r="K58"/>
      <c r="L58"/>
      <c r="M58"/>
    </row>
    <row r="59" spans="1:13" s="89" customFormat="1" x14ac:dyDescent="0.25">
      <c r="A59" s="88"/>
      <c r="B59"/>
      <c r="C59"/>
      <c r="D59"/>
      <c r="E59"/>
      <c r="F59"/>
      <c r="G59"/>
      <c r="H59"/>
      <c r="I59"/>
      <c r="J59"/>
      <c r="K59"/>
      <c r="L59"/>
      <c r="M59"/>
    </row>
    <row r="60" spans="1:13" s="89" customFormat="1" x14ac:dyDescent="0.25">
      <c r="A60" s="88"/>
      <c r="B60"/>
      <c r="C60"/>
      <c r="D60"/>
      <c r="E60"/>
      <c r="F60"/>
      <c r="G60"/>
      <c r="H60"/>
      <c r="I60"/>
      <c r="J60"/>
      <c r="K60"/>
      <c r="L60"/>
      <c r="M60"/>
    </row>
    <row r="61" spans="1:13" s="89" customFormat="1" x14ac:dyDescent="0.25">
      <c r="A61" s="88"/>
      <c r="B61"/>
      <c r="C61"/>
      <c r="D61"/>
      <c r="E61"/>
      <c r="F61"/>
      <c r="G61"/>
      <c r="H61"/>
      <c r="I61"/>
      <c r="J61"/>
      <c r="K61"/>
      <c r="L61"/>
      <c r="M61"/>
    </row>
    <row r="62" spans="1:13" s="89" customFormat="1" x14ac:dyDescent="0.25">
      <c r="A62" s="88"/>
      <c r="B62"/>
      <c r="C62"/>
      <c r="D62"/>
      <c r="E62"/>
      <c r="F62"/>
      <c r="G62"/>
      <c r="H62"/>
      <c r="I62"/>
      <c r="J62"/>
      <c r="K62"/>
      <c r="L62"/>
      <c r="M62"/>
    </row>
    <row r="63" spans="1:13" s="89" customFormat="1" x14ac:dyDescent="0.25">
      <c r="A63" s="88"/>
      <c r="B63"/>
      <c r="C63"/>
      <c r="D63"/>
      <c r="E63"/>
      <c r="F63"/>
      <c r="G63"/>
      <c r="H63"/>
      <c r="I63"/>
      <c r="J63"/>
      <c r="K63"/>
      <c r="L63"/>
      <c r="M63"/>
    </row>
    <row r="64" spans="1:13" s="89" customFormat="1" x14ac:dyDescent="0.25">
      <c r="A64" s="88"/>
      <c r="B64"/>
      <c r="C64"/>
      <c r="D64"/>
      <c r="E64"/>
      <c r="F64"/>
      <c r="G64"/>
      <c r="H64"/>
      <c r="I64"/>
      <c r="J64"/>
      <c r="K64"/>
      <c r="L64"/>
      <c r="M64"/>
    </row>
    <row r="65" spans="1:13" s="89" customFormat="1" x14ac:dyDescent="0.25">
      <c r="A65" s="88"/>
      <c r="B65"/>
      <c r="C65"/>
      <c r="D65"/>
      <c r="E65"/>
      <c r="F65"/>
      <c r="G65"/>
      <c r="H65"/>
      <c r="I65"/>
      <c r="J65"/>
      <c r="K65"/>
      <c r="L65"/>
      <c r="M65"/>
    </row>
    <row r="66" spans="1:13" s="89" customFormat="1" x14ac:dyDescent="0.25">
      <c r="B66"/>
      <c r="C66"/>
      <c r="D66"/>
      <c r="E66"/>
      <c r="F66"/>
      <c r="G66"/>
      <c r="H66"/>
      <c r="I66"/>
      <c r="J66"/>
      <c r="K66"/>
      <c r="L66"/>
      <c r="M66"/>
    </row>
    <row r="67" spans="1:13" s="89" customFormat="1" x14ac:dyDescent="0.25">
      <c r="B67"/>
      <c r="C67"/>
      <c r="D67"/>
      <c r="E67"/>
      <c r="F67"/>
      <c r="G67"/>
      <c r="H67"/>
      <c r="I67"/>
      <c r="J67"/>
      <c r="K67"/>
      <c r="L67"/>
      <c r="M67"/>
    </row>
    <row r="68" spans="1:13" s="89" customFormat="1" x14ac:dyDescent="0.25">
      <c r="B68"/>
      <c r="C68"/>
      <c r="D68"/>
      <c r="E68"/>
      <c r="F68"/>
      <c r="G68"/>
      <c r="H68"/>
      <c r="I68"/>
      <c r="J68"/>
      <c r="K68"/>
      <c r="L68"/>
      <c r="M68"/>
    </row>
    <row r="69" spans="1:13" s="40" customFormat="1" x14ac:dyDescent="0.25">
      <c r="B69"/>
      <c r="C69"/>
      <c r="D69"/>
      <c r="E69"/>
      <c r="F69"/>
      <c r="G69"/>
      <c r="H69"/>
      <c r="I69"/>
      <c r="J69"/>
      <c r="K69"/>
      <c r="L69"/>
      <c r="M69"/>
    </row>
    <row r="70" spans="1:13" x14ac:dyDescent="0.25">
      <c r="E70"/>
      <c r="F70"/>
      <c r="G70"/>
      <c r="H70"/>
      <c r="K70"/>
      <c r="L70"/>
    </row>
    <row r="71" spans="1:13" x14ac:dyDescent="0.25">
      <c r="E71"/>
      <c r="F71"/>
      <c r="G71"/>
      <c r="H71"/>
      <c r="K71"/>
      <c r="L71"/>
    </row>
    <row r="72" spans="1:13" x14ac:dyDescent="0.25">
      <c r="E72"/>
      <c r="F72"/>
      <c r="G72"/>
      <c r="H72"/>
      <c r="K72"/>
      <c r="L72"/>
    </row>
    <row r="73" spans="1:13" x14ac:dyDescent="0.25">
      <c r="E73"/>
      <c r="F73"/>
      <c r="G73"/>
      <c r="H73"/>
      <c r="K73"/>
      <c r="L73"/>
    </row>
    <row r="74" spans="1:13" x14ac:dyDescent="0.25">
      <c r="E74"/>
      <c r="F74"/>
      <c r="G74"/>
      <c r="H74"/>
      <c r="K74"/>
      <c r="L74"/>
    </row>
    <row r="75" spans="1:13" x14ac:dyDescent="0.25">
      <c r="E75"/>
      <c r="F75"/>
      <c r="G75"/>
      <c r="H75"/>
      <c r="K75"/>
      <c r="L75"/>
    </row>
    <row r="76" spans="1:13" x14ac:dyDescent="0.25">
      <c r="E76"/>
      <c r="F76"/>
      <c r="G76"/>
      <c r="H76"/>
      <c r="K76"/>
      <c r="L76"/>
    </row>
    <row r="77" spans="1:13" x14ac:dyDescent="0.25">
      <c r="E77"/>
      <c r="F77"/>
      <c r="G77"/>
      <c r="H77"/>
      <c r="K77"/>
      <c r="L77"/>
    </row>
    <row r="78" spans="1:13" x14ac:dyDescent="0.25">
      <c r="E78"/>
      <c r="F78"/>
      <c r="G78"/>
      <c r="H78"/>
      <c r="K78"/>
      <c r="L78"/>
    </row>
    <row r="79" spans="1:13" x14ac:dyDescent="0.25">
      <c r="E79"/>
      <c r="F79"/>
      <c r="G79"/>
      <c r="H79"/>
      <c r="K79"/>
      <c r="L79"/>
    </row>
    <row r="80" spans="1:13" x14ac:dyDescent="0.25">
      <c r="E80"/>
      <c r="F80"/>
      <c r="G80"/>
      <c r="H80"/>
      <c r="K80"/>
      <c r="L80"/>
    </row>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spans="5:12" x14ac:dyDescent="0.25">
      <c r="E161"/>
      <c r="F161"/>
      <c r="G161"/>
      <c r="H161"/>
      <c r="K161"/>
      <c r="L161"/>
    </row>
    <row r="162" spans="5:12" x14ac:dyDescent="0.25">
      <c r="E162"/>
      <c r="F162"/>
      <c r="G162"/>
      <c r="H162"/>
      <c r="K162"/>
      <c r="L162"/>
    </row>
    <row r="163" spans="5:12" x14ac:dyDescent="0.25">
      <c r="E163"/>
      <c r="F163"/>
      <c r="G163"/>
      <c r="H163"/>
      <c r="K163"/>
      <c r="L163"/>
    </row>
    <row r="164" spans="5:12" x14ac:dyDescent="0.25">
      <c r="E164"/>
      <c r="F164"/>
      <c r="G164"/>
      <c r="H164"/>
      <c r="K164"/>
      <c r="L164"/>
    </row>
    <row r="165" spans="5:12" x14ac:dyDescent="0.25">
      <c r="E165"/>
      <c r="F165"/>
      <c r="G165"/>
      <c r="H165"/>
      <c r="K165"/>
      <c r="L165"/>
    </row>
    <row r="166" spans="5:12" x14ac:dyDescent="0.25">
      <c r="E166"/>
      <c r="F166"/>
      <c r="G166"/>
      <c r="H166"/>
      <c r="K166"/>
      <c r="L166"/>
    </row>
    <row r="167" spans="5:12" x14ac:dyDescent="0.25">
      <c r="E167"/>
      <c r="F167"/>
      <c r="G167"/>
      <c r="H167"/>
      <c r="K167"/>
      <c r="L167"/>
    </row>
    <row r="168" spans="5:12" x14ac:dyDescent="0.25">
      <c r="E168"/>
      <c r="F168"/>
      <c r="G168"/>
      <c r="H168"/>
    </row>
    <row r="169" spans="5:12" x14ac:dyDescent="0.25">
      <c r="E169"/>
      <c r="F169"/>
      <c r="G169"/>
      <c r="H169"/>
    </row>
    <row r="170" spans="5:12" x14ac:dyDescent="0.25">
      <c r="E170"/>
      <c r="F170"/>
      <c r="G170"/>
      <c r="H170"/>
    </row>
    <row r="171" spans="5:12" x14ac:dyDescent="0.25">
      <c r="E171"/>
      <c r="F171"/>
      <c r="G171"/>
      <c r="H171"/>
    </row>
    <row r="172" spans="5:12" x14ac:dyDescent="0.25">
      <c r="E172"/>
      <c r="F172"/>
      <c r="G172"/>
      <c r="H172"/>
    </row>
    <row r="173" spans="5:12" x14ac:dyDescent="0.25">
      <c r="E173"/>
      <c r="F173"/>
      <c r="G173"/>
      <c r="H173"/>
    </row>
    <row r="174" spans="5:12" x14ac:dyDescent="0.25">
      <c r="E174"/>
      <c r="F174"/>
      <c r="G174"/>
      <c r="H174"/>
    </row>
    <row r="175" spans="5:12" x14ac:dyDescent="0.25">
      <c r="E175"/>
      <c r="F175"/>
      <c r="G175"/>
      <c r="H175"/>
    </row>
    <row r="176" spans="5:12" x14ac:dyDescent="0.25">
      <c r="E176"/>
      <c r="F176"/>
      <c r="G176"/>
      <c r="H176"/>
    </row>
    <row r="177" spans="11:12" customFormat="1" x14ac:dyDescent="0.25">
      <c r="K177" s="5"/>
      <c r="L177" s="5"/>
    </row>
    <row r="178" spans="11:12" customFormat="1" x14ac:dyDescent="0.25">
      <c r="K178" s="5"/>
      <c r="L178" s="5"/>
    </row>
    <row r="179" spans="11:12" customFormat="1" x14ac:dyDescent="0.25">
      <c r="K179" s="5"/>
      <c r="L179" s="5"/>
    </row>
    <row r="180" spans="11:12" customFormat="1" x14ac:dyDescent="0.25">
      <c r="K180" s="5"/>
      <c r="L180" s="5"/>
    </row>
    <row r="181" spans="11:12" customFormat="1" x14ac:dyDescent="0.25">
      <c r="K181" s="5"/>
      <c r="L181" s="5"/>
    </row>
    <row r="182" spans="11:12" customFormat="1" x14ac:dyDescent="0.25">
      <c r="K182" s="5"/>
      <c r="L182" s="5"/>
    </row>
    <row r="183" spans="11:12" customFormat="1" x14ac:dyDescent="0.25">
      <c r="K183" s="5"/>
      <c r="L183" s="5"/>
    </row>
    <row r="184" spans="11:12" customFormat="1" x14ac:dyDescent="0.25">
      <c r="K184" s="5"/>
      <c r="L184" s="5"/>
    </row>
    <row r="185" spans="11:12" customFormat="1" x14ac:dyDescent="0.25">
      <c r="K185" s="5"/>
      <c r="L185" s="5"/>
    </row>
    <row r="186" spans="11:12" customFormat="1" x14ac:dyDescent="0.25">
      <c r="K186" s="5"/>
      <c r="L186" s="5"/>
    </row>
    <row r="187" spans="11:12" customFormat="1" x14ac:dyDescent="0.25">
      <c r="K187" s="5"/>
      <c r="L187" s="5"/>
    </row>
    <row r="188" spans="11:12" customFormat="1" x14ac:dyDescent="0.25">
      <c r="K188" s="5"/>
      <c r="L188" s="5"/>
    </row>
    <row r="189" spans="11:12" customFormat="1" x14ac:dyDescent="0.25">
      <c r="K189" s="5"/>
      <c r="L189" s="5"/>
    </row>
    <row r="190" spans="11:12" customFormat="1" x14ac:dyDescent="0.25">
      <c r="K190" s="5"/>
      <c r="L190" s="5"/>
    </row>
    <row r="191" spans="11:12" customFormat="1" x14ac:dyDescent="0.25">
      <c r="K191" s="5"/>
      <c r="L191" s="5"/>
    </row>
    <row r="192" spans="11:12" customFormat="1" x14ac:dyDescent="0.25">
      <c r="K192" s="5"/>
      <c r="L192" s="5"/>
    </row>
    <row r="193" spans="11:12" customFormat="1" x14ac:dyDescent="0.25">
      <c r="K193" s="5"/>
      <c r="L193" s="5"/>
    </row>
    <row r="194" spans="11:12" customFormat="1" x14ac:dyDescent="0.25">
      <c r="K194" s="5"/>
      <c r="L194" s="5"/>
    </row>
    <row r="195" spans="11:12" customFormat="1" x14ac:dyDescent="0.25">
      <c r="K195" s="5"/>
      <c r="L195" s="5"/>
    </row>
    <row r="196" spans="11:12" customFormat="1" x14ac:dyDescent="0.25">
      <c r="K196" s="5"/>
      <c r="L196" s="5"/>
    </row>
    <row r="197" spans="11:12" customFormat="1" x14ac:dyDescent="0.25">
      <c r="K197" s="5"/>
      <c r="L197" s="5"/>
    </row>
    <row r="198" spans="11:12" customFormat="1" x14ac:dyDescent="0.25">
      <c r="K198" s="5"/>
      <c r="L198" s="5"/>
    </row>
    <row r="199" spans="11:12" customFormat="1" x14ac:dyDescent="0.25">
      <c r="K199" s="5"/>
      <c r="L199" s="5"/>
    </row>
    <row r="200" spans="11:12" customFormat="1" x14ac:dyDescent="0.25">
      <c r="K200" s="5"/>
      <c r="L200" s="5"/>
    </row>
    <row r="201" spans="11:12" customFormat="1" x14ac:dyDescent="0.25">
      <c r="K201" s="5"/>
      <c r="L201" s="5"/>
    </row>
    <row r="202" spans="11:12" customFormat="1" x14ac:dyDescent="0.25">
      <c r="K202" s="5"/>
      <c r="L202" s="5"/>
    </row>
    <row r="203" spans="11:12" customFormat="1" x14ac:dyDescent="0.25">
      <c r="K203" s="5"/>
      <c r="L203" s="5"/>
    </row>
    <row r="204" spans="11:12" customFormat="1" x14ac:dyDescent="0.25">
      <c r="K204" s="5"/>
      <c r="L204" s="5"/>
    </row>
    <row r="205" spans="11:12" customFormat="1" x14ac:dyDescent="0.25">
      <c r="K205" s="5"/>
      <c r="L205" s="5"/>
    </row>
    <row r="206" spans="11:12" customFormat="1" x14ac:dyDescent="0.25">
      <c r="K206" s="5"/>
      <c r="L206" s="5"/>
    </row>
    <row r="207" spans="11:12" customFormat="1" x14ac:dyDescent="0.25">
      <c r="K207" s="5"/>
      <c r="L207" s="5"/>
    </row>
    <row r="208" spans="11:12" customFormat="1" x14ac:dyDescent="0.25">
      <c r="K208" s="5"/>
      <c r="L208" s="5"/>
    </row>
    <row r="209" spans="11:12" customFormat="1" x14ac:dyDescent="0.25">
      <c r="K209" s="5"/>
      <c r="L209" s="5"/>
    </row>
    <row r="210" spans="11:12" customFormat="1" x14ac:dyDescent="0.25">
      <c r="K210" s="5"/>
      <c r="L210" s="5"/>
    </row>
    <row r="211" spans="11:12" customFormat="1" x14ac:dyDescent="0.25">
      <c r="K211" s="5"/>
      <c r="L211" s="5"/>
    </row>
    <row r="212" spans="11:12" customFormat="1" x14ac:dyDescent="0.25">
      <c r="K212" s="5"/>
      <c r="L212" s="5"/>
    </row>
    <row r="213" spans="11:12" customFormat="1" x14ac:dyDescent="0.25">
      <c r="K213" s="5"/>
      <c r="L213" s="5"/>
    </row>
    <row r="214" spans="11:12" customFormat="1" x14ac:dyDescent="0.25">
      <c r="K214" s="5"/>
      <c r="L214" s="5"/>
    </row>
    <row r="215" spans="11:12" customFormat="1" x14ac:dyDescent="0.25">
      <c r="K215" s="5"/>
      <c r="L215" s="5"/>
    </row>
    <row r="216" spans="11:12" customFormat="1" x14ac:dyDescent="0.25">
      <c r="K216" s="5"/>
      <c r="L216" s="5"/>
    </row>
    <row r="217" spans="11:12" customFormat="1" x14ac:dyDescent="0.25">
      <c r="K217" s="5"/>
      <c r="L217" s="5"/>
    </row>
    <row r="218" spans="11:12" customFormat="1" x14ac:dyDescent="0.25">
      <c r="K218" s="5"/>
      <c r="L218" s="5"/>
    </row>
    <row r="219" spans="11:12" customFormat="1" x14ac:dyDescent="0.25">
      <c r="K219" s="5"/>
      <c r="L219" s="5"/>
    </row>
    <row r="220" spans="11:12" customFormat="1" x14ac:dyDescent="0.25">
      <c r="K220" s="5"/>
      <c r="L220" s="5"/>
    </row>
    <row r="221" spans="11:12" customFormat="1" x14ac:dyDescent="0.25">
      <c r="K221" s="5"/>
      <c r="L221" s="5"/>
    </row>
    <row r="222" spans="11:12" customFormat="1" x14ac:dyDescent="0.25">
      <c r="K222" s="5"/>
      <c r="L222" s="5"/>
    </row>
    <row r="223" spans="11:12" customFormat="1" x14ac:dyDescent="0.25">
      <c r="K223" s="5"/>
      <c r="L223" s="5"/>
    </row>
    <row r="224" spans="11:12" customFormat="1" x14ac:dyDescent="0.25">
      <c r="K224" s="5"/>
      <c r="L224" s="5"/>
    </row>
    <row r="225" spans="11:12" customFormat="1" x14ac:dyDescent="0.25">
      <c r="K225" s="5"/>
      <c r="L225" s="5"/>
    </row>
    <row r="226" spans="11:12" customFormat="1" x14ac:dyDescent="0.25">
      <c r="K226" s="5"/>
      <c r="L226" s="5"/>
    </row>
    <row r="227" spans="11:12" customFormat="1" x14ac:dyDescent="0.25">
      <c r="K227" s="5"/>
      <c r="L227" s="5"/>
    </row>
    <row r="228" spans="11:12" customFormat="1" x14ac:dyDescent="0.25">
      <c r="K228" s="5"/>
      <c r="L228" s="5"/>
    </row>
    <row r="229" spans="11:12" customFormat="1" x14ac:dyDescent="0.25">
      <c r="K229" s="5"/>
      <c r="L229" s="5"/>
    </row>
    <row r="230" spans="11:12" customFormat="1" x14ac:dyDescent="0.25">
      <c r="K230" s="5"/>
      <c r="L230" s="5"/>
    </row>
    <row r="231" spans="11:12" customFormat="1" x14ac:dyDescent="0.25">
      <c r="K231" s="5"/>
      <c r="L231" s="5"/>
    </row>
    <row r="232" spans="11:12" customFormat="1" x14ac:dyDescent="0.25">
      <c r="K232" s="5"/>
      <c r="L232" s="5"/>
    </row>
    <row r="233" spans="11:12" customFormat="1" x14ac:dyDescent="0.25">
      <c r="K233" s="5"/>
      <c r="L233" s="5"/>
    </row>
    <row r="234" spans="11:12" customFormat="1" x14ac:dyDescent="0.25">
      <c r="K234" s="5"/>
      <c r="L234" s="5"/>
    </row>
    <row r="235" spans="11:12" customFormat="1" x14ac:dyDescent="0.25">
      <c r="K235" s="5"/>
      <c r="L235" s="5"/>
    </row>
    <row r="236" spans="11:12" customFormat="1" x14ac:dyDescent="0.25">
      <c r="K236" s="5"/>
      <c r="L236" s="5"/>
    </row>
    <row r="237" spans="11:12" customFormat="1" x14ac:dyDescent="0.25">
      <c r="K237" s="5"/>
      <c r="L237" s="5"/>
    </row>
    <row r="238" spans="11:12" customFormat="1" x14ac:dyDescent="0.25">
      <c r="K238" s="5"/>
      <c r="L238" s="5"/>
    </row>
    <row r="239" spans="11:12" customFormat="1" x14ac:dyDescent="0.25">
      <c r="K239" s="5"/>
      <c r="L239" s="5"/>
    </row>
    <row r="240" spans="11:12" customFormat="1" x14ac:dyDescent="0.25">
      <c r="K240" s="5"/>
      <c r="L240" s="5"/>
    </row>
    <row r="241" spans="11:12" customFormat="1" x14ac:dyDescent="0.25">
      <c r="K241" s="5"/>
      <c r="L241" s="5"/>
    </row>
    <row r="242" spans="11:12" customFormat="1" x14ac:dyDescent="0.25">
      <c r="K242" s="5"/>
      <c r="L242" s="5"/>
    </row>
    <row r="243" spans="11:12" customFormat="1" x14ac:dyDescent="0.25">
      <c r="K243" s="5"/>
      <c r="L243" s="5"/>
    </row>
    <row r="244" spans="11:12" customFormat="1" x14ac:dyDescent="0.25">
      <c r="K244" s="5"/>
      <c r="L244" s="5"/>
    </row>
    <row r="245" spans="11:12" customFormat="1" x14ac:dyDescent="0.25">
      <c r="K245" s="5"/>
      <c r="L245" s="5"/>
    </row>
    <row r="246" spans="11:12" customFormat="1" x14ac:dyDescent="0.25">
      <c r="K246" s="5"/>
      <c r="L246" s="5"/>
    </row>
    <row r="247" spans="11:12" customFormat="1" x14ac:dyDescent="0.25">
      <c r="K247" s="5"/>
      <c r="L247" s="5"/>
    </row>
    <row r="248" spans="11:12" customFormat="1" x14ac:dyDescent="0.25">
      <c r="K248" s="5"/>
      <c r="L248" s="5"/>
    </row>
    <row r="249" spans="11:12" customFormat="1" x14ac:dyDescent="0.25">
      <c r="K249" s="5"/>
      <c r="L249" s="5"/>
    </row>
    <row r="250" spans="11:12" customFormat="1" x14ac:dyDescent="0.25">
      <c r="K250" s="5"/>
      <c r="L250" s="5"/>
    </row>
    <row r="251" spans="11:12" customFormat="1" x14ac:dyDescent="0.25">
      <c r="K251" s="5"/>
      <c r="L251" s="5"/>
    </row>
    <row r="252" spans="11:12" customFormat="1" x14ac:dyDescent="0.25">
      <c r="K252" s="5"/>
      <c r="L252" s="5"/>
    </row>
    <row r="253" spans="11:12" customFormat="1" x14ac:dyDescent="0.25">
      <c r="K253" s="5"/>
      <c r="L253" s="5"/>
    </row>
    <row r="254" spans="11:12" customFormat="1" x14ac:dyDescent="0.25">
      <c r="K254" s="5"/>
      <c r="L254" s="5"/>
    </row>
    <row r="255" spans="11:12" customFormat="1" x14ac:dyDescent="0.25">
      <c r="K255" s="5"/>
      <c r="L255" s="5"/>
    </row>
    <row r="256" spans="11:12" customFormat="1" x14ac:dyDescent="0.25">
      <c r="K256" s="5"/>
      <c r="L256" s="5"/>
    </row>
    <row r="257" spans="11:12" customFormat="1" x14ac:dyDescent="0.25">
      <c r="K257" s="5"/>
      <c r="L257" s="5"/>
    </row>
    <row r="258" spans="11:12" customFormat="1" x14ac:dyDescent="0.25">
      <c r="K258" s="5"/>
      <c r="L258" s="5"/>
    </row>
    <row r="259" spans="11:12" customFormat="1" x14ac:dyDescent="0.25">
      <c r="K259" s="5"/>
      <c r="L259" s="5"/>
    </row>
    <row r="260" spans="11:12" customFormat="1" x14ac:dyDescent="0.25">
      <c r="K260" s="5"/>
      <c r="L260" s="5"/>
    </row>
    <row r="261" spans="11:12" customFormat="1" x14ac:dyDescent="0.25">
      <c r="K261" s="5"/>
      <c r="L261" s="5"/>
    </row>
    <row r="262" spans="11:12" customFormat="1" x14ac:dyDescent="0.25">
      <c r="K262" s="5"/>
      <c r="L262" s="5"/>
    </row>
    <row r="263" spans="11:12" customFormat="1" x14ac:dyDescent="0.25">
      <c r="K263" s="5"/>
      <c r="L263" s="5"/>
    </row>
    <row r="264" spans="11:12" customFormat="1" x14ac:dyDescent="0.25">
      <c r="K264" s="5"/>
      <c r="L264" s="5"/>
    </row>
    <row r="265" spans="11:12" customFormat="1" x14ac:dyDescent="0.25">
      <c r="K265" s="5"/>
      <c r="L265" s="5"/>
    </row>
    <row r="266" spans="11:12" customFormat="1" x14ac:dyDescent="0.25">
      <c r="K266" s="5"/>
      <c r="L266" s="5"/>
    </row>
    <row r="267" spans="11:12" customFormat="1" x14ac:dyDescent="0.25">
      <c r="K267" s="5"/>
      <c r="L267" s="5"/>
    </row>
    <row r="268" spans="11:12" customFormat="1" x14ac:dyDescent="0.25">
      <c r="K268" s="5"/>
      <c r="L268" s="5"/>
    </row>
    <row r="269" spans="11:12" customFormat="1" x14ac:dyDescent="0.25">
      <c r="K269" s="5"/>
      <c r="L269" s="5"/>
    </row>
    <row r="270" spans="11:12" customFormat="1" x14ac:dyDescent="0.25">
      <c r="K270" s="5"/>
      <c r="L270" s="5"/>
    </row>
    <row r="271" spans="11:12" customFormat="1" x14ac:dyDescent="0.25">
      <c r="K271" s="5"/>
      <c r="L271" s="5"/>
    </row>
    <row r="272" spans="11:12" customFormat="1" x14ac:dyDescent="0.25">
      <c r="K272" s="5"/>
      <c r="L272" s="5"/>
    </row>
    <row r="273" spans="11:12" customFormat="1" x14ac:dyDescent="0.25">
      <c r="K273" s="5"/>
      <c r="L273" s="5"/>
    </row>
    <row r="274" spans="11:12" customFormat="1" x14ac:dyDescent="0.25">
      <c r="K274" s="5"/>
      <c r="L274" s="5"/>
    </row>
    <row r="275" spans="11:12" customFormat="1" x14ac:dyDescent="0.25">
      <c r="K275" s="5"/>
      <c r="L275" s="5"/>
    </row>
    <row r="276" spans="11:12" customFormat="1" x14ac:dyDescent="0.25">
      <c r="K276" s="5"/>
      <c r="L276" s="5"/>
    </row>
    <row r="277" spans="11:12" customFormat="1" x14ac:dyDescent="0.25">
      <c r="K277" s="5"/>
      <c r="L277" s="5"/>
    </row>
    <row r="278" spans="11:12" customFormat="1" x14ac:dyDescent="0.25">
      <c r="K278" s="5"/>
      <c r="L278" s="5"/>
    </row>
    <row r="279" spans="11:12" customFormat="1" x14ac:dyDescent="0.25">
      <c r="K279" s="5"/>
      <c r="L279" s="5"/>
    </row>
    <row r="280" spans="11:12" customFormat="1" x14ac:dyDescent="0.25">
      <c r="K280" s="5"/>
      <c r="L280" s="5"/>
    </row>
    <row r="281" spans="11:12" customFormat="1" x14ac:dyDescent="0.25">
      <c r="K281" s="5"/>
      <c r="L281" s="5"/>
    </row>
    <row r="282" spans="11:12" customFormat="1" x14ac:dyDescent="0.25">
      <c r="K282" s="5"/>
      <c r="L282" s="5"/>
    </row>
    <row r="283" spans="11:12" customFormat="1" x14ac:dyDescent="0.25">
      <c r="K283" s="5"/>
      <c r="L283" s="5"/>
    </row>
    <row r="284" spans="11:12" customFormat="1" x14ac:dyDescent="0.25">
      <c r="K284" s="5"/>
      <c r="L284" s="5"/>
    </row>
    <row r="285" spans="11:12" customFormat="1" x14ac:dyDescent="0.25">
      <c r="K285" s="5"/>
      <c r="L285" s="5"/>
    </row>
    <row r="286" spans="11:12" customFormat="1" x14ac:dyDescent="0.25">
      <c r="K286" s="5"/>
      <c r="L286" s="5"/>
    </row>
    <row r="287" spans="11:12" customFormat="1" x14ac:dyDescent="0.25">
      <c r="K287" s="5"/>
      <c r="L287" s="5"/>
    </row>
    <row r="288" spans="11:12" customFormat="1" x14ac:dyDescent="0.25">
      <c r="K288" s="5"/>
      <c r="L288" s="5"/>
    </row>
    <row r="289" spans="11:12" customFormat="1" x14ac:dyDescent="0.25">
      <c r="K289" s="5"/>
      <c r="L289" s="5"/>
    </row>
    <row r="290" spans="11:12" customFormat="1" x14ac:dyDescent="0.25">
      <c r="K290" s="5"/>
      <c r="L290" s="5"/>
    </row>
    <row r="291" spans="11:12" customFormat="1" x14ac:dyDescent="0.25">
      <c r="K291" s="5"/>
      <c r="L291" s="5"/>
    </row>
    <row r="292" spans="11:12" customFormat="1" x14ac:dyDescent="0.25">
      <c r="K292" s="5"/>
      <c r="L292" s="5"/>
    </row>
    <row r="293" spans="11:12" customFormat="1" x14ac:dyDescent="0.25">
      <c r="K293" s="5"/>
      <c r="L293" s="5"/>
    </row>
    <row r="294" spans="11:12" customFormat="1" x14ac:dyDescent="0.25">
      <c r="K294" s="5"/>
      <c r="L294" s="5"/>
    </row>
    <row r="295" spans="11:12" customFormat="1" x14ac:dyDescent="0.25">
      <c r="K295" s="5"/>
      <c r="L295" s="5"/>
    </row>
    <row r="296" spans="11:12" customFormat="1" x14ac:dyDescent="0.25">
      <c r="K296" s="5"/>
      <c r="L296" s="5"/>
    </row>
    <row r="297" spans="11:12" customFormat="1" x14ac:dyDescent="0.25">
      <c r="K297" s="5"/>
      <c r="L297" s="5"/>
    </row>
    <row r="298" spans="11:12" customFormat="1" x14ac:dyDescent="0.25">
      <c r="K298" s="5"/>
      <c r="L298" s="5"/>
    </row>
    <row r="299" spans="11:12" customFormat="1" x14ac:dyDescent="0.25">
      <c r="K299" s="5"/>
      <c r="L299" s="5"/>
    </row>
    <row r="300" spans="11:12" customFormat="1" x14ac:dyDescent="0.25">
      <c r="K300" s="5"/>
      <c r="L300" s="5"/>
    </row>
    <row r="301" spans="11:12" customFormat="1" x14ac:dyDescent="0.25">
      <c r="K301" s="5"/>
      <c r="L301" s="5"/>
    </row>
    <row r="302" spans="11:12" customFormat="1" x14ac:dyDescent="0.25">
      <c r="K302" s="5"/>
      <c r="L302" s="5"/>
    </row>
    <row r="303" spans="11:12" customFormat="1" x14ac:dyDescent="0.25">
      <c r="K303" s="5"/>
      <c r="L303" s="5"/>
    </row>
    <row r="304" spans="11:12" customFormat="1" x14ac:dyDescent="0.25">
      <c r="K304" s="5"/>
      <c r="L304" s="5"/>
    </row>
    <row r="305" spans="11:12" customFormat="1" x14ac:dyDescent="0.25">
      <c r="K305" s="5"/>
      <c r="L305" s="5"/>
    </row>
    <row r="306" spans="11:12" customFormat="1" x14ac:dyDescent="0.25">
      <c r="K306" s="5"/>
      <c r="L306" s="5"/>
    </row>
    <row r="307" spans="11:12" customFormat="1" x14ac:dyDescent="0.25">
      <c r="K307" s="5"/>
      <c r="L307" s="5"/>
    </row>
    <row r="308" spans="11:12" customFormat="1" x14ac:dyDescent="0.25">
      <c r="K308" s="5"/>
      <c r="L308" s="5"/>
    </row>
    <row r="309" spans="11:12" customFormat="1" x14ac:dyDescent="0.25">
      <c r="K309" s="5"/>
      <c r="L309" s="5"/>
    </row>
    <row r="310" spans="11:12" customFormat="1" x14ac:dyDescent="0.25">
      <c r="K310" s="5"/>
      <c r="L310" s="5"/>
    </row>
    <row r="311" spans="11:12" customFormat="1" x14ac:dyDescent="0.25">
      <c r="K311" s="5"/>
      <c r="L311" s="5"/>
    </row>
    <row r="312" spans="11:12" customFormat="1" x14ac:dyDescent="0.25">
      <c r="K312" s="5"/>
      <c r="L312" s="5"/>
    </row>
    <row r="313" spans="11:12" customFormat="1" x14ac:dyDescent="0.25">
      <c r="K313" s="5"/>
      <c r="L313" s="5"/>
    </row>
    <row r="314" spans="11:12" customFormat="1" x14ac:dyDescent="0.25">
      <c r="K314" s="5"/>
      <c r="L314" s="5"/>
    </row>
    <row r="315" spans="11:12" customFormat="1" x14ac:dyDescent="0.25">
      <c r="K315" s="5"/>
      <c r="L315" s="5"/>
    </row>
    <row r="316" spans="11:12" customFormat="1" x14ac:dyDescent="0.25">
      <c r="K316" s="5"/>
      <c r="L316" s="5"/>
    </row>
    <row r="317" spans="11:12" customFormat="1" x14ac:dyDescent="0.25">
      <c r="K317" s="5"/>
      <c r="L317" s="5"/>
    </row>
    <row r="318" spans="11:12" customFormat="1" x14ac:dyDescent="0.25">
      <c r="K318" s="5"/>
      <c r="L318" s="5"/>
    </row>
    <row r="319" spans="11:12" customFormat="1" x14ac:dyDescent="0.25">
      <c r="K319" s="5"/>
      <c r="L319" s="5"/>
    </row>
    <row r="320" spans="11:12" customFormat="1" x14ac:dyDescent="0.25">
      <c r="K320" s="5"/>
      <c r="L320" s="5"/>
    </row>
    <row r="321" spans="11:12" customFormat="1" x14ac:dyDescent="0.25">
      <c r="K321" s="5"/>
      <c r="L321" s="5"/>
    </row>
    <row r="322" spans="11:12" customFormat="1" x14ac:dyDescent="0.25">
      <c r="K322" s="5"/>
      <c r="L322" s="5"/>
    </row>
    <row r="323" spans="11:12" customFormat="1" x14ac:dyDescent="0.25">
      <c r="K323" s="5"/>
      <c r="L323" s="5"/>
    </row>
    <row r="324" spans="11:12" customFormat="1" x14ac:dyDescent="0.25">
      <c r="K324" s="5"/>
      <c r="L324" s="5"/>
    </row>
    <row r="325" spans="11:12" customFormat="1" x14ac:dyDescent="0.25">
      <c r="K325" s="5"/>
      <c r="L325" s="5"/>
    </row>
    <row r="326" spans="11:12" customFormat="1" x14ac:dyDescent="0.25">
      <c r="K326" s="5"/>
      <c r="L326" s="5"/>
    </row>
    <row r="327" spans="11:12" customFormat="1" x14ac:dyDescent="0.25">
      <c r="K327" s="5"/>
      <c r="L327" s="5"/>
    </row>
    <row r="328" spans="11:12" customFormat="1" x14ac:dyDescent="0.25">
      <c r="K328" s="5"/>
      <c r="L328" s="5"/>
    </row>
    <row r="329" spans="11:12" customFormat="1" x14ac:dyDescent="0.25">
      <c r="K329" s="5"/>
      <c r="L329" s="5"/>
    </row>
    <row r="330" spans="11:12" customFormat="1" x14ac:dyDescent="0.25">
      <c r="K330" s="5"/>
      <c r="L330" s="5"/>
    </row>
    <row r="331" spans="11:12" customFormat="1" x14ac:dyDescent="0.25">
      <c r="K331" s="5"/>
      <c r="L331" s="5"/>
    </row>
    <row r="332" spans="11:12" customFormat="1" x14ac:dyDescent="0.25">
      <c r="K332" s="5"/>
      <c r="L332" s="5"/>
    </row>
    <row r="333" spans="11:12" customFormat="1" x14ac:dyDescent="0.25">
      <c r="K333" s="5"/>
      <c r="L333" s="5"/>
    </row>
    <row r="334" spans="11:12" customFormat="1" x14ac:dyDescent="0.25">
      <c r="K334" s="5"/>
      <c r="L334" s="5"/>
    </row>
    <row r="335" spans="11:12" customFormat="1" x14ac:dyDescent="0.25">
      <c r="K335" s="5"/>
      <c r="L335" s="5"/>
    </row>
    <row r="336" spans="11:12" customFormat="1" x14ac:dyDescent="0.25">
      <c r="K336" s="5"/>
      <c r="L336" s="5"/>
    </row>
    <row r="337" spans="11:12" customFormat="1" x14ac:dyDescent="0.25">
      <c r="K337" s="5"/>
      <c r="L337" s="5"/>
    </row>
    <row r="338" spans="11:12" customFormat="1" x14ac:dyDescent="0.25">
      <c r="K338" s="5"/>
      <c r="L338" s="5"/>
    </row>
    <row r="339" spans="11:12" customFormat="1" x14ac:dyDescent="0.25">
      <c r="K339" s="5"/>
      <c r="L339" s="5"/>
    </row>
    <row r="340" spans="11:12" customFormat="1" x14ac:dyDescent="0.25">
      <c r="K340" s="5"/>
      <c r="L340" s="5"/>
    </row>
    <row r="341" spans="11:12" customFormat="1" x14ac:dyDescent="0.25">
      <c r="K341" s="5"/>
      <c r="L341" s="5"/>
    </row>
    <row r="342" spans="11:12" customFormat="1" x14ac:dyDescent="0.25">
      <c r="K342" s="5"/>
      <c r="L342" s="5"/>
    </row>
    <row r="343" spans="11:12" customFormat="1" x14ac:dyDescent="0.25">
      <c r="K343" s="5"/>
      <c r="L343" s="5"/>
    </row>
    <row r="344" spans="11:12" customFormat="1" x14ac:dyDescent="0.25">
      <c r="K344" s="5"/>
      <c r="L344" s="5"/>
    </row>
    <row r="345" spans="11:12" customFormat="1" x14ac:dyDescent="0.25">
      <c r="K345" s="5"/>
      <c r="L345" s="5"/>
    </row>
    <row r="346" spans="11:12" customFormat="1" x14ac:dyDescent="0.25">
      <c r="K346" s="5"/>
      <c r="L346" s="5"/>
    </row>
    <row r="347" spans="11:12" customFormat="1" x14ac:dyDescent="0.25">
      <c r="K347" s="5"/>
      <c r="L347" s="5"/>
    </row>
    <row r="348" spans="11:12" customFormat="1" x14ac:dyDescent="0.25">
      <c r="K348" s="5"/>
      <c r="L348" s="5"/>
    </row>
    <row r="349" spans="11:12" customFormat="1" x14ac:dyDescent="0.25">
      <c r="K349" s="5"/>
      <c r="L349" s="5"/>
    </row>
    <row r="350" spans="11:12" customFormat="1" x14ac:dyDescent="0.25">
      <c r="K350" s="5"/>
      <c r="L350" s="5"/>
    </row>
    <row r="351" spans="11:12" customFormat="1" x14ac:dyDescent="0.25">
      <c r="K351" s="5"/>
      <c r="L351" s="5"/>
    </row>
    <row r="352" spans="11:12" customFormat="1" x14ac:dyDescent="0.25">
      <c r="K352" s="5"/>
      <c r="L352" s="5"/>
    </row>
    <row r="353" spans="11:12" customFormat="1" x14ac:dyDescent="0.25">
      <c r="K353" s="5"/>
      <c r="L353" s="5"/>
    </row>
    <row r="354" spans="11:12" customFormat="1" x14ac:dyDescent="0.25">
      <c r="K354" s="5"/>
      <c r="L354" s="5"/>
    </row>
    <row r="355" spans="11:12" customFormat="1" x14ac:dyDescent="0.25">
      <c r="K355" s="5"/>
      <c r="L355" s="5"/>
    </row>
    <row r="356" spans="11:12" customFormat="1" x14ac:dyDescent="0.25">
      <c r="K356" s="5"/>
      <c r="L356" s="5"/>
    </row>
    <row r="357" spans="11:12" customFormat="1" x14ac:dyDescent="0.25">
      <c r="K357" s="5"/>
      <c r="L357" s="5"/>
    </row>
    <row r="358" spans="11:12" customFormat="1" x14ac:dyDescent="0.25">
      <c r="K358" s="5"/>
      <c r="L358" s="5"/>
    </row>
    <row r="359" spans="11:12" customFormat="1" x14ac:dyDescent="0.25">
      <c r="K359" s="5"/>
      <c r="L359" s="5"/>
    </row>
    <row r="360" spans="11:12" customFormat="1" x14ac:dyDescent="0.25">
      <c r="K360" s="5"/>
      <c r="L360" s="5"/>
    </row>
    <row r="361" spans="11:12" customFormat="1" x14ac:dyDescent="0.25">
      <c r="K361" s="5"/>
      <c r="L361" s="5"/>
    </row>
    <row r="362" spans="11:12" customFormat="1" x14ac:dyDescent="0.25">
      <c r="K362" s="5"/>
      <c r="L362" s="5"/>
    </row>
    <row r="363" spans="11:12" customFormat="1" x14ac:dyDescent="0.25">
      <c r="K363" s="5"/>
      <c r="L363" s="5"/>
    </row>
    <row r="364" spans="11:12" customFormat="1" x14ac:dyDescent="0.25">
      <c r="K364" s="5"/>
      <c r="L364" s="5"/>
    </row>
    <row r="365" spans="11:12" customFormat="1" x14ac:dyDescent="0.25">
      <c r="K365" s="5"/>
      <c r="L365" s="5"/>
    </row>
    <row r="366" spans="11:12" customFormat="1" x14ac:dyDescent="0.25">
      <c r="K366" s="5"/>
      <c r="L366" s="5"/>
    </row>
    <row r="367" spans="11:12" customFormat="1" x14ac:dyDescent="0.25">
      <c r="K367" s="5"/>
      <c r="L367" s="5"/>
    </row>
    <row r="368" spans="11:12" customFormat="1" x14ac:dyDescent="0.25">
      <c r="K368" s="5"/>
      <c r="L368" s="5"/>
    </row>
    <row r="369" spans="11:12" customFormat="1" x14ac:dyDescent="0.25">
      <c r="K369" s="5"/>
      <c r="L369" s="5"/>
    </row>
    <row r="370" spans="11:12" customFormat="1" x14ac:dyDescent="0.25">
      <c r="K370" s="5"/>
      <c r="L370" s="5"/>
    </row>
    <row r="371" spans="11:12" customFormat="1" x14ac:dyDescent="0.25">
      <c r="K371" s="5"/>
      <c r="L371" s="5"/>
    </row>
    <row r="372" spans="11:12" customFormat="1" x14ac:dyDescent="0.25">
      <c r="K372" s="5"/>
      <c r="L372" s="5"/>
    </row>
    <row r="373" spans="11:12" customFormat="1" x14ac:dyDescent="0.25">
      <c r="K373" s="5"/>
      <c r="L373" s="5"/>
    </row>
    <row r="374" spans="11:12" customFormat="1" x14ac:dyDescent="0.25">
      <c r="K374" s="5"/>
      <c r="L374" s="5"/>
    </row>
    <row r="375" spans="11:12" customFormat="1" x14ac:dyDescent="0.25">
      <c r="K375" s="5"/>
      <c r="L375" s="5"/>
    </row>
    <row r="376" spans="11:12" customFormat="1" x14ac:dyDescent="0.25">
      <c r="K376" s="5"/>
      <c r="L376" s="5"/>
    </row>
    <row r="377" spans="11:12" customFormat="1" x14ac:dyDescent="0.25">
      <c r="K377" s="5"/>
      <c r="L377" s="5"/>
    </row>
    <row r="378" spans="11:12" customFormat="1" x14ac:dyDescent="0.25">
      <c r="K378" s="5"/>
      <c r="L378" s="5"/>
    </row>
    <row r="379" spans="11:12" customFormat="1" x14ac:dyDescent="0.25">
      <c r="K379" s="5"/>
      <c r="L379" s="5"/>
    </row>
    <row r="380" spans="11:12" customFormat="1" x14ac:dyDescent="0.25">
      <c r="K380" s="5"/>
      <c r="L380" s="5"/>
    </row>
    <row r="381" spans="11:12" customFormat="1" x14ac:dyDescent="0.25">
      <c r="K381" s="5"/>
      <c r="L381" s="5"/>
    </row>
    <row r="382" spans="11:12" customFormat="1" x14ac:dyDescent="0.25">
      <c r="K382" s="5"/>
      <c r="L382" s="5"/>
    </row>
    <row r="383" spans="11:12" customFormat="1" x14ac:dyDescent="0.25">
      <c r="K383" s="5"/>
      <c r="L383" s="5"/>
    </row>
    <row r="384" spans="11:12" customFormat="1" x14ac:dyDescent="0.25">
      <c r="K384" s="5"/>
      <c r="L384" s="5"/>
    </row>
    <row r="385" spans="11:12" customFormat="1" x14ac:dyDescent="0.25">
      <c r="K385" s="5"/>
      <c r="L385" s="5"/>
    </row>
    <row r="386" spans="11:12" customFormat="1" x14ac:dyDescent="0.25">
      <c r="K386" s="5"/>
      <c r="L386" s="5"/>
    </row>
    <row r="387" spans="11:12" customFormat="1" x14ac:dyDescent="0.25">
      <c r="K387" s="5"/>
      <c r="L387" s="5"/>
    </row>
    <row r="388" spans="11:12" customFormat="1" x14ac:dyDescent="0.25">
      <c r="K388" s="5"/>
      <c r="L388" s="5"/>
    </row>
    <row r="389" spans="11:12" customFormat="1" x14ac:dyDescent="0.25">
      <c r="K389" s="5"/>
      <c r="L389" s="5"/>
    </row>
    <row r="390" spans="11:12" customFormat="1" x14ac:dyDescent="0.25">
      <c r="K390" s="5"/>
      <c r="L390" s="5"/>
    </row>
    <row r="391" spans="11:12" customFormat="1" x14ac:dyDescent="0.25">
      <c r="K391" s="5"/>
      <c r="L391" s="5"/>
    </row>
    <row r="392" spans="11:12" customFormat="1" x14ac:dyDescent="0.25">
      <c r="K392" s="5"/>
      <c r="L392" s="5"/>
    </row>
    <row r="393" spans="11:12" customFormat="1" x14ac:dyDescent="0.25">
      <c r="K393" s="5"/>
      <c r="L393" s="5"/>
    </row>
    <row r="394" spans="11:12" customFormat="1" x14ac:dyDescent="0.25">
      <c r="K394" s="5"/>
      <c r="L394" s="5"/>
    </row>
    <row r="395" spans="11:12" customFormat="1" x14ac:dyDescent="0.25">
      <c r="K395" s="5"/>
      <c r="L395" s="5"/>
    </row>
    <row r="396" spans="11:12" customFormat="1" x14ac:dyDescent="0.25">
      <c r="K396" s="5"/>
      <c r="L396" s="5"/>
    </row>
    <row r="397" spans="11:12" customFormat="1" x14ac:dyDescent="0.25">
      <c r="K397" s="5"/>
      <c r="L397" s="5"/>
    </row>
    <row r="398" spans="11:12" customFormat="1" x14ac:dyDescent="0.25">
      <c r="K398" s="5"/>
      <c r="L398" s="5"/>
    </row>
    <row r="399" spans="11:12" customFormat="1" x14ac:dyDescent="0.25">
      <c r="K399" s="5"/>
      <c r="L399" s="5"/>
    </row>
    <row r="400" spans="11:12" customFormat="1" x14ac:dyDescent="0.25">
      <c r="K400" s="5"/>
      <c r="L400" s="5"/>
    </row>
    <row r="401" spans="11:12" customFormat="1" x14ac:dyDescent="0.25">
      <c r="K401" s="5"/>
      <c r="L401" s="5"/>
    </row>
    <row r="402" spans="11:12" customFormat="1" x14ac:dyDescent="0.25">
      <c r="K402" s="5"/>
      <c r="L402" s="5"/>
    </row>
    <row r="403" spans="11:12" customFormat="1" x14ac:dyDescent="0.25">
      <c r="K403" s="5"/>
      <c r="L403" s="5"/>
    </row>
    <row r="404" spans="11:12" customFormat="1" x14ac:dyDescent="0.25">
      <c r="K404" s="5"/>
      <c r="L404" s="5"/>
    </row>
    <row r="405" spans="11:12" customFormat="1" x14ac:dyDescent="0.25">
      <c r="K405" s="5"/>
      <c r="L405" s="5"/>
    </row>
    <row r="406" spans="11:12" customFormat="1" x14ac:dyDescent="0.25">
      <c r="K406" s="5"/>
      <c r="L406" s="5"/>
    </row>
    <row r="407" spans="11:12" customFormat="1" x14ac:dyDescent="0.25">
      <c r="K407" s="5"/>
      <c r="L407" s="5"/>
    </row>
    <row r="408" spans="11:12" customFormat="1" x14ac:dyDescent="0.25">
      <c r="K408" s="5"/>
      <c r="L408" s="5"/>
    </row>
    <row r="409" spans="11:12" customFormat="1" x14ac:dyDescent="0.25">
      <c r="K409" s="5"/>
      <c r="L409" s="5"/>
    </row>
    <row r="410" spans="11:12" customFormat="1" x14ac:dyDescent="0.25">
      <c r="K410" s="5"/>
      <c r="L410" s="5"/>
    </row>
    <row r="411" spans="11:12" customFormat="1" x14ac:dyDescent="0.25">
      <c r="K411" s="5"/>
      <c r="L411" s="5"/>
    </row>
    <row r="412" spans="11:12" customFormat="1" x14ac:dyDescent="0.25">
      <c r="K412" s="5"/>
      <c r="L412" s="5"/>
    </row>
    <row r="413" spans="11:12" customFormat="1" x14ac:dyDescent="0.25">
      <c r="K413" s="5"/>
      <c r="L413" s="5"/>
    </row>
    <row r="414" spans="11:12" customFormat="1" x14ac:dyDescent="0.25">
      <c r="K414" s="5"/>
      <c r="L414" s="5"/>
    </row>
    <row r="415" spans="11:12" customFormat="1" x14ac:dyDescent="0.25">
      <c r="K415" s="5"/>
      <c r="L415" s="5"/>
    </row>
    <row r="416" spans="11:12" customFormat="1" x14ac:dyDescent="0.25">
      <c r="K416" s="5"/>
      <c r="L416" s="5"/>
    </row>
    <row r="417" spans="11:12" customFormat="1" x14ac:dyDescent="0.25">
      <c r="K417" s="5"/>
      <c r="L417" s="5"/>
    </row>
    <row r="418" spans="11:12" customFormat="1" x14ac:dyDescent="0.25">
      <c r="K418" s="5"/>
      <c r="L418" s="5"/>
    </row>
    <row r="419" spans="11:12" customFormat="1" x14ac:dyDescent="0.25">
      <c r="K419" s="5"/>
      <c r="L419" s="5"/>
    </row>
    <row r="420" spans="11:12" customFormat="1" x14ac:dyDescent="0.25">
      <c r="K420" s="5"/>
      <c r="L420" s="5"/>
    </row>
    <row r="421" spans="11:12" customFormat="1" x14ac:dyDescent="0.25">
      <c r="K421" s="5"/>
      <c r="L421" s="5"/>
    </row>
    <row r="422" spans="11:12" customFormat="1" x14ac:dyDescent="0.25">
      <c r="K422" s="5"/>
      <c r="L422" s="5"/>
    </row>
    <row r="423" spans="11:12" customFormat="1" x14ac:dyDescent="0.25">
      <c r="K423" s="5"/>
      <c r="L423" s="5"/>
    </row>
    <row r="424" spans="11:12" customFormat="1" x14ac:dyDescent="0.25">
      <c r="K424" s="5"/>
      <c r="L424" s="5"/>
    </row>
    <row r="425" spans="11:12" customFormat="1" x14ac:dyDescent="0.25">
      <c r="K425" s="5"/>
      <c r="L425" s="5"/>
    </row>
    <row r="426" spans="11:12" customFormat="1" x14ac:dyDescent="0.25">
      <c r="K426" s="5"/>
      <c r="L426" s="5"/>
    </row>
    <row r="427" spans="11:12" customFormat="1" x14ac:dyDescent="0.25">
      <c r="K427" s="5"/>
      <c r="L427" s="5"/>
    </row>
    <row r="428" spans="11:12" customFormat="1" x14ac:dyDescent="0.25">
      <c r="K428" s="5"/>
      <c r="L428" s="5"/>
    </row>
    <row r="429" spans="11:12" customFormat="1" x14ac:dyDescent="0.25">
      <c r="K429" s="5"/>
      <c r="L429" s="5"/>
    </row>
    <row r="430" spans="11:12" customFormat="1" x14ac:dyDescent="0.25">
      <c r="K430" s="5"/>
      <c r="L430" s="5"/>
    </row>
    <row r="431" spans="11:12" customFormat="1" x14ac:dyDescent="0.25">
      <c r="K431" s="5"/>
      <c r="L431" s="5"/>
    </row>
    <row r="432" spans="11:12" customFormat="1" x14ac:dyDescent="0.25">
      <c r="K432" s="5"/>
      <c r="L432" s="5"/>
    </row>
    <row r="433" spans="11:12" customFormat="1" x14ac:dyDescent="0.25">
      <c r="K433" s="5"/>
      <c r="L433" s="5"/>
    </row>
    <row r="434" spans="11:12" customFormat="1" x14ac:dyDescent="0.25">
      <c r="K434" s="5"/>
      <c r="L434" s="5"/>
    </row>
    <row r="435" spans="11:12" customFormat="1" x14ac:dyDescent="0.25">
      <c r="K435" s="5"/>
      <c r="L435" s="5"/>
    </row>
    <row r="436" spans="11:12" customFormat="1" x14ac:dyDescent="0.25">
      <c r="K436" s="5"/>
      <c r="L436" s="5"/>
    </row>
    <row r="437" spans="11:12" customFormat="1" x14ac:dyDescent="0.25">
      <c r="K437" s="5"/>
      <c r="L437" s="5"/>
    </row>
    <row r="438" spans="11:12" customFormat="1" x14ac:dyDescent="0.25">
      <c r="K438" s="5"/>
      <c r="L438" s="5"/>
    </row>
    <row r="439" spans="11:12" customFormat="1" x14ac:dyDescent="0.25">
      <c r="K439" s="5"/>
      <c r="L439" s="5"/>
    </row>
    <row r="440" spans="11:12" customFormat="1" x14ac:dyDescent="0.25">
      <c r="K440" s="5"/>
      <c r="L440" s="5"/>
    </row>
    <row r="441" spans="11:12" customFormat="1" x14ac:dyDescent="0.25">
      <c r="K441" s="5"/>
      <c r="L441" s="5"/>
    </row>
    <row r="442" spans="11:12" customFormat="1" x14ac:dyDescent="0.25">
      <c r="K442" s="5"/>
      <c r="L442" s="5"/>
    </row>
    <row r="443" spans="11:12" customFormat="1" x14ac:dyDescent="0.25">
      <c r="K443" s="5"/>
      <c r="L443" s="5"/>
    </row>
    <row r="444" spans="11:12" customFormat="1" x14ac:dyDescent="0.25">
      <c r="K444" s="5"/>
      <c r="L444" s="5"/>
    </row>
    <row r="445" spans="11:12" customFormat="1" x14ac:dyDescent="0.25">
      <c r="K445" s="5"/>
      <c r="L445" s="5"/>
    </row>
    <row r="446" spans="11:12" customFormat="1" x14ac:dyDescent="0.25">
      <c r="K446" s="5"/>
      <c r="L446" s="5"/>
    </row>
    <row r="447" spans="11:12" customFormat="1" x14ac:dyDescent="0.25">
      <c r="K447" s="5"/>
      <c r="L447" s="5"/>
    </row>
    <row r="448" spans="11:12" customFormat="1" x14ac:dyDescent="0.25">
      <c r="K448" s="5"/>
      <c r="L448" s="5"/>
    </row>
    <row r="449" spans="11:12" customFormat="1" x14ac:dyDescent="0.25">
      <c r="K449" s="5"/>
      <c r="L449" s="5"/>
    </row>
    <row r="450" spans="11:12" customFormat="1" x14ac:dyDescent="0.25">
      <c r="K450" s="5"/>
      <c r="L450" s="5"/>
    </row>
    <row r="451" spans="11:12" customFormat="1" x14ac:dyDescent="0.25">
      <c r="K451" s="5"/>
      <c r="L451" s="5"/>
    </row>
    <row r="452" spans="11:12" customFormat="1" x14ac:dyDescent="0.25">
      <c r="K452" s="5"/>
      <c r="L452" s="5"/>
    </row>
    <row r="453" spans="11:12" customFormat="1" x14ac:dyDescent="0.25">
      <c r="K453" s="5"/>
      <c r="L453" s="5"/>
    </row>
    <row r="454" spans="11:12" customFormat="1" x14ac:dyDescent="0.25">
      <c r="K454" s="5"/>
      <c r="L454" s="5"/>
    </row>
    <row r="455" spans="11:12" customFormat="1" x14ac:dyDescent="0.25">
      <c r="K455" s="5"/>
      <c r="L455" s="5"/>
    </row>
    <row r="456" spans="11:12" customFormat="1" x14ac:dyDescent="0.25">
      <c r="K456" s="5"/>
      <c r="L456" s="5"/>
    </row>
    <row r="457" spans="11:12" customFormat="1" x14ac:dyDescent="0.25">
      <c r="K457" s="5"/>
      <c r="L457" s="5"/>
    </row>
    <row r="458" spans="11:12" customFormat="1" x14ac:dyDescent="0.25">
      <c r="K458" s="5"/>
      <c r="L458" s="5"/>
    </row>
    <row r="459" spans="11:12" customFormat="1" x14ac:dyDescent="0.25">
      <c r="K459" s="5"/>
      <c r="L459" s="5"/>
    </row>
    <row r="460" spans="11:12" customFormat="1" x14ac:dyDescent="0.25">
      <c r="K460" s="5"/>
      <c r="L460" s="5"/>
    </row>
    <row r="461" spans="11:12" customFormat="1" x14ac:dyDescent="0.25">
      <c r="K461" s="5"/>
      <c r="L461" s="5"/>
    </row>
    <row r="462" spans="11:12" customFormat="1" x14ac:dyDescent="0.25">
      <c r="K462" s="5"/>
      <c r="L462" s="5"/>
    </row>
    <row r="463" spans="11:12" customFormat="1" x14ac:dyDescent="0.25">
      <c r="K463" s="5"/>
      <c r="L463" s="5"/>
    </row>
    <row r="464" spans="11:12" customFormat="1" x14ac:dyDescent="0.25">
      <c r="K464" s="5"/>
      <c r="L464" s="5"/>
    </row>
    <row r="465" spans="11:12" customFormat="1" x14ac:dyDescent="0.25">
      <c r="K465" s="5"/>
      <c r="L465" s="5"/>
    </row>
    <row r="466" spans="11:12" customFormat="1" x14ac:dyDescent="0.25">
      <c r="K466" s="5"/>
      <c r="L466" s="5"/>
    </row>
    <row r="467" spans="11:12" customFormat="1" x14ac:dyDescent="0.25">
      <c r="K467" s="5"/>
      <c r="L467" s="5"/>
    </row>
    <row r="468" spans="11:12" customFormat="1" x14ac:dyDescent="0.25">
      <c r="K468" s="5"/>
      <c r="L468" s="5"/>
    </row>
    <row r="469" spans="11:12" customFormat="1" x14ac:dyDescent="0.25">
      <c r="K469" s="5"/>
      <c r="L469" s="5"/>
    </row>
    <row r="470" spans="11:12" customFormat="1" x14ac:dyDescent="0.25">
      <c r="K470" s="5"/>
      <c r="L470" s="5"/>
    </row>
    <row r="471" spans="11:12" customFormat="1" x14ac:dyDescent="0.25">
      <c r="K471" s="5"/>
      <c r="L471" s="5"/>
    </row>
    <row r="472" spans="11:12" customFormat="1" x14ac:dyDescent="0.25">
      <c r="K472" s="5"/>
      <c r="L472" s="5"/>
    </row>
    <row r="473" spans="11:12" customFormat="1" x14ac:dyDescent="0.25">
      <c r="K473" s="5"/>
      <c r="L473" s="5"/>
    </row>
    <row r="474" spans="11:12" customFormat="1" x14ac:dyDescent="0.25">
      <c r="K474" s="5"/>
      <c r="L474" s="5"/>
    </row>
    <row r="475" spans="11:12" customFormat="1" x14ac:dyDescent="0.25">
      <c r="K475" s="5"/>
      <c r="L475" s="5"/>
    </row>
    <row r="476" spans="11:12" customFormat="1" x14ac:dyDescent="0.25">
      <c r="K476" s="5"/>
      <c r="L476" s="5"/>
    </row>
    <row r="477" spans="11:12" customFormat="1" x14ac:dyDescent="0.25">
      <c r="K477" s="5"/>
      <c r="L477" s="5"/>
    </row>
    <row r="478" spans="11:12" customFormat="1" x14ac:dyDescent="0.25">
      <c r="K478" s="5"/>
      <c r="L478" s="5"/>
    </row>
    <row r="479" spans="11:12" customFormat="1" x14ac:dyDescent="0.25">
      <c r="K479" s="5"/>
      <c r="L479" s="5"/>
    </row>
    <row r="480" spans="11:12" customFormat="1" x14ac:dyDescent="0.25">
      <c r="K480" s="5"/>
      <c r="L480" s="5"/>
    </row>
    <row r="481" spans="11:12" customFormat="1" x14ac:dyDescent="0.25">
      <c r="K481" s="5"/>
      <c r="L481" s="5"/>
    </row>
    <row r="482" spans="11:12" customFormat="1" x14ac:dyDescent="0.25">
      <c r="K482" s="5"/>
      <c r="L482" s="5"/>
    </row>
    <row r="483" spans="11:12" customFormat="1" x14ac:dyDescent="0.25">
      <c r="K483" s="5"/>
      <c r="L483" s="5"/>
    </row>
    <row r="484" spans="11:12" customFormat="1" x14ac:dyDescent="0.25">
      <c r="K484" s="5"/>
      <c r="L484" s="5"/>
    </row>
    <row r="485" spans="11:12" customFormat="1" x14ac:dyDescent="0.25">
      <c r="K485" s="5"/>
      <c r="L485" s="5"/>
    </row>
    <row r="486" spans="11:12" customFormat="1" x14ac:dyDescent="0.25">
      <c r="K486" s="5"/>
      <c r="L486" s="5"/>
    </row>
    <row r="487" spans="11:12" customFormat="1" x14ac:dyDescent="0.25">
      <c r="K487" s="5"/>
      <c r="L487" s="5"/>
    </row>
    <row r="488" spans="11:12" customFormat="1" x14ac:dyDescent="0.25">
      <c r="K488" s="5"/>
      <c r="L488" s="5"/>
    </row>
    <row r="489" spans="11:12" customFormat="1" x14ac:dyDescent="0.25">
      <c r="K489" s="5"/>
      <c r="L489" s="5"/>
    </row>
    <row r="490" spans="11:12" customFormat="1" x14ac:dyDescent="0.25">
      <c r="K490" s="5"/>
      <c r="L490" s="5"/>
    </row>
    <row r="491" spans="11:12" customFormat="1" x14ac:dyDescent="0.25">
      <c r="K491" s="5"/>
      <c r="L491" s="5"/>
    </row>
    <row r="492" spans="11:12" customFormat="1" x14ac:dyDescent="0.25">
      <c r="K492" s="5"/>
      <c r="L492" s="5"/>
    </row>
    <row r="493" spans="11:12" customFormat="1" x14ac:dyDescent="0.25">
      <c r="K493" s="5"/>
      <c r="L493" s="5"/>
    </row>
    <row r="494" spans="11:12" customFormat="1" x14ac:dyDescent="0.25">
      <c r="K494" s="5"/>
      <c r="L494" s="5"/>
    </row>
    <row r="495" spans="11:12" customFormat="1" x14ac:dyDescent="0.25">
      <c r="K495" s="5"/>
      <c r="L495" s="5"/>
    </row>
    <row r="496" spans="11:12" customFormat="1" x14ac:dyDescent="0.25">
      <c r="K496" s="5"/>
      <c r="L496" s="5"/>
    </row>
    <row r="497" spans="11:12" customFormat="1" x14ac:dyDescent="0.25">
      <c r="K497" s="5"/>
      <c r="L497" s="5"/>
    </row>
    <row r="498" spans="11:12" customFormat="1" x14ac:dyDescent="0.25">
      <c r="K498" s="5"/>
      <c r="L498" s="5"/>
    </row>
    <row r="499" spans="11:12" customFormat="1" x14ac:dyDescent="0.25">
      <c r="K499" s="5"/>
      <c r="L499" s="5"/>
    </row>
    <row r="500" spans="11:12" customFormat="1" x14ac:dyDescent="0.25">
      <c r="K500" s="5"/>
      <c r="L500" s="5"/>
    </row>
    <row r="501" spans="11:12" customFormat="1" x14ac:dyDescent="0.25">
      <c r="K501" s="5"/>
      <c r="L501" s="5"/>
    </row>
    <row r="502" spans="11:12" customFormat="1" x14ac:dyDescent="0.25">
      <c r="K502" s="5"/>
      <c r="L502" s="5"/>
    </row>
    <row r="503" spans="11:12" customFormat="1" x14ac:dyDescent="0.25">
      <c r="K503" s="5"/>
      <c r="L503" s="5"/>
    </row>
    <row r="504" spans="11:12" customFormat="1" x14ac:dyDescent="0.25">
      <c r="K504" s="5"/>
      <c r="L504" s="5"/>
    </row>
    <row r="505" spans="11:12" customFormat="1" x14ac:dyDescent="0.25">
      <c r="K505" s="5"/>
      <c r="L505" s="5"/>
    </row>
    <row r="506" spans="11:12" customFormat="1" x14ac:dyDescent="0.25">
      <c r="K506" s="5"/>
      <c r="L506" s="5"/>
    </row>
    <row r="507" spans="11:12" customFormat="1" x14ac:dyDescent="0.25">
      <c r="K507" s="5"/>
      <c r="L507" s="5"/>
    </row>
    <row r="508" spans="11:12" customFormat="1" x14ac:dyDescent="0.25">
      <c r="K508" s="5"/>
      <c r="L508" s="5"/>
    </row>
    <row r="509" spans="11:12" customFormat="1" x14ac:dyDescent="0.25">
      <c r="K509" s="5"/>
      <c r="L509" s="5"/>
    </row>
    <row r="510" spans="11:12" customFormat="1" x14ac:dyDescent="0.25">
      <c r="K510" s="5"/>
      <c r="L510" s="5"/>
    </row>
    <row r="511" spans="11:12" customFormat="1" x14ac:dyDescent="0.25">
      <c r="K511" s="5"/>
      <c r="L511" s="5"/>
    </row>
    <row r="512" spans="11:12" customFormat="1" x14ac:dyDescent="0.25">
      <c r="K512" s="5"/>
      <c r="L512" s="5"/>
    </row>
    <row r="513" spans="11:12" customFormat="1" x14ac:dyDescent="0.25">
      <c r="K513" s="5"/>
      <c r="L513" s="5"/>
    </row>
    <row r="514" spans="11:12" customFormat="1" x14ac:dyDescent="0.25">
      <c r="K514" s="5"/>
      <c r="L514" s="5"/>
    </row>
    <row r="515" spans="11:12" customFormat="1" x14ac:dyDescent="0.25">
      <c r="K515" s="5"/>
      <c r="L515" s="5"/>
    </row>
    <row r="516" spans="11:12" customFormat="1" x14ac:dyDescent="0.25">
      <c r="K516" s="5"/>
      <c r="L516" s="5"/>
    </row>
    <row r="517" spans="11:12" customFormat="1" x14ac:dyDescent="0.25">
      <c r="K517" s="5"/>
      <c r="L517" s="5"/>
    </row>
    <row r="518" spans="11:12" customFormat="1" x14ac:dyDescent="0.25">
      <c r="K518" s="5"/>
      <c r="L518" s="5"/>
    </row>
    <row r="519" spans="11:12" customFormat="1" x14ac:dyDescent="0.25">
      <c r="K519" s="5"/>
      <c r="L519" s="5"/>
    </row>
    <row r="520" spans="11:12" customFormat="1" x14ac:dyDescent="0.25">
      <c r="K520" s="5"/>
      <c r="L520" s="5"/>
    </row>
    <row r="521" spans="11:12" customFormat="1" x14ac:dyDescent="0.25">
      <c r="K521" s="5"/>
      <c r="L521" s="5"/>
    </row>
    <row r="522" spans="11:12" customFormat="1" x14ac:dyDescent="0.25">
      <c r="K522" s="5"/>
      <c r="L522" s="5"/>
    </row>
    <row r="523" spans="11:12" customFormat="1" x14ac:dyDescent="0.25">
      <c r="K523" s="5"/>
      <c r="L523" s="5"/>
    </row>
    <row r="524" spans="11:12" customFormat="1" x14ac:dyDescent="0.25">
      <c r="K524" s="5"/>
      <c r="L524" s="5"/>
    </row>
    <row r="525" spans="11:12" customFormat="1" x14ac:dyDescent="0.25">
      <c r="K525" s="5"/>
      <c r="L525" s="5"/>
    </row>
    <row r="526" spans="11:12" customFormat="1" x14ac:dyDescent="0.25">
      <c r="K526" s="5"/>
      <c r="L526" s="5"/>
    </row>
    <row r="527" spans="11:12" customFormat="1" x14ac:dyDescent="0.25">
      <c r="K527" s="5"/>
      <c r="L527" s="5"/>
    </row>
    <row r="528" spans="11:12" customFormat="1" x14ac:dyDescent="0.25">
      <c r="K528" s="5"/>
      <c r="L528" s="5"/>
    </row>
    <row r="529" spans="11:12" customFormat="1" x14ac:dyDescent="0.25">
      <c r="K529" s="5"/>
      <c r="L529" s="5"/>
    </row>
    <row r="530" spans="11:12" customFormat="1" x14ac:dyDescent="0.25">
      <c r="K530" s="5"/>
      <c r="L530" s="5"/>
    </row>
    <row r="531" spans="11:12" customFormat="1" x14ac:dyDescent="0.25">
      <c r="K531" s="5"/>
      <c r="L531" s="5"/>
    </row>
    <row r="532" spans="11:12" customFormat="1" x14ac:dyDescent="0.25">
      <c r="K532" s="5"/>
      <c r="L532" s="5"/>
    </row>
    <row r="533" spans="11:12" customFormat="1" x14ac:dyDescent="0.25">
      <c r="K533" s="5"/>
      <c r="L533" s="5"/>
    </row>
    <row r="534" spans="11:12" customFormat="1" x14ac:dyDescent="0.25">
      <c r="K534" s="5"/>
      <c r="L534" s="5"/>
    </row>
    <row r="535" spans="11:12" customFormat="1" x14ac:dyDescent="0.25">
      <c r="K535" s="5"/>
      <c r="L535" s="5"/>
    </row>
    <row r="536" spans="11:12" customFormat="1" x14ac:dyDescent="0.25">
      <c r="K536" s="5"/>
      <c r="L536" s="5"/>
    </row>
    <row r="537" spans="11:12" customFormat="1" x14ac:dyDescent="0.25">
      <c r="K537" s="5"/>
      <c r="L537" s="5"/>
    </row>
    <row r="538" spans="11:12" customFormat="1" x14ac:dyDescent="0.25">
      <c r="K538" s="5"/>
      <c r="L538" s="5"/>
    </row>
    <row r="539" spans="11:12" customFormat="1" x14ac:dyDescent="0.25">
      <c r="K539" s="5"/>
      <c r="L539" s="5"/>
    </row>
    <row r="540" spans="11:12" customFormat="1" x14ac:dyDescent="0.25">
      <c r="K540" s="5"/>
      <c r="L540" s="5"/>
    </row>
    <row r="541" spans="11:12" customFormat="1" x14ac:dyDescent="0.25">
      <c r="K541" s="5"/>
      <c r="L541" s="5"/>
    </row>
    <row r="542" spans="11:12" customFormat="1" x14ac:dyDescent="0.25">
      <c r="K542" s="5"/>
      <c r="L542" s="5"/>
    </row>
    <row r="543" spans="11:12" customFormat="1" x14ac:dyDescent="0.25">
      <c r="K543" s="5"/>
      <c r="L543" s="5"/>
    </row>
    <row r="544" spans="11:12" customFormat="1" x14ac:dyDescent="0.25">
      <c r="K544" s="5"/>
      <c r="L544" s="5"/>
    </row>
    <row r="545" spans="11:12" customFormat="1" x14ac:dyDescent="0.25">
      <c r="K545" s="5"/>
      <c r="L545" s="5"/>
    </row>
    <row r="546" spans="11:12" customFormat="1" x14ac:dyDescent="0.25">
      <c r="K546" s="5"/>
      <c r="L546" s="5"/>
    </row>
    <row r="547" spans="11:12" customFormat="1" x14ac:dyDescent="0.25">
      <c r="K547" s="5"/>
      <c r="L547" s="5"/>
    </row>
    <row r="548" spans="11:12" customFormat="1" x14ac:dyDescent="0.25">
      <c r="K548" s="5"/>
      <c r="L548" s="5"/>
    </row>
    <row r="549" spans="11:12" customFormat="1" x14ac:dyDescent="0.25">
      <c r="K549" s="5"/>
      <c r="L549" s="5"/>
    </row>
    <row r="550" spans="11:12" customFormat="1" x14ac:dyDescent="0.25">
      <c r="K550" s="5"/>
      <c r="L550" s="5"/>
    </row>
    <row r="551" spans="11:12" customFormat="1" x14ac:dyDescent="0.25">
      <c r="K551" s="5"/>
      <c r="L551" s="5"/>
    </row>
    <row r="552" spans="11:12" customFormat="1" x14ac:dyDescent="0.25">
      <c r="K552" s="5"/>
      <c r="L552" s="5"/>
    </row>
    <row r="553" spans="11:12" customFormat="1" x14ac:dyDescent="0.25">
      <c r="K553" s="5"/>
      <c r="L553" s="5"/>
    </row>
    <row r="554" spans="11:12" customFormat="1" x14ac:dyDescent="0.25">
      <c r="K554" s="5"/>
      <c r="L554" s="5"/>
    </row>
    <row r="555" spans="11:12" customFormat="1" x14ac:dyDescent="0.25">
      <c r="K555" s="5"/>
      <c r="L555" s="5"/>
    </row>
    <row r="556" spans="11:12" customFormat="1" x14ac:dyDescent="0.25">
      <c r="K556" s="5"/>
      <c r="L556" s="5"/>
    </row>
    <row r="557" spans="11:12" customFormat="1" x14ac:dyDescent="0.25">
      <c r="K557" s="5"/>
      <c r="L557" s="5"/>
    </row>
    <row r="558" spans="11:12" customFormat="1" x14ac:dyDescent="0.25">
      <c r="K558" s="5"/>
      <c r="L558" s="5"/>
    </row>
    <row r="559" spans="11:12" customFormat="1" x14ac:dyDescent="0.25">
      <c r="K559" s="5"/>
      <c r="L559" s="5"/>
    </row>
    <row r="560" spans="11:12" customFormat="1" x14ac:dyDescent="0.25">
      <c r="K560" s="5"/>
      <c r="L560" s="5"/>
    </row>
    <row r="561" spans="11:12" customFormat="1" x14ac:dyDescent="0.25">
      <c r="K561" s="5"/>
      <c r="L561" s="5"/>
    </row>
    <row r="562" spans="11:12" customFormat="1" x14ac:dyDescent="0.25">
      <c r="K562" s="5"/>
      <c r="L562" s="5"/>
    </row>
    <row r="563" spans="11:12" customFormat="1" x14ac:dyDescent="0.25">
      <c r="K563" s="5"/>
      <c r="L563" s="5"/>
    </row>
    <row r="564" spans="11:12" customFormat="1" x14ac:dyDescent="0.25">
      <c r="K564" s="5"/>
      <c r="L564" s="5"/>
    </row>
    <row r="565" spans="11:12" customFormat="1" x14ac:dyDescent="0.25">
      <c r="K565" s="5"/>
      <c r="L565" s="5"/>
    </row>
    <row r="566" spans="11:12" customFormat="1" x14ac:dyDescent="0.25">
      <c r="K566" s="5"/>
      <c r="L566" s="5"/>
    </row>
    <row r="567" spans="11:12" customFormat="1" x14ac:dyDescent="0.25">
      <c r="K567" s="5"/>
      <c r="L567" s="5"/>
    </row>
    <row r="568" spans="11:12" customFormat="1" x14ac:dyDescent="0.25">
      <c r="K568" s="5"/>
      <c r="L568" s="5"/>
    </row>
    <row r="569" spans="11:12" customFormat="1" x14ac:dyDescent="0.25">
      <c r="K569" s="5"/>
      <c r="L569" s="5"/>
    </row>
    <row r="570" spans="11:12" customFormat="1" x14ac:dyDescent="0.25">
      <c r="K570" s="5"/>
      <c r="L570" s="5"/>
    </row>
    <row r="571" spans="11:12" customFormat="1" x14ac:dyDescent="0.25">
      <c r="K571" s="5"/>
      <c r="L571" s="5"/>
    </row>
    <row r="572" spans="11:12" customFormat="1" x14ac:dyDescent="0.25">
      <c r="K572" s="5"/>
      <c r="L572" s="5"/>
    </row>
    <row r="573" spans="11:12" customFormat="1" x14ac:dyDescent="0.25">
      <c r="K573" s="5"/>
      <c r="L573" s="5"/>
    </row>
    <row r="574" spans="11:12" customFormat="1" x14ac:dyDescent="0.25">
      <c r="K574" s="5"/>
      <c r="L574" s="5"/>
    </row>
    <row r="575" spans="11:12" customFormat="1" x14ac:dyDescent="0.25">
      <c r="K575" s="5"/>
      <c r="L575" s="5"/>
    </row>
    <row r="576" spans="11:12" customFormat="1" x14ac:dyDescent="0.25">
      <c r="K576" s="5"/>
      <c r="L576" s="5"/>
    </row>
    <row r="577" spans="11:12" customFormat="1" x14ac:dyDescent="0.25">
      <c r="K577" s="5"/>
      <c r="L577" s="5"/>
    </row>
    <row r="578" spans="11:12" customFormat="1" x14ac:dyDescent="0.25">
      <c r="K578" s="5"/>
      <c r="L578" s="5"/>
    </row>
    <row r="579" spans="11:12" customFormat="1" x14ac:dyDescent="0.25">
      <c r="K579" s="5"/>
      <c r="L579" s="5"/>
    </row>
    <row r="580" spans="11:12" customFormat="1" x14ac:dyDescent="0.25">
      <c r="K580" s="5"/>
      <c r="L580" s="5"/>
    </row>
    <row r="581" spans="11:12" customFormat="1" x14ac:dyDescent="0.25">
      <c r="K581" s="5"/>
      <c r="L581" s="5"/>
    </row>
    <row r="582" spans="11:12" customFormat="1" x14ac:dyDescent="0.25">
      <c r="K582" s="5"/>
      <c r="L582" s="5"/>
    </row>
    <row r="583" spans="11:12" customFormat="1" x14ac:dyDescent="0.25">
      <c r="K583" s="5"/>
      <c r="L583" s="5"/>
    </row>
    <row r="584" spans="11:12" customFormat="1" x14ac:dyDescent="0.25">
      <c r="K584" s="5"/>
      <c r="L584" s="5"/>
    </row>
    <row r="585" spans="11:12" customFormat="1" x14ac:dyDescent="0.25">
      <c r="K585" s="5"/>
      <c r="L585" s="5"/>
    </row>
    <row r="586" spans="11:12" customFormat="1" x14ac:dyDescent="0.25">
      <c r="K586" s="5"/>
      <c r="L586" s="5"/>
    </row>
    <row r="587" spans="11:12" customFormat="1" x14ac:dyDescent="0.25">
      <c r="K587" s="5"/>
      <c r="L587" s="5"/>
    </row>
    <row r="588" spans="11:12" customFormat="1" x14ac:dyDescent="0.25">
      <c r="K588" s="5"/>
      <c r="L588" s="5"/>
    </row>
    <row r="589" spans="11:12" customFormat="1" x14ac:dyDescent="0.25">
      <c r="K589" s="5"/>
      <c r="L589" s="5"/>
    </row>
    <row r="590" spans="11:12" customFormat="1" x14ac:dyDescent="0.25">
      <c r="K590" s="5"/>
      <c r="L590" s="5"/>
    </row>
    <row r="591" spans="11:12" customFormat="1" x14ac:dyDescent="0.25">
      <c r="K591" s="5"/>
      <c r="L591" s="5"/>
    </row>
    <row r="592" spans="11:12" customFormat="1" x14ac:dyDescent="0.25">
      <c r="K592" s="5"/>
      <c r="L592" s="5"/>
    </row>
    <row r="593" spans="11:12" customFormat="1" x14ac:dyDescent="0.25">
      <c r="K593" s="5"/>
      <c r="L593" s="5"/>
    </row>
    <row r="594" spans="11:12" customFormat="1" x14ac:dyDescent="0.25">
      <c r="K594" s="5"/>
      <c r="L594" s="5"/>
    </row>
    <row r="595" spans="11:12" customFormat="1" x14ac:dyDescent="0.25">
      <c r="K595" s="5"/>
      <c r="L595" s="5"/>
    </row>
    <row r="596" spans="11:12" customFormat="1" x14ac:dyDescent="0.25">
      <c r="K596" s="5"/>
      <c r="L596" s="5"/>
    </row>
    <row r="597" spans="11:12" customFormat="1" x14ac:dyDescent="0.25">
      <c r="K597" s="5"/>
      <c r="L597" s="5"/>
    </row>
    <row r="598" spans="11:12" customFormat="1" x14ac:dyDescent="0.25">
      <c r="K598" s="5"/>
      <c r="L598" s="5"/>
    </row>
    <row r="599" spans="11:12" customFormat="1" x14ac:dyDescent="0.25">
      <c r="K599" s="5"/>
      <c r="L599" s="5"/>
    </row>
    <row r="600" spans="11:12" customFormat="1" x14ac:dyDescent="0.25">
      <c r="K600" s="5"/>
      <c r="L600" s="5"/>
    </row>
    <row r="601" spans="11:12" customFormat="1" x14ac:dyDescent="0.25">
      <c r="K601" s="5"/>
      <c r="L601" s="5"/>
    </row>
    <row r="602" spans="11:12" customFormat="1" x14ac:dyDescent="0.25">
      <c r="K602" s="5"/>
      <c r="L602" s="5"/>
    </row>
    <row r="603" spans="11:12" customFormat="1" x14ac:dyDescent="0.25">
      <c r="K603" s="5"/>
      <c r="L603" s="5"/>
    </row>
    <row r="604" spans="11:12" customFormat="1" x14ac:dyDescent="0.25">
      <c r="K604" s="5"/>
      <c r="L604" s="5"/>
    </row>
    <row r="605" spans="11:12" customFormat="1" x14ac:dyDescent="0.25">
      <c r="K605" s="5"/>
      <c r="L605" s="5"/>
    </row>
    <row r="606" spans="11:12" customFormat="1" x14ac:dyDescent="0.25">
      <c r="K606" s="5"/>
      <c r="L606" s="5"/>
    </row>
    <row r="607" spans="11:12" customFormat="1" x14ac:dyDescent="0.25">
      <c r="K607" s="5"/>
      <c r="L607" s="5"/>
    </row>
    <row r="608" spans="11:12" customFormat="1" x14ac:dyDescent="0.25">
      <c r="K608" s="5"/>
      <c r="L608" s="5"/>
    </row>
    <row r="609" spans="11:12" customFormat="1" x14ac:dyDescent="0.25">
      <c r="K609" s="5"/>
      <c r="L609" s="5"/>
    </row>
    <row r="610" spans="11:12" customFormat="1" x14ac:dyDescent="0.25">
      <c r="K610" s="5"/>
      <c r="L610" s="5"/>
    </row>
    <row r="611" spans="11:12" customFormat="1" x14ac:dyDescent="0.25">
      <c r="K611" s="5"/>
      <c r="L611" s="5"/>
    </row>
    <row r="612" spans="11:12" customFormat="1" x14ac:dyDescent="0.25">
      <c r="K612" s="5"/>
      <c r="L612" s="5"/>
    </row>
    <row r="613" spans="11:12" customFormat="1" x14ac:dyDescent="0.25">
      <c r="K613" s="5"/>
      <c r="L613" s="5"/>
    </row>
    <row r="614" spans="11:12" customFormat="1" x14ac:dyDescent="0.25">
      <c r="K614" s="5"/>
      <c r="L614" s="5"/>
    </row>
    <row r="615" spans="11:12" customFormat="1" x14ac:dyDescent="0.25">
      <c r="K615" s="5"/>
      <c r="L615" s="5"/>
    </row>
    <row r="616" spans="11:12" customFormat="1" x14ac:dyDescent="0.25">
      <c r="K616" s="5"/>
      <c r="L616" s="5"/>
    </row>
    <row r="617" spans="11:12" customFormat="1" x14ac:dyDescent="0.25">
      <c r="K617" s="5"/>
      <c r="L617" s="5"/>
    </row>
    <row r="618" spans="11:12" customFormat="1" x14ac:dyDescent="0.25">
      <c r="K618" s="5"/>
      <c r="L618" s="5"/>
    </row>
    <row r="619" spans="11:12" customFormat="1" x14ac:dyDescent="0.25">
      <c r="K619" s="5"/>
      <c r="L619" s="5"/>
    </row>
    <row r="620" spans="11:12" customFormat="1" x14ac:dyDescent="0.25">
      <c r="K620" s="5"/>
      <c r="L620" s="5"/>
    </row>
    <row r="621" spans="11:12" customFormat="1" x14ac:dyDescent="0.25">
      <c r="K621" s="5"/>
      <c r="L621" s="5"/>
    </row>
    <row r="622" spans="11:12" customFormat="1" x14ac:dyDescent="0.25">
      <c r="K622" s="5"/>
      <c r="L622" s="5"/>
    </row>
    <row r="623" spans="11:12" customFormat="1" x14ac:dyDescent="0.25">
      <c r="K623" s="5"/>
      <c r="L623" s="5"/>
    </row>
    <row r="624" spans="11:12" customFormat="1" x14ac:dyDescent="0.25">
      <c r="K624" s="5"/>
      <c r="L624" s="5"/>
    </row>
    <row r="625" spans="11:12" customFormat="1" x14ac:dyDescent="0.25">
      <c r="K625" s="5"/>
      <c r="L625" s="5"/>
    </row>
    <row r="626" spans="11:12" customFormat="1" x14ac:dyDescent="0.25">
      <c r="K626" s="5"/>
      <c r="L626" s="5"/>
    </row>
    <row r="627" spans="11:12" customFormat="1" x14ac:dyDescent="0.25">
      <c r="K627" s="5"/>
      <c r="L627" s="5"/>
    </row>
    <row r="628" spans="11:12" customFormat="1" x14ac:dyDescent="0.25">
      <c r="K628" s="5"/>
      <c r="L628" s="5"/>
    </row>
    <row r="629" spans="11:12" customFormat="1" x14ac:dyDescent="0.25">
      <c r="K629" s="5"/>
      <c r="L629" s="5"/>
    </row>
    <row r="630" spans="11:12" customFormat="1" x14ac:dyDescent="0.25">
      <c r="K630" s="5"/>
      <c r="L630" s="5"/>
    </row>
    <row r="631" spans="11:12" customFormat="1" x14ac:dyDescent="0.25">
      <c r="K631" s="5"/>
      <c r="L631" s="5"/>
    </row>
    <row r="632" spans="11:12" customFormat="1" x14ac:dyDescent="0.25">
      <c r="K632" s="5"/>
      <c r="L632" s="5"/>
    </row>
    <row r="633" spans="11:12" customFormat="1" x14ac:dyDescent="0.25">
      <c r="K633" s="5"/>
      <c r="L633" s="5"/>
    </row>
    <row r="634" spans="11:12" customFormat="1" x14ac:dyDescent="0.25">
      <c r="K634" s="5"/>
      <c r="L634" s="5"/>
    </row>
    <row r="635" spans="11:12" customFormat="1" x14ac:dyDescent="0.25">
      <c r="K635" s="5"/>
      <c r="L635" s="5"/>
    </row>
    <row r="636" spans="11:12" customFormat="1" x14ac:dyDescent="0.25">
      <c r="K636" s="5"/>
      <c r="L636" s="5"/>
    </row>
    <row r="637" spans="11:12" customFormat="1" x14ac:dyDescent="0.25">
      <c r="K637" s="5"/>
      <c r="L637" s="5"/>
    </row>
    <row r="638" spans="11:12" customFormat="1" x14ac:dyDescent="0.25">
      <c r="K638" s="5"/>
      <c r="L638" s="5"/>
    </row>
    <row r="639" spans="11:12" customFormat="1" x14ac:dyDescent="0.25">
      <c r="K639" s="5"/>
      <c r="L639" s="5"/>
    </row>
    <row r="640" spans="11:12" customFormat="1" x14ac:dyDescent="0.25">
      <c r="K640" s="5"/>
      <c r="L640" s="5"/>
    </row>
    <row r="641" spans="11:12" customFormat="1" x14ac:dyDescent="0.25">
      <c r="K641" s="5"/>
      <c r="L641" s="5"/>
    </row>
    <row r="642" spans="11:12" customFormat="1" x14ac:dyDescent="0.25">
      <c r="K642" s="5"/>
      <c r="L642" s="5"/>
    </row>
    <row r="643" spans="11:12" customFormat="1" x14ac:dyDescent="0.25">
      <c r="K643" s="5"/>
      <c r="L643" s="5"/>
    </row>
    <row r="644" spans="11:12" customFormat="1" x14ac:dyDescent="0.25">
      <c r="K644" s="5"/>
      <c r="L644" s="5"/>
    </row>
    <row r="645" spans="11:12" customFormat="1" x14ac:dyDescent="0.25">
      <c r="K645" s="5"/>
      <c r="L645" s="5"/>
    </row>
    <row r="646" spans="11:12" customFormat="1" x14ac:dyDescent="0.25">
      <c r="K646" s="5"/>
      <c r="L646" s="5"/>
    </row>
    <row r="647" spans="11:12" customFormat="1" x14ac:dyDescent="0.25">
      <c r="K647" s="5"/>
      <c r="L647" s="5"/>
    </row>
    <row r="648" spans="11:12" customFormat="1" x14ac:dyDescent="0.25">
      <c r="K648" s="5"/>
      <c r="L648" s="5"/>
    </row>
    <row r="649" spans="11:12" customFormat="1" x14ac:dyDescent="0.25">
      <c r="K649" s="5"/>
      <c r="L649" s="5"/>
    </row>
    <row r="650" spans="11:12" customFormat="1" x14ac:dyDescent="0.25">
      <c r="K650" s="5"/>
      <c r="L650" s="5"/>
    </row>
    <row r="651" spans="11:12" customFormat="1" x14ac:dyDescent="0.25">
      <c r="K651" s="5"/>
      <c r="L651" s="5"/>
    </row>
    <row r="652" spans="11:12" customFormat="1" x14ac:dyDescent="0.25">
      <c r="K652" s="5"/>
      <c r="L652" s="5"/>
    </row>
    <row r="653" spans="11:12" customFormat="1" x14ac:dyDescent="0.25">
      <c r="K653" s="5"/>
      <c r="L653" s="5"/>
    </row>
    <row r="654" spans="11:12" customFormat="1" x14ac:dyDescent="0.25">
      <c r="K654" s="5"/>
      <c r="L654" s="5"/>
    </row>
    <row r="655" spans="11:12" customFormat="1" x14ac:dyDescent="0.25">
      <c r="K655" s="5"/>
      <c r="L655" s="5"/>
    </row>
    <row r="656" spans="11:12" customFormat="1" x14ac:dyDescent="0.25">
      <c r="K656" s="5"/>
      <c r="L656" s="5"/>
    </row>
    <row r="657" spans="11:12" customFormat="1" x14ac:dyDescent="0.25">
      <c r="K657" s="5"/>
      <c r="L657" s="5"/>
    </row>
    <row r="658" spans="11:12" customFormat="1" x14ac:dyDescent="0.25">
      <c r="K658" s="5"/>
      <c r="L658" s="5"/>
    </row>
    <row r="659" spans="11:12" customFormat="1" x14ac:dyDescent="0.25">
      <c r="K659" s="5"/>
      <c r="L659" s="5"/>
    </row>
    <row r="660" spans="11:12" customFormat="1" x14ac:dyDescent="0.25">
      <c r="K660" s="5"/>
      <c r="L660" s="5"/>
    </row>
    <row r="661" spans="11:12" customFormat="1" x14ac:dyDescent="0.25">
      <c r="K661" s="5"/>
      <c r="L661" s="5"/>
    </row>
    <row r="662" spans="11:12" customFormat="1" x14ac:dyDescent="0.25">
      <c r="K662" s="5"/>
      <c r="L662" s="5"/>
    </row>
    <row r="663" spans="11:12" customFormat="1" x14ac:dyDescent="0.25">
      <c r="K663" s="5"/>
      <c r="L663" s="5"/>
    </row>
    <row r="664" spans="11:12" customFormat="1" x14ac:dyDescent="0.25">
      <c r="K664" s="5"/>
      <c r="L664" s="5"/>
    </row>
    <row r="665" spans="11:12" customFormat="1" x14ac:dyDescent="0.25">
      <c r="K665" s="5"/>
      <c r="L665" s="5"/>
    </row>
    <row r="666" spans="11:12" customFormat="1" x14ac:dyDescent="0.25">
      <c r="K666" s="5"/>
      <c r="L666" s="5"/>
    </row>
    <row r="667" spans="11:12" customFormat="1" x14ac:dyDescent="0.25">
      <c r="K667" s="5"/>
      <c r="L667" s="5"/>
    </row>
    <row r="668" spans="11:12" customFormat="1" x14ac:dyDescent="0.25">
      <c r="K668" s="5"/>
      <c r="L668" s="5"/>
    </row>
    <row r="669" spans="11:12" customFormat="1" x14ac:dyDescent="0.25">
      <c r="K669" s="5"/>
      <c r="L669" s="5"/>
    </row>
    <row r="670" spans="11:12" customFormat="1" x14ac:dyDescent="0.25">
      <c r="K670" s="5"/>
      <c r="L670" s="5"/>
    </row>
    <row r="671" spans="11:12" customFormat="1" x14ac:dyDescent="0.25">
      <c r="K671" s="5"/>
      <c r="L671" s="5"/>
    </row>
    <row r="672" spans="11:12" customFormat="1" x14ac:dyDescent="0.25">
      <c r="K672" s="5"/>
      <c r="L672" s="5"/>
    </row>
    <row r="673" spans="11:12" customFormat="1" x14ac:dyDescent="0.25">
      <c r="K673" s="5"/>
      <c r="L673" s="5"/>
    </row>
    <row r="674" spans="11:12" customFormat="1" x14ac:dyDescent="0.25">
      <c r="K674" s="5"/>
      <c r="L674" s="5"/>
    </row>
    <row r="675" spans="11:12" customFormat="1" x14ac:dyDescent="0.25">
      <c r="K675" s="5"/>
      <c r="L675" s="5"/>
    </row>
    <row r="676" spans="11:12" customFormat="1" x14ac:dyDescent="0.25">
      <c r="K676" s="5"/>
      <c r="L676" s="5"/>
    </row>
    <row r="677" spans="11:12" customFormat="1" x14ac:dyDescent="0.25">
      <c r="K677" s="5"/>
      <c r="L677" s="5"/>
    </row>
    <row r="678" spans="11:12" customFormat="1" x14ac:dyDescent="0.25">
      <c r="K678" s="5"/>
      <c r="L678" s="5"/>
    </row>
    <row r="679" spans="11:12" customFormat="1" x14ac:dyDescent="0.25">
      <c r="K679" s="5"/>
      <c r="L679" s="5"/>
    </row>
    <row r="680" spans="11:12" customFormat="1" x14ac:dyDescent="0.25">
      <c r="K680" s="5"/>
      <c r="L680" s="5"/>
    </row>
    <row r="681" spans="11:12" customFormat="1" x14ac:dyDescent="0.25">
      <c r="K681" s="5"/>
      <c r="L681" s="5"/>
    </row>
    <row r="682" spans="11:12" customFormat="1" x14ac:dyDescent="0.25">
      <c r="K682" s="5"/>
      <c r="L682" s="5"/>
    </row>
    <row r="683" spans="11:12" customFormat="1" x14ac:dyDescent="0.25">
      <c r="K683" s="5"/>
      <c r="L683" s="5"/>
    </row>
    <row r="684" spans="11:12" customFormat="1" x14ac:dyDescent="0.25">
      <c r="K684" s="5"/>
      <c r="L684" s="5"/>
    </row>
    <row r="685" spans="11:12" customFormat="1" x14ac:dyDescent="0.25">
      <c r="K685" s="5"/>
      <c r="L685" s="5"/>
    </row>
    <row r="686" spans="11:12" customFormat="1" x14ac:dyDescent="0.25">
      <c r="K686" s="5"/>
      <c r="L686" s="5"/>
    </row>
    <row r="687" spans="11:12" customFormat="1" x14ac:dyDescent="0.25">
      <c r="K687" s="5"/>
      <c r="L687" s="5"/>
    </row>
    <row r="688" spans="11:12" customFormat="1" x14ac:dyDescent="0.25">
      <c r="K688" s="5"/>
      <c r="L688" s="5"/>
    </row>
    <row r="689" spans="11:12" customFormat="1" x14ac:dyDescent="0.25">
      <c r="K689" s="5"/>
      <c r="L689" s="5"/>
    </row>
    <row r="690" spans="11:12" customFormat="1" x14ac:dyDescent="0.25">
      <c r="K690" s="5"/>
      <c r="L690" s="5"/>
    </row>
    <row r="691" spans="11:12" customFormat="1" x14ac:dyDescent="0.25">
      <c r="K691" s="5"/>
      <c r="L691" s="5"/>
    </row>
    <row r="692" spans="11:12" customFormat="1" x14ac:dyDescent="0.25">
      <c r="K692" s="5"/>
      <c r="L692" s="5"/>
    </row>
    <row r="693" spans="11:12" customFormat="1" x14ac:dyDescent="0.25">
      <c r="K693" s="5"/>
      <c r="L693" s="5"/>
    </row>
    <row r="694" spans="11:12" customFormat="1" x14ac:dyDescent="0.25">
      <c r="K694" s="5"/>
      <c r="L694" s="5"/>
    </row>
    <row r="695" spans="11:12" customFormat="1" x14ac:dyDescent="0.25">
      <c r="K695" s="5"/>
      <c r="L695" s="5"/>
    </row>
    <row r="696" spans="11:12" customFormat="1" x14ac:dyDescent="0.25">
      <c r="K696" s="5"/>
      <c r="L696" s="5"/>
    </row>
    <row r="697" spans="11:12" customFormat="1" x14ac:dyDescent="0.25">
      <c r="K697" s="5"/>
      <c r="L697" s="5"/>
    </row>
    <row r="698" spans="11:12" customFormat="1" x14ac:dyDescent="0.25">
      <c r="K698" s="5"/>
      <c r="L698" s="5"/>
    </row>
    <row r="699" spans="11:12" customFormat="1" x14ac:dyDescent="0.25">
      <c r="K699" s="5"/>
      <c r="L699" s="5"/>
    </row>
    <row r="700" spans="11:12" customFormat="1" x14ac:dyDescent="0.25">
      <c r="K700" s="5"/>
      <c r="L700" s="5"/>
    </row>
    <row r="701" spans="11:12" customFormat="1" x14ac:dyDescent="0.25">
      <c r="K701" s="5"/>
      <c r="L701" s="5"/>
    </row>
    <row r="702" spans="11:12" customFormat="1" x14ac:dyDescent="0.25">
      <c r="K702" s="5"/>
      <c r="L702" s="5"/>
    </row>
    <row r="703" spans="11:12" customFormat="1" x14ac:dyDescent="0.25">
      <c r="K703" s="5"/>
      <c r="L703" s="5"/>
    </row>
    <row r="704" spans="11:12" customFormat="1" x14ac:dyDescent="0.25">
      <c r="K704" s="5"/>
      <c r="L704" s="5"/>
    </row>
    <row r="705" spans="11:12" customFormat="1" x14ac:dyDescent="0.25">
      <c r="K705" s="5"/>
      <c r="L705" s="5"/>
    </row>
    <row r="706" spans="11:12" customFormat="1" x14ac:dyDescent="0.25">
      <c r="K706" s="5"/>
      <c r="L706" s="5"/>
    </row>
    <row r="707" spans="11:12" customFormat="1" x14ac:dyDescent="0.25">
      <c r="K707" s="5"/>
      <c r="L707" s="5"/>
    </row>
    <row r="708" spans="11:12" customFormat="1" x14ac:dyDescent="0.25">
      <c r="K708" s="5"/>
      <c r="L708" s="5"/>
    </row>
    <row r="709" spans="11:12" customFormat="1" x14ac:dyDescent="0.25">
      <c r="K709" s="5"/>
      <c r="L709" s="5"/>
    </row>
    <row r="710" spans="11:12" customFormat="1" x14ac:dyDescent="0.25">
      <c r="K710" s="5"/>
      <c r="L710" s="5"/>
    </row>
    <row r="711" spans="11:12" customFormat="1" x14ac:dyDescent="0.25">
      <c r="K711" s="5"/>
      <c r="L711" s="5"/>
    </row>
    <row r="712" spans="11:12" customFormat="1" x14ac:dyDescent="0.25">
      <c r="K712" s="5"/>
      <c r="L712" s="5"/>
    </row>
    <row r="713" spans="11:12" customFormat="1" x14ac:dyDescent="0.25">
      <c r="K713" s="5"/>
      <c r="L713" s="5"/>
    </row>
    <row r="714" spans="11:12" customFormat="1" x14ac:dyDescent="0.25">
      <c r="K714" s="5"/>
      <c r="L714" s="5"/>
    </row>
    <row r="715" spans="11:12" customFormat="1" x14ac:dyDescent="0.25">
      <c r="K715" s="5"/>
      <c r="L715" s="5"/>
    </row>
    <row r="716" spans="11:12" customFormat="1" x14ac:dyDescent="0.25">
      <c r="K716" s="5"/>
      <c r="L716" s="5"/>
    </row>
    <row r="717" spans="11:12" customFormat="1" x14ac:dyDescent="0.25">
      <c r="K717" s="5"/>
      <c r="L717" s="5"/>
    </row>
    <row r="718" spans="11:12" customFormat="1" x14ac:dyDescent="0.25">
      <c r="K718" s="5"/>
      <c r="L718" s="5"/>
    </row>
    <row r="719" spans="11:12" customFormat="1" x14ac:dyDescent="0.25">
      <c r="K719" s="5"/>
      <c r="L719" s="5"/>
    </row>
    <row r="720" spans="11:12" customFormat="1" x14ac:dyDescent="0.25">
      <c r="K720" s="5"/>
      <c r="L720" s="5"/>
    </row>
    <row r="721" spans="11:12" customFormat="1" x14ac:dyDescent="0.25">
      <c r="K721" s="5"/>
      <c r="L721" s="5"/>
    </row>
    <row r="722" spans="11:12" customFormat="1" x14ac:dyDescent="0.25">
      <c r="K722" s="5"/>
      <c r="L722" s="5"/>
    </row>
    <row r="723" spans="11:12" customFormat="1" x14ac:dyDescent="0.25">
      <c r="K723" s="5"/>
      <c r="L723" s="5"/>
    </row>
    <row r="724" spans="11:12" customFormat="1" x14ac:dyDescent="0.25">
      <c r="K724" s="5"/>
      <c r="L724" s="5"/>
    </row>
    <row r="725" spans="11:12" customFormat="1" x14ac:dyDescent="0.25">
      <c r="K725" s="5"/>
      <c r="L725" s="5"/>
    </row>
    <row r="726" spans="11:12" customFormat="1" x14ac:dyDescent="0.25">
      <c r="K726" s="5"/>
      <c r="L726" s="5"/>
    </row>
    <row r="727" spans="11:12" customFormat="1" x14ac:dyDescent="0.25">
      <c r="K727" s="5"/>
      <c r="L727" s="5"/>
    </row>
    <row r="728" spans="11:12" customFormat="1" x14ac:dyDescent="0.25">
      <c r="K728" s="5"/>
      <c r="L728" s="5"/>
    </row>
    <row r="729" spans="11:12" customFormat="1" x14ac:dyDescent="0.25">
      <c r="K729" s="5"/>
      <c r="L729" s="5"/>
    </row>
    <row r="730" spans="11:12" customFormat="1" x14ac:dyDescent="0.25">
      <c r="K730" s="5"/>
      <c r="L730" s="5"/>
    </row>
    <row r="731" spans="11:12" customFormat="1" x14ac:dyDescent="0.25">
      <c r="K731" s="5"/>
      <c r="L731" s="5"/>
    </row>
    <row r="732" spans="11:12" customFormat="1" x14ac:dyDescent="0.25">
      <c r="K732" s="5"/>
      <c r="L732" s="5"/>
    </row>
    <row r="733" spans="11:12" customFormat="1" x14ac:dyDescent="0.25">
      <c r="K733" s="5"/>
      <c r="L733" s="5"/>
    </row>
    <row r="734" spans="11:12" customFormat="1" x14ac:dyDescent="0.25">
      <c r="K734" s="5"/>
      <c r="L734" s="5"/>
    </row>
    <row r="735" spans="11:12" customFormat="1" x14ac:dyDescent="0.25">
      <c r="K735" s="5"/>
      <c r="L735" s="5"/>
    </row>
    <row r="736" spans="11:12" customFormat="1" x14ac:dyDescent="0.25">
      <c r="K736" s="5"/>
      <c r="L736" s="5"/>
    </row>
    <row r="737" spans="11:12" customFormat="1" x14ac:dyDescent="0.25">
      <c r="K737" s="5"/>
      <c r="L737" s="5"/>
    </row>
    <row r="738" spans="11:12" customFormat="1" x14ac:dyDescent="0.25">
      <c r="K738" s="5"/>
      <c r="L738" s="5"/>
    </row>
    <row r="739" spans="11:12" customFormat="1" x14ac:dyDescent="0.25">
      <c r="K739" s="5"/>
      <c r="L739" s="5"/>
    </row>
    <row r="740" spans="11:12" customFormat="1" x14ac:dyDescent="0.25">
      <c r="K740" s="5"/>
      <c r="L740" s="5"/>
    </row>
    <row r="741" spans="11:12" customFormat="1" x14ac:dyDescent="0.25">
      <c r="K741" s="5"/>
      <c r="L741" s="5"/>
    </row>
    <row r="742" spans="11:12" customFormat="1" x14ac:dyDescent="0.25">
      <c r="K742" s="5"/>
      <c r="L742" s="5"/>
    </row>
    <row r="743" spans="11:12" customFormat="1" x14ac:dyDescent="0.25">
      <c r="K743" s="5"/>
      <c r="L743" s="5"/>
    </row>
    <row r="744" spans="11:12" customFormat="1" x14ac:dyDescent="0.25">
      <c r="K744" s="5"/>
      <c r="L744" s="5"/>
    </row>
    <row r="745" spans="11:12" customFormat="1" x14ac:dyDescent="0.25">
      <c r="K745" s="5"/>
      <c r="L745" s="5"/>
    </row>
    <row r="746" spans="11:12" customFormat="1" x14ac:dyDescent="0.25">
      <c r="K746" s="5"/>
      <c r="L746" s="5"/>
    </row>
    <row r="747" spans="11:12" customFormat="1" x14ac:dyDescent="0.25">
      <c r="K747" s="5"/>
      <c r="L747" s="5"/>
    </row>
    <row r="748" spans="11:12" customFormat="1" x14ac:dyDescent="0.25">
      <c r="K748" s="5"/>
      <c r="L748" s="5"/>
    </row>
    <row r="749" spans="11:12" customFormat="1" x14ac:dyDescent="0.25">
      <c r="K749" s="5"/>
      <c r="L749" s="5"/>
    </row>
    <row r="750" spans="11:12" customFormat="1" x14ac:dyDescent="0.25">
      <c r="K750" s="5"/>
      <c r="L750" s="5"/>
    </row>
    <row r="751" spans="11:12" customFormat="1" x14ac:dyDescent="0.25">
      <c r="K751" s="5"/>
      <c r="L751" s="5"/>
    </row>
    <row r="752" spans="11:12" customFormat="1" x14ac:dyDescent="0.25">
      <c r="K752" s="5"/>
      <c r="L752" s="5"/>
    </row>
    <row r="753" spans="11:12" customFormat="1" x14ac:dyDescent="0.25">
      <c r="K753" s="5"/>
      <c r="L753" s="5"/>
    </row>
    <row r="754" spans="11:12" customFormat="1" x14ac:dyDescent="0.25">
      <c r="K754" s="5"/>
      <c r="L754" s="5"/>
    </row>
    <row r="755" spans="11:12" customFormat="1" x14ac:dyDescent="0.25">
      <c r="K755" s="5"/>
      <c r="L755" s="5"/>
    </row>
    <row r="756" spans="11:12" customFormat="1" x14ac:dyDescent="0.25">
      <c r="K756" s="5"/>
      <c r="L756" s="5"/>
    </row>
    <row r="757" spans="11:12" customFormat="1" x14ac:dyDescent="0.25">
      <c r="K757" s="5"/>
      <c r="L757" s="5"/>
    </row>
    <row r="758" spans="11:12" customFormat="1" x14ac:dyDescent="0.25">
      <c r="K758" s="5"/>
      <c r="L758" s="5"/>
    </row>
    <row r="759" spans="11:12" customFormat="1" x14ac:dyDescent="0.25">
      <c r="K759" s="5"/>
      <c r="L759" s="5"/>
    </row>
    <row r="760" spans="11:12" customFormat="1" x14ac:dyDescent="0.25">
      <c r="K760" s="5"/>
      <c r="L760" s="5"/>
    </row>
    <row r="761" spans="11:12" customFormat="1" x14ac:dyDescent="0.25">
      <c r="K761" s="5"/>
      <c r="L761" s="5"/>
    </row>
    <row r="762" spans="11:12" customFormat="1" x14ac:dyDescent="0.25">
      <c r="K762" s="5"/>
      <c r="L762" s="5"/>
    </row>
    <row r="763" spans="11:12" customFormat="1" x14ac:dyDescent="0.25">
      <c r="K763" s="5"/>
      <c r="L763" s="5"/>
    </row>
    <row r="764" spans="11:12" customFormat="1" x14ac:dyDescent="0.25">
      <c r="K764" s="5"/>
      <c r="L764" s="5"/>
    </row>
    <row r="765" spans="11:12" customFormat="1" x14ac:dyDescent="0.25">
      <c r="K765" s="5"/>
      <c r="L765" s="5"/>
    </row>
    <row r="766" spans="11:12" customFormat="1" x14ac:dyDescent="0.25">
      <c r="K766" s="5"/>
      <c r="L766" s="5"/>
    </row>
    <row r="767" spans="11:12" customFormat="1" x14ac:dyDescent="0.25">
      <c r="K767" s="5"/>
      <c r="L767" s="5"/>
    </row>
    <row r="768" spans="11:12" customFormat="1" x14ac:dyDescent="0.25">
      <c r="K768" s="5"/>
      <c r="L768" s="5"/>
    </row>
    <row r="769" spans="11:12" customFormat="1" x14ac:dyDescent="0.25">
      <c r="K769" s="5"/>
      <c r="L769" s="5"/>
    </row>
    <row r="770" spans="11:12" customFormat="1" x14ac:dyDescent="0.25">
      <c r="K770" s="5"/>
      <c r="L770" s="5"/>
    </row>
    <row r="771" spans="11:12" customFormat="1" x14ac:dyDescent="0.25">
      <c r="K771" s="5"/>
      <c r="L771" s="5"/>
    </row>
    <row r="772" spans="11:12" customFormat="1" x14ac:dyDescent="0.25">
      <c r="K772" s="5"/>
      <c r="L772" s="5"/>
    </row>
    <row r="773" spans="11:12" customFormat="1" x14ac:dyDescent="0.25">
      <c r="K773" s="5"/>
      <c r="L773" s="5"/>
    </row>
    <row r="774" spans="11:12" customFormat="1" x14ac:dyDescent="0.25">
      <c r="K774" s="5"/>
      <c r="L774" s="5"/>
    </row>
    <row r="775" spans="11:12" customFormat="1" x14ac:dyDescent="0.25">
      <c r="K775" s="5"/>
      <c r="L775" s="5"/>
    </row>
    <row r="776" spans="11:12" customFormat="1" x14ac:dyDescent="0.25">
      <c r="K776" s="5"/>
      <c r="L776" s="5"/>
    </row>
    <row r="777" spans="11:12" customFormat="1" x14ac:dyDescent="0.25">
      <c r="K777" s="5"/>
      <c r="L777" s="5"/>
    </row>
    <row r="778" spans="11:12" customFormat="1" x14ac:dyDescent="0.25">
      <c r="K778" s="5"/>
      <c r="L778" s="5"/>
    </row>
    <row r="779" spans="11:12" customFormat="1" x14ac:dyDescent="0.25">
      <c r="K779" s="5"/>
      <c r="L779" s="5"/>
    </row>
    <row r="780" spans="11:12" customFormat="1" x14ac:dyDescent="0.25">
      <c r="K780" s="5"/>
      <c r="L780" s="5"/>
    </row>
    <row r="781" spans="11:12" customFormat="1" x14ac:dyDescent="0.25">
      <c r="K781" s="5"/>
      <c r="L781" s="5"/>
    </row>
    <row r="782" spans="11:12" customFormat="1" x14ac:dyDescent="0.25">
      <c r="K782" s="5"/>
      <c r="L782" s="5"/>
    </row>
    <row r="783" spans="11:12" customFormat="1" x14ac:dyDescent="0.25">
      <c r="K783" s="5"/>
      <c r="L783" s="5"/>
    </row>
    <row r="784" spans="11:12" customFormat="1" x14ac:dyDescent="0.25">
      <c r="K784" s="5"/>
      <c r="L784" s="5"/>
    </row>
    <row r="785" spans="11:12" customFormat="1" x14ac:dyDescent="0.25">
      <c r="K785" s="5"/>
      <c r="L785" s="5"/>
    </row>
    <row r="786" spans="11:12" customFormat="1" x14ac:dyDescent="0.25">
      <c r="K786" s="5"/>
      <c r="L786" s="5"/>
    </row>
    <row r="787" spans="11:12" customFormat="1" x14ac:dyDescent="0.25">
      <c r="K787" s="5"/>
      <c r="L787" s="5"/>
    </row>
    <row r="788" spans="11:12" customFormat="1" x14ac:dyDescent="0.25">
      <c r="K788" s="5"/>
      <c r="L788" s="5"/>
    </row>
    <row r="789" spans="11:12" customFormat="1" x14ac:dyDescent="0.25">
      <c r="K789" s="5"/>
      <c r="L789" s="5"/>
    </row>
    <row r="790" spans="11:12" customFormat="1" x14ac:dyDescent="0.25">
      <c r="K790" s="5"/>
      <c r="L790" s="5"/>
    </row>
    <row r="791" spans="11:12" customFormat="1" x14ac:dyDescent="0.25">
      <c r="K791" s="5"/>
      <c r="L791" s="5"/>
    </row>
    <row r="792" spans="11:12" customFormat="1" x14ac:dyDescent="0.25">
      <c r="K792" s="5"/>
      <c r="L792" s="5"/>
    </row>
    <row r="793" spans="11:12" customFormat="1" x14ac:dyDescent="0.25">
      <c r="K793" s="5"/>
      <c r="L793" s="5"/>
    </row>
    <row r="794" spans="11:12" customFormat="1" x14ac:dyDescent="0.25">
      <c r="K794" s="5"/>
      <c r="L794" s="5"/>
    </row>
    <row r="795" spans="11:12" customFormat="1" x14ac:dyDescent="0.25">
      <c r="K795" s="5"/>
      <c r="L795" s="5"/>
    </row>
    <row r="796" spans="11:12" customFormat="1" x14ac:dyDescent="0.25">
      <c r="K796" s="5"/>
      <c r="L796" s="5"/>
    </row>
    <row r="797" spans="11:12" customFormat="1" x14ac:dyDescent="0.25">
      <c r="K797" s="5"/>
      <c r="L797" s="5"/>
    </row>
    <row r="798" spans="11:12" customFormat="1" x14ac:dyDescent="0.25">
      <c r="K798" s="5"/>
      <c r="L798" s="5"/>
    </row>
    <row r="799" spans="11:12" customFormat="1" x14ac:dyDescent="0.25">
      <c r="K799" s="5"/>
      <c r="L799" s="5"/>
    </row>
    <row r="800" spans="11:12" customFormat="1" x14ac:dyDescent="0.25">
      <c r="K800" s="5"/>
      <c r="L800" s="5"/>
    </row>
    <row r="801" spans="11:12" customFormat="1" x14ac:dyDescent="0.25">
      <c r="K801" s="5"/>
      <c r="L801" s="5"/>
    </row>
    <row r="802" spans="11:12" customFormat="1" x14ac:dyDescent="0.25">
      <c r="K802" s="5"/>
      <c r="L802" s="5"/>
    </row>
    <row r="803" spans="11:12" customFormat="1" x14ac:dyDescent="0.25">
      <c r="K803" s="5"/>
      <c r="L803" s="5"/>
    </row>
    <row r="804" spans="11:12" customFormat="1" x14ac:dyDescent="0.25">
      <c r="K804" s="5"/>
      <c r="L804" s="5"/>
    </row>
    <row r="805" spans="11:12" customFormat="1" x14ac:dyDescent="0.25">
      <c r="K805" s="5"/>
      <c r="L805" s="5"/>
    </row>
    <row r="806" spans="11:12" customFormat="1" x14ac:dyDescent="0.25">
      <c r="K806" s="5"/>
      <c r="L806" s="5"/>
    </row>
    <row r="807" spans="11:12" customFormat="1" x14ac:dyDescent="0.25">
      <c r="K807" s="5"/>
      <c r="L807" s="5"/>
    </row>
    <row r="808" spans="11:12" customFormat="1" x14ac:dyDescent="0.25">
      <c r="K808" s="5"/>
      <c r="L808" s="5"/>
    </row>
    <row r="809" spans="11:12" customFormat="1" x14ac:dyDescent="0.25">
      <c r="K809" s="5"/>
      <c r="L809" s="5"/>
    </row>
    <row r="810" spans="11:12" customFormat="1" x14ac:dyDescent="0.25">
      <c r="K810" s="5"/>
      <c r="L810" s="5"/>
    </row>
    <row r="811" spans="11:12" customFormat="1" x14ac:dyDescent="0.25">
      <c r="K811" s="5"/>
      <c r="L811" s="5"/>
    </row>
    <row r="812" spans="11:12" customFormat="1" x14ac:dyDescent="0.25">
      <c r="K812" s="5"/>
      <c r="L812" s="5"/>
    </row>
    <row r="813" spans="11:12" customFormat="1" x14ac:dyDescent="0.25">
      <c r="K813" s="5"/>
      <c r="L813" s="5"/>
    </row>
    <row r="814" spans="11:12" customFormat="1" x14ac:dyDescent="0.25">
      <c r="K814" s="5"/>
      <c r="L814" s="5"/>
    </row>
    <row r="815" spans="11:12" customFormat="1" x14ac:dyDescent="0.25">
      <c r="K815" s="5"/>
      <c r="L815" s="5"/>
    </row>
    <row r="816" spans="11:12" customFormat="1" x14ac:dyDescent="0.25">
      <c r="K816" s="5"/>
      <c r="L816" s="5"/>
    </row>
    <row r="817" spans="11:12" customFormat="1" x14ac:dyDescent="0.25">
      <c r="K817" s="5"/>
      <c r="L817" s="5"/>
    </row>
    <row r="818" spans="11:12" customFormat="1" x14ac:dyDescent="0.25">
      <c r="K818" s="5"/>
      <c r="L818" s="5"/>
    </row>
    <row r="819" spans="11:12" customFormat="1" x14ac:dyDescent="0.25">
      <c r="K819" s="5"/>
      <c r="L819" s="5"/>
    </row>
    <row r="820" spans="11:12" customFormat="1" x14ac:dyDescent="0.25">
      <c r="K820" s="5"/>
      <c r="L820" s="5"/>
    </row>
  </sheetData>
  <pageMargins left="0.511811024" right="0.511811024" top="0.78740157499999996" bottom="0.78740157499999996" header="0.31496062000000002" footer="0.31496062000000002"/>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B1:S87"/>
  <sheetViews>
    <sheetView showGridLines="0" zoomScale="70" zoomScaleNormal="70" workbookViewId="0">
      <selection activeCell="C3" sqref="C3"/>
    </sheetView>
  </sheetViews>
  <sheetFormatPr defaultRowHeight="15" x14ac:dyDescent="0.25"/>
  <cols>
    <col min="2" max="2" width="5" customWidth="1"/>
    <col min="3" max="3" width="18.85546875" style="26" customWidth="1"/>
    <col min="4" max="4" width="14.140625" style="26" customWidth="1"/>
    <col min="5" max="5" width="17.28515625" style="26" customWidth="1"/>
    <col min="6" max="6" width="15.85546875" style="26" customWidth="1"/>
    <col min="7" max="7" width="17" style="26" customWidth="1"/>
    <col min="8" max="8" width="16.42578125" style="26" customWidth="1"/>
    <col min="9" max="9" width="14.85546875" style="26" customWidth="1"/>
    <col min="10" max="10" width="65.7109375" style="26" customWidth="1"/>
    <col min="11" max="11" width="20.7109375" style="26" customWidth="1"/>
    <col min="12" max="12" width="20.42578125" style="145" bestFit="1" customWidth="1"/>
    <col min="13" max="13" width="21" style="26" customWidth="1"/>
    <col min="14" max="14" width="23.5703125" style="26" bestFit="1" customWidth="1"/>
    <col min="15" max="17" width="255.7109375" style="26" customWidth="1"/>
    <col min="18" max="18" width="47.42578125" customWidth="1"/>
    <col min="19" max="19" width="56.85546875" customWidth="1"/>
  </cols>
  <sheetData>
    <row r="1" spans="2:19" x14ac:dyDescent="0.25">
      <c r="D1"/>
      <c r="E1"/>
      <c r="F1"/>
      <c r="G1"/>
      <c r="H1"/>
      <c r="I1"/>
      <c r="J1"/>
      <c r="K1"/>
      <c r="L1" s="115"/>
      <c r="M1"/>
      <c r="N1"/>
      <c r="O1"/>
      <c r="P1"/>
      <c r="Q1"/>
    </row>
    <row r="2" spans="2:19" ht="15.75" x14ac:dyDescent="0.25">
      <c r="C2" s="51"/>
      <c r="D2"/>
      <c r="E2"/>
      <c r="F2"/>
      <c r="G2"/>
      <c r="H2"/>
      <c r="I2"/>
      <c r="J2"/>
      <c r="K2"/>
      <c r="L2" s="115"/>
      <c r="M2"/>
      <c r="N2"/>
      <c r="O2"/>
      <c r="P2"/>
      <c r="Q2"/>
    </row>
    <row r="3" spans="2:19" ht="31.5" x14ac:dyDescent="0.5">
      <c r="C3" s="47" t="s">
        <v>1174</v>
      </c>
      <c r="D3"/>
      <c r="E3"/>
      <c r="F3"/>
      <c r="G3"/>
      <c r="H3"/>
      <c r="I3"/>
      <c r="J3"/>
      <c r="K3"/>
      <c r="L3" s="115"/>
      <c r="M3"/>
      <c r="N3"/>
      <c r="O3"/>
      <c r="P3"/>
      <c r="Q3"/>
    </row>
    <row r="4" spans="2:19" x14ac:dyDescent="0.25">
      <c r="C4"/>
      <c r="D4"/>
      <c r="E4"/>
      <c r="F4"/>
      <c r="G4"/>
      <c r="H4"/>
      <c r="I4"/>
      <c r="J4"/>
      <c r="K4"/>
      <c r="L4" s="115"/>
      <c r="M4"/>
      <c r="N4"/>
      <c r="O4"/>
      <c r="P4"/>
      <c r="Q4"/>
    </row>
    <row r="5" spans="2:19" ht="32.25" thickBot="1" x14ac:dyDescent="0.3">
      <c r="C5" s="58" t="s">
        <v>0</v>
      </c>
      <c r="D5" s="59" t="s">
        <v>18</v>
      </c>
      <c r="E5" s="59" t="s">
        <v>2</v>
      </c>
      <c r="F5" s="59" t="s">
        <v>19</v>
      </c>
      <c r="G5" s="59" t="s">
        <v>1439</v>
      </c>
      <c r="H5" s="59" t="s">
        <v>462</v>
      </c>
      <c r="I5" s="59" t="s">
        <v>26</v>
      </c>
      <c r="J5" s="59" t="s">
        <v>1</v>
      </c>
      <c r="K5" s="59" t="s">
        <v>6</v>
      </c>
      <c r="L5" s="59" t="s">
        <v>23</v>
      </c>
      <c r="M5" s="59" t="s">
        <v>24</v>
      </c>
      <c r="N5" s="143" t="s">
        <v>38</v>
      </c>
      <c r="O5"/>
      <c r="P5"/>
      <c r="Q5"/>
    </row>
    <row r="6" spans="2:19" s="41" customFormat="1" ht="90.75" thickBot="1" x14ac:dyDescent="0.3">
      <c r="B6" s="41">
        <v>1</v>
      </c>
      <c r="C6" s="43" t="s">
        <v>915</v>
      </c>
      <c r="D6" s="43" t="s">
        <v>20</v>
      </c>
      <c r="E6" s="43" t="s">
        <v>5</v>
      </c>
      <c r="F6" s="43" t="s">
        <v>1626</v>
      </c>
      <c r="G6" s="43" t="s">
        <v>1023</v>
      </c>
      <c r="H6" s="43" t="s">
        <v>414</v>
      </c>
      <c r="I6" s="43" t="s">
        <v>33</v>
      </c>
      <c r="J6" s="43" t="s">
        <v>920</v>
      </c>
      <c r="K6" s="43" t="s">
        <v>1629</v>
      </c>
      <c r="L6" s="204">
        <v>46064</v>
      </c>
      <c r="M6" s="204">
        <v>46066</v>
      </c>
      <c r="N6" s="201">
        <v>328899.63</v>
      </c>
      <c r="O6" s="41" t="str">
        <f>CONCATENATE(B6,".",F6,," ","-"," ",K6,"     ", "(","Tipo do objeto: ",Tabela152[[#This Row],[TIPO DO OBJETO]],")")</f>
        <v>1.TLB-CTR-2026/00015 - VIVER EVENTOS LTDA     (Tipo do objeto: Serviços)</v>
      </c>
    </row>
    <row r="7" spans="2:19" s="41" customFormat="1" ht="60.75" thickBot="1" x14ac:dyDescent="0.3">
      <c r="B7" s="41">
        <v>2</v>
      </c>
      <c r="C7" s="43" t="s">
        <v>1519</v>
      </c>
      <c r="D7" s="43" t="s">
        <v>20</v>
      </c>
      <c r="E7" s="43" t="s">
        <v>5</v>
      </c>
      <c r="F7" s="43" t="s">
        <v>1540</v>
      </c>
      <c r="G7" s="43" t="s">
        <v>1597</v>
      </c>
      <c r="H7" s="43" t="s">
        <v>1598</v>
      </c>
      <c r="I7" s="43" t="s">
        <v>33</v>
      </c>
      <c r="J7" s="43" t="s">
        <v>1599</v>
      </c>
      <c r="K7" s="43" t="s">
        <v>1600</v>
      </c>
      <c r="L7" s="204">
        <v>46054</v>
      </c>
      <c r="M7" s="204">
        <v>47880</v>
      </c>
      <c r="N7" s="201">
        <v>28200</v>
      </c>
      <c r="O7" s="41" t="str">
        <f>CONCATENATE(B7,".",F7,," ","-"," ",K7,"     ", "(","Tipo do objeto: ",Tabela152[[#This Row],[TIPO DO OBJETO]],")")</f>
        <v>2.TLB-CTR-2026/00005 - MOORE METRI CONSULTORIA LTDA     (Tipo do objeto: Serviços)</v>
      </c>
      <c r="R7" s="42"/>
      <c r="S7" s="42"/>
    </row>
    <row r="8" spans="2:19" s="41" customFormat="1" ht="75.75" thickBot="1" x14ac:dyDescent="0.3">
      <c r="B8" s="41">
        <v>3</v>
      </c>
      <c r="C8" s="43" t="s">
        <v>1571</v>
      </c>
      <c r="D8" s="43" t="s">
        <v>20</v>
      </c>
      <c r="E8" s="43" t="s">
        <v>1083</v>
      </c>
      <c r="F8" s="43" t="s">
        <v>1530</v>
      </c>
      <c r="G8" s="43" t="s">
        <v>1572</v>
      </c>
      <c r="H8" s="43" t="s">
        <v>388</v>
      </c>
      <c r="I8" s="43" t="s">
        <v>33</v>
      </c>
      <c r="J8" s="43" t="s">
        <v>1574</v>
      </c>
      <c r="K8" s="43" t="s">
        <v>1468</v>
      </c>
      <c r="L8" s="204">
        <v>46031</v>
      </c>
      <c r="M8" s="204">
        <v>46761</v>
      </c>
      <c r="N8" s="201">
        <v>1123000</v>
      </c>
      <c r="O8" s="41" t="str">
        <f>CONCATENATE(B8,".",F8,," ","-"," ",K8,"     ", "(","Tipo do objeto: ",Tabela152[[#This Row],[TIPO DO OBJETO]],")")</f>
        <v>3.TLB-CTR-2025/00116 - PLANEJE TECNOLOGIA E SERVIÇOS LTDA     (Tipo do objeto: Serviços)</v>
      </c>
      <c r="R8" s="42"/>
      <c r="S8" s="42"/>
    </row>
    <row r="9" spans="2:19" s="41" customFormat="1" ht="60.75" thickBot="1" x14ac:dyDescent="0.3">
      <c r="B9" s="41">
        <v>4</v>
      </c>
      <c r="C9" s="43" t="s">
        <v>1575</v>
      </c>
      <c r="D9" s="43" t="s">
        <v>20</v>
      </c>
      <c r="E9" s="43" t="s">
        <v>1083</v>
      </c>
      <c r="F9" s="43" t="s">
        <v>1533</v>
      </c>
      <c r="G9" s="43" t="s">
        <v>1577</v>
      </c>
      <c r="H9" s="43" t="s">
        <v>1153</v>
      </c>
      <c r="I9" s="43" t="s">
        <v>33</v>
      </c>
      <c r="J9" s="43" t="s">
        <v>1578</v>
      </c>
      <c r="K9" s="43" t="s">
        <v>1631</v>
      </c>
      <c r="L9" s="204">
        <v>46028</v>
      </c>
      <c r="M9" s="204">
        <v>47944</v>
      </c>
      <c r="N9" s="201">
        <v>2631068.09</v>
      </c>
      <c r="O9" s="41" t="str">
        <f>CONCATENATE(B9,".",F9,," ","-"," ",K9,"     ", "(","Tipo do objeto: ",Tabela152[[#This Row],[TIPO DO OBJETO]],")")</f>
        <v>4.TLB-CTR-2025/00117 - NTSEC  SOLUÇÕES EM TELEINFORMÁTICA LTDA     (Tipo do objeto: Serviços)</v>
      </c>
      <c r="R9" s="42"/>
      <c r="S9" s="42"/>
    </row>
    <row r="10" spans="2:19" s="41" customFormat="1" ht="45.75" thickBot="1" x14ac:dyDescent="0.3">
      <c r="B10" s="41">
        <v>5</v>
      </c>
      <c r="C10" s="43" t="s">
        <v>1579</v>
      </c>
      <c r="D10" s="43" t="s">
        <v>20</v>
      </c>
      <c r="E10" s="43" t="s">
        <v>7</v>
      </c>
      <c r="F10" s="43" t="s">
        <v>1538</v>
      </c>
      <c r="G10" s="43" t="s">
        <v>1583</v>
      </c>
      <c r="H10" s="43" t="s">
        <v>1584</v>
      </c>
      <c r="I10" s="43" t="s">
        <v>1224</v>
      </c>
      <c r="J10" s="43" t="s">
        <v>1585</v>
      </c>
      <c r="K10" s="43" t="s">
        <v>1586</v>
      </c>
      <c r="L10" s="204">
        <v>46041</v>
      </c>
      <c r="M10" s="204">
        <v>46056</v>
      </c>
      <c r="N10" s="201">
        <v>6000</v>
      </c>
      <c r="O10" s="41" t="str">
        <f>CONCATENATE(B10,".",F10,," ","-"," ",K10,"     ", "(","Tipo do objeto: ",Tabela152[[#This Row],[TIPO DO OBJETO]],")")</f>
        <v>5.TLB-CTR-2026/00009 - ROL SOLUÇÕES PREDIAIS LTDA     (Tipo do objeto: Obras e Serviço de Engenharia)</v>
      </c>
      <c r="R10" s="42"/>
      <c r="S10" s="42"/>
    </row>
    <row r="11" spans="2:19" s="41" customFormat="1" ht="45.75" thickBot="1" x14ac:dyDescent="0.3">
      <c r="B11" s="41">
        <v>6</v>
      </c>
      <c r="C11" s="43" t="s">
        <v>1588</v>
      </c>
      <c r="D11" s="43" t="s">
        <v>20</v>
      </c>
      <c r="E11" s="43" t="s">
        <v>4</v>
      </c>
      <c r="F11" s="43" t="s">
        <v>1539</v>
      </c>
      <c r="G11" s="43" t="s">
        <v>1592</v>
      </c>
      <c r="H11" s="43" t="s">
        <v>1591</v>
      </c>
      <c r="I11" s="43" t="s">
        <v>28</v>
      </c>
      <c r="J11" s="43" t="s">
        <v>1593</v>
      </c>
      <c r="K11" s="43" t="s">
        <v>1594</v>
      </c>
      <c r="L11" s="204">
        <v>46044</v>
      </c>
      <c r="M11" s="204">
        <v>46409</v>
      </c>
      <c r="N11" s="201">
        <v>762535.47</v>
      </c>
      <c r="O11" s="41" t="str">
        <f>CONCATENATE(B11,".",F11,," ","-"," ",K11,"     ", "(","Tipo do objeto: ",Tabela152[[#This Row],[TIPO DO OBJETO]],")")</f>
        <v>6.TLB-CTR-2026/00010 - ROLLS ROYCE SOLUTIONS     (Tipo do objeto: Compras)</v>
      </c>
      <c r="R11" s="42"/>
      <c r="S11" s="42"/>
    </row>
    <row r="12" spans="2:19" s="26" customFormat="1" ht="15.75" x14ac:dyDescent="0.25">
      <c r="B12"/>
      <c r="C12" s="68" t="s">
        <v>65</v>
      </c>
      <c r="D12" s="68"/>
      <c r="E12" s="69"/>
      <c r="F12" s="68">
        <f>SUBTOTAL(103,Tabela152[Nº CONTRATO])</f>
        <v>6</v>
      </c>
      <c r="G12" s="68"/>
      <c r="H12" s="68"/>
      <c r="I12" s="68"/>
      <c r="J12" s="68"/>
      <c r="K12" s="68"/>
      <c r="L12" s="68"/>
      <c r="M12" s="68"/>
      <c r="N12" s="70">
        <f>SUBTOTAL(109,Tabela152[VALOR DO CONTRATO])</f>
        <v>4879703.1899999995</v>
      </c>
    </row>
    <row r="13" spans="2:19" s="26" customFormat="1" x14ac:dyDescent="0.25">
      <c r="B13"/>
      <c r="C13"/>
      <c r="D13"/>
      <c r="E13"/>
      <c r="F13"/>
      <c r="G13"/>
      <c r="H13"/>
      <c r="I13"/>
      <c r="J13"/>
      <c r="K13"/>
      <c r="L13" s="115"/>
    </row>
    <row r="14" spans="2:19" s="26" customFormat="1" x14ac:dyDescent="0.25">
      <c r="B14"/>
      <c r="C14"/>
      <c r="D14"/>
      <c r="E14"/>
      <c r="F14"/>
      <c r="G14"/>
      <c r="H14"/>
      <c r="I14"/>
      <c r="J14"/>
      <c r="K14"/>
      <c r="L14" s="115"/>
    </row>
    <row r="15" spans="2:19" s="26" customFormat="1" x14ac:dyDescent="0.25">
      <c r="B15"/>
      <c r="C15"/>
      <c r="D15"/>
      <c r="E15"/>
      <c r="F15"/>
      <c r="G15"/>
      <c r="H15"/>
      <c r="I15"/>
      <c r="J15"/>
      <c r="K15"/>
      <c r="L15" s="115"/>
    </row>
    <row r="16" spans="2:19" s="26" customFormat="1" x14ac:dyDescent="0.25">
      <c r="B16"/>
      <c r="C16"/>
      <c r="D16"/>
      <c r="E16"/>
      <c r="F16"/>
      <c r="G16"/>
      <c r="H16"/>
      <c r="I16"/>
      <c r="J16"/>
      <c r="K16"/>
      <c r="L16" s="115"/>
    </row>
    <row r="17" spans="2:12" s="26" customFormat="1" x14ac:dyDescent="0.25">
      <c r="B17"/>
      <c r="C17"/>
      <c r="D17"/>
      <c r="E17"/>
      <c r="F17"/>
      <c r="G17"/>
      <c r="H17"/>
      <c r="I17"/>
      <c r="J17"/>
      <c r="K17"/>
      <c r="L17" s="115"/>
    </row>
    <row r="18" spans="2:12" s="26" customFormat="1" x14ac:dyDescent="0.25">
      <c r="B18"/>
      <c r="C18"/>
      <c r="D18"/>
      <c r="E18"/>
      <c r="F18"/>
      <c r="G18"/>
      <c r="H18"/>
      <c r="I18"/>
      <c r="J18"/>
      <c r="K18"/>
      <c r="L18" s="115"/>
    </row>
    <row r="19" spans="2:12" s="26" customFormat="1" x14ac:dyDescent="0.25">
      <c r="B19"/>
      <c r="C19"/>
      <c r="D19"/>
      <c r="E19"/>
      <c r="F19"/>
      <c r="G19"/>
      <c r="H19"/>
      <c r="I19"/>
      <c r="J19"/>
      <c r="K19"/>
      <c r="L19" s="115"/>
    </row>
    <row r="20" spans="2:12" s="26" customFormat="1" x14ac:dyDescent="0.25">
      <c r="B20"/>
      <c r="C20"/>
      <c r="D20"/>
      <c r="E20"/>
      <c r="F20"/>
      <c r="G20"/>
      <c r="H20"/>
      <c r="I20"/>
      <c r="J20"/>
      <c r="K20"/>
      <c r="L20" s="115"/>
    </row>
    <row r="21" spans="2:12" s="26" customFormat="1" x14ac:dyDescent="0.25">
      <c r="B21"/>
      <c r="C21"/>
      <c r="D21"/>
      <c r="E21"/>
      <c r="F21"/>
      <c r="G21"/>
      <c r="H21"/>
      <c r="I21"/>
      <c r="J21"/>
      <c r="K21"/>
      <c r="L21" s="115"/>
    </row>
    <row r="22" spans="2:12" s="26" customFormat="1" x14ac:dyDescent="0.25">
      <c r="B22"/>
      <c r="C22"/>
      <c r="D22"/>
      <c r="E22"/>
      <c r="F22"/>
      <c r="G22"/>
      <c r="H22"/>
      <c r="I22"/>
      <c r="J22"/>
      <c r="K22"/>
      <c r="L22" s="115"/>
    </row>
    <row r="23" spans="2:12" s="26" customFormat="1" x14ac:dyDescent="0.25">
      <c r="B23"/>
      <c r="C23"/>
      <c r="D23"/>
      <c r="E23"/>
      <c r="F23"/>
      <c r="G23"/>
      <c r="H23"/>
      <c r="I23"/>
      <c r="J23"/>
      <c r="K23"/>
      <c r="L23" s="115"/>
    </row>
    <row r="24" spans="2:12" s="26" customFormat="1" x14ac:dyDescent="0.25">
      <c r="B24"/>
      <c r="C24"/>
      <c r="D24"/>
      <c r="E24"/>
      <c r="F24"/>
      <c r="G24"/>
      <c r="H24"/>
      <c r="I24"/>
      <c r="J24"/>
      <c r="K24"/>
      <c r="L24" s="115"/>
    </row>
    <row r="25" spans="2:12" s="26" customFormat="1" x14ac:dyDescent="0.25">
      <c r="B25"/>
      <c r="C25"/>
      <c r="D25"/>
      <c r="E25"/>
      <c r="F25"/>
      <c r="G25"/>
      <c r="H25"/>
      <c r="I25"/>
      <c r="J25"/>
      <c r="K25"/>
      <c r="L25" s="115"/>
    </row>
    <row r="26" spans="2:12" s="26" customFormat="1" x14ac:dyDescent="0.25">
      <c r="B26"/>
      <c r="C26"/>
      <c r="D26"/>
      <c r="E26"/>
      <c r="F26"/>
      <c r="G26"/>
      <c r="H26"/>
      <c r="I26"/>
      <c r="J26"/>
      <c r="K26"/>
      <c r="L26" s="115"/>
    </row>
    <row r="27" spans="2:12" s="26" customFormat="1" x14ac:dyDescent="0.25">
      <c r="B27"/>
      <c r="C27"/>
      <c r="D27"/>
      <c r="E27"/>
      <c r="F27"/>
      <c r="G27"/>
      <c r="H27"/>
      <c r="I27"/>
      <c r="J27"/>
      <c r="K27"/>
      <c r="L27" s="115"/>
    </row>
    <row r="28" spans="2:12" s="26" customFormat="1" x14ac:dyDescent="0.25">
      <c r="B28"/>
      <c r="C28"/>
      <c r="D28"/>
      <c r="E28"/>
      <c r="F28"/>
      <c r="G28"/>
      <c r="H28"/>
      <c r="I28"/>
      <c r="J28"/>
      <c r="K28"/>
      <c r="L28" s="115"/>
    </row>
    <row r="29" spans="2:12" s="26" customFormat="1" x14ac:dyDescent="0.25">
      <c r="B29"/>
      <c r="C29"/>
      <c r="D29"/>
      <c r="E29"/>
      <c r="F29"/>
      <c r="G29"/>
      <c r="H29"/>
      <c r="I29"/>
      <c r="J29"/>
      <c r="K29"/>
      <c r="L29" s="115"/>
    </row>
    <row r="30" spans="2:12" s="26" customFormat="1" x14ac:dyDescent="0.25">
      <c r="B30"/>
      <c r="C30"/>
      <c r="D30"/>
      <c r="E30"/>
      <c r="F30"/>
      <c r="G30"/>
      <c r="H30"/>
      <c r="I30"/>
      <c r="J30"/>
      <c r="K30"/>
      <c r="L30" s="115"/>
    </row>
    <row r="31" spans="2:12" s="26" customFormat="1" x14ac:dyDescent="0.25">
      <c r="B31"/>
      <c r="C31"/>
      <c r="D31"/>
      <c r="E31"/>
      <c r="F31"/>
      <c r="G31"/>
      <c r="H31"/>
      <c r="I31"/>
      <c r="J31"/>
      <c r="K31"/>
      <c r="L31" s="115"/>
    </row>
    <row r="32" spans="2:12" s="26" customFormat="1" x14ac:dyDescent="0.25">
      <c r="B32"/>
      <c r="C32"/>
      <c r="D32"/>
      <c r="E32"/>
      <c r="F32"/>
      <c r="G32"/>
      <c r="H32"/>
      <c r="I32"/>
      <c r="J32"/>
      <c r="K32"/>
      <c r="L32" s="115"/>
    </row>
    <row r="33" spans="2:12" s="26" customFormat="1" x14ac:dyDescent="0.25">
      <c r="B33"/>
      <c r="C33"/>
      <c r="D33"/>
      <c r="E33"/>
      <c r="F33"/>
      <c r="G33"/>
      <c r="H33"/>
      <c r="I33"/>
      <c r="J33"/>
      <c r="K33"/>
      <c r="L33" s="115"/>
    </row>
    <row r="34" spans="2:12" s="26" customFormat="1" x14ac:dyDescent="0.25">
      <c r="B34"/>
      <c r="C34"/>
      <c r="D34"/>
      <c r="E34"/>
      <c r="F34"/>
      <c r="G34"/>
      <c r="H34"/>
      <c r="I34"/>
      <c r="J34"/>
      <c r="K34"/>
      <c r="L34" s="115"/>
    </row>
    <row r="35" spans="2:12" s="26" customFormat="1" x14ac:dyDescent="0.25">
      <c r="B35"/>
      <c r="C35"/>
      <c r="D35"/>
      <c r="E35"/>
      <c r="F35"/>
      <c r="G35"/>
      <c r="H35"/>
      <c r="I35"/>
      <c r="J35"/>
      <c r="K35"/>
      <c r="L35" s="115"/>
    </row>
    <row r="36" spans="2:12" s="26" customFormat="1" x14ac:dyDescent="0.25">
      <c r="B36"/>
      <c r="C36"/>
      <c r="D36"/>
      <c r="E36"/>
      <c r="F36"/>
      <c r="G36"/>
      <c r="H36"/>
      <c r="I36"/>
      <c r="J36"/>
      <c r="K36"/>
      <c r="L36" s="115"/>
    </row>
    <row r="37" spans="2:12" s="26" customFormat="1" x14ac:dyDescent="0.25">
      <c r="B37"/>
      <c r="C37"/>
      <c r="D37"/>
      <c r="E37"/>
      <c r="F37"/>
      <c r="G37"/>
      <c r="H37"/>
      <c r="I37"/>
      <c r="J37"/>
      <c r="K37"/>
      <c r="L37" s="115"/>
    </row>
    <row r="38" spans="2:12" s="26" customFormat="1" x14ac:dyDescent="0.25">
      <c r="B38"/>
      <c r="C38"/>
      <c r="D38"/>
      <c r="E38"/>
      <c r="F38"/>
      <c r="G38"/>
      <c r="H38"/>
      <c r="I38"/>
      <c r="J38"/>
      <c r="K38"/>
      <c r="L38" s="115"/>
    </row>
    <row r="39" spans="2:12" s="26" customFormat="1" x14ac:dyDescent="0.25">
      <c r="B39"/>
      <c r="C39"/>
      <c r="D39"/>
      <c r="E39"/>
      <c r="F39"/>
      <c r="G39"/>
      <c r="H39"/>
      <c r="I39"/>
      <c r="J39"/>
      <c r="K39"/>
      <c r="L39" s="115"/>
    </row>
    <row r="40" spans="2:12" s="26" customFormat="1" x14ac:dyDescent="0.25">
      <c r="B40"/>
      <c r="C40"/>
      <c r="D40"/>
      <c r="E40"/>
      <c r="F40"/>
      <c r="G40"/>
      <c r="H40"/>
      <c r="I40"/>
      <c r="J40"/>
      <c r="K40"/>
      <c r="L40" s="115"/>
    </row>
    <row r="41" spans="2:12" s="26" customFormat="1" x14ac:dyDescent="0.25">
      <c r="B41"/>
      <c r="C41"/>
      <c r="D41"/>
      <c r="E41"/>
      <c r="F41"/>
      <c r="G41"/>
      <c r="H41"/>
      <c r="I41"/>
      <c r="J41"/>
      <c r="K41"/>
      <c r="L41" s="115"/>
    </row>
    <row r="42" spans="2:12" s="26" customFormat="1" x14ac:dyDescent="0.25">
      <c r="B42"/>
      <c r="C42"/>
      <c r="D42"/>
      <c r="E42"/>
      <c r="F42"/>
      <c r="G42"/>
      <c r="H42"/>
      <c r="I42"/>
      <c r="J42"/>
      <c r="K42"/>
      <c r="L42" s="115"/>
    </row>
    <row r="43" spans="2:12" s="26" customFormat="1" x14ac:dyDescent="0.25">
      <c r="B43"/>
      <c r="C43"/>
      <c r="D43"/>
      <c r="E43"/>
      <c r="F43"/>
      <c r="G43"/>
      <c r="H43"/>
      <c r="I43"/>
      <c r="J43"/>
      <c r="K43"/>
      <c r="L43" s="115"/>
    </row>
    <row r="44" spans="2:12" s="26" customFormat="1" x14ac:dyDescent="0.25">
      <c r="B44"/>
      <c r="C44"/>
      <c r="D44"/>
      <c r="E44"/>
      <c r="F44"/>
      <c r="G44"/>
      <c r="H44"/>
      <c r="I44"/>
      <c r="J44"/>
      <c r="K44"/>
      <c r="L44" s="115"/>
    </row>
    <row r="45" spans="2:12" s="26" customFormat="1" x14ac:dyDescent="0.25">
      <c r="B45"/>
      <c r="C45"/>
      <c r="D45"/>
      <c r="E45"/>
      <c r="F45"/>
      <c r="G45"/>
      <c r="H45"/>
      <c r="I45"/>
      <c r="J45"/>
      <c r="K45"/>
      <c r="L45" s="115"/>
    </row>
    <row r="46" spans="2:12" s="26" customFormat="1" x14ac:dyDescent="0.25">
      <c r="B46"/>
      <c r="C46"/>
      <c r="D46"/>
      <c r="E46"/>
      <c r="F46"/>
      <c r="G46"/>
      <c r="H46"/>
      <c r="I46"/>
      <c r="J46"/>
      <c r="K46"/>
      <c r="L46" s="115"/>
    </row>
    <row r="47" spans="2:12" s="26" customFormat="1" x14ac:dyDescent="0.25">
      <c r="B47"/>
      <c r="C47"/>
      <c r="D47"/>
      <c r="E47"/>
      <c r="F47"/>
      <c r="G47"/>
      <c r="H47"/>
      <c r="I47"/>
      <c r="J47"/>
      <c r="K47"/>
      <c r="L47" s="115"/>
    </row>
    <row r="48" spans="2:12" s="26" customFormat="1" x14ac:dyDescent="0.25">
      <c r="B48"/>
      <c r="C48"/>
      <c r="D48"/>
      <c r="E48"/>
      <c r="F48"/>
      <c r="G48"/>
      <c r="H48"/>
      <c r="I48"/>
      <c r="J48"/>
      <c r="K48"/>
      <c r="L48" s="115"/>
    </row>
    <row r="49" spans="2:12" s="26" customFormat="1" x14ac:dyDescent="0.25">
      <c r="B49"/>
      <c r="C49"/>
      <c r="D49"/>
      <c r="E49"/>
      <c r="F49"/>
      <c r="G49"/>
      <c r="H49"/>
      <c r="I49"/>
      <c r="J49"/>
      <c r="K49"/>
      <c r="L49" s="115"/>
    </row>
    <row r="50" spans="2:12" s="26" customFormat="1" x14ac:dyDescent="0.25">
      <c r="B50"/>
      <c r="C50"/>
      <c r="D50"/>
      <c r="E50"/>
      <c r="F50"/>
      <c r="G50"/>
      <c r="H50"/>
      <c r="I50"/>
      <c r="J50"/>
      <c r="K50"/>
      <c r="L50" s="115"/>
    </row>
    <row r="51" spans="2:12" s="26" customFormat="1" x14ac:dyDescent="0.25">
      <c r="B51"/>
      <c r="C51"/>
      <c r="D51"/>
      <c r="E51"/>
      <c r="F51"/>
      <c r="G51"/>
      <c r="H51"/>
      <c r="I51"/>
      <c r="J51"/>
      <c r="K51"/>
      <c r="L51" s="115"/>
    </row>
    <row r="52" spans="2:12" s="26" customFormat="1" x14ac:dyDescent="0.25">
      <c r="B52"/>
      <c r="C52"/>
      <c r="D52"/>
      <c r="E52"/>
      <c r="F52"/>
      <c r="G52"/>
      <c r="H52"/>
      <c r="I52"/>
      <c r="J52"/>
      <c r="K52"/>
      <c r="L52" s="115"/>
    </row>
    <row r="53" spans="2:12" s="26" customFormat="1" x14ac:dyDescent="0.25">
      <c r="B53"/>
      <c r="C53"/>
      <c r="D53"/>
      <c r="E53"/>
      <c r="F53"/>
      <c r="G53"/>
      <c r="H53"/>
      <c r="I53"/>
      <c r="J53"/>
      <c r="K53"/>
      <c r="L53" s="115"/>
    </row>
    <row r="54" spans="2:12" s="26" customFormat="1" x14ac:dyDescent="0.25">
      <c r="B54"/>
      <c r="C54"/>
      <c r="D54"/>
      <c r="E54"/>
      <c r="F54"/>
      <c r="G54"/>
      <c r="H54"/>
      <c r="I54"/>
      <c r="J54"/>
      <c r="K54"/>
      <c r="L54" s="115"/>
    </row>
    <row r="55" spans="2:12" s="26" customFormat="1" x14ac:dyDescent="0.25">
      <c r="B55"/>
      <c r="C55"/>
      <c r="D55"/>
      <c r="E55"/>
      <c r="F55"/>
      <c r="G55"/>
      <c r="H55"/>
      <c r="I55"/>
      <c r="J55"/>
      <c r="K55"/>
      <c r="L55" s="115"/>
    </row>
    <row r="56" spans="2:12" s="26" customFormat="1" x14ac:dyDescent="0.25">
      <c r="B56"/>
      <c r="C56"/>
      <c r="D56"/>
      <c r="E56"/>
      <c r="F56"/>
      <c r="G56"/>
      <c r="H56"/>
      <c r="I56"/>
      <c r="J56"/>
      <c r="K56"/>
      <c r="L56" s="115"/>
    </row>
    <row r="57" spans="2:12" s="26" customFormat="1" x14ac:dyDescent="0.25">
      <c r="B57"/>
      <c r="C57"/>
      <c r="D57"/>
      <c r="E57"/>
      <c r="F57"/>
      <c r="G57"/>
      <c r="H57"/>
      <c r="I57"/>
      <c r="J57"/>
      <c r="K57"/>
      <c r="L57" s="115"/>
    </row>
    <row r="58" spans="2:12" s="26" customFormat="1" x14ac:dyDescent="0.25">
      <c r="B58"/>
      <c r="C58"/>
      <c r="D58"/>
      <c r="E58"/>
      <c r="F58"/>
      <c r="G58"/>
      <c r="H58"/>
      <c r="I58"/>
      <c r="J58"/>
      <c r="K58"/>
      <c r="L58" s="115"/>
    </row>
    <row r="59" spans="2:12" s="26" customFormat="1" x14ac:dyDescent="0.25">
      <c r="B59"/>
      <c r="C59"/>
      <c r="D59"/>
      <c r="E59"/>
      <c r="F59"/>
      <c r="G59"/>
      <c r="H59"/>
      <c r="I59"/>
      <c r="J59"/>
      <c r="K59"/>
      <c r="L59" s="115"/>
    </row>
    <row r="60" spans="2:12" s="26" customFormat="1" x14ac:dyDescent="0.25">
      <c r="B60"/>
      <c r="C60"/>
      <c r="D60"/>
      <c r="E60"/>
      <c r="F60"/>
      <c r="G60"/>
      <c r="H60"/>
      <c r="I60"/>
      <c r="J60"/>
      <c r="K60"/>
      <c r="L60" s="115"/>
    </row>
    <row r="61" spans="2:12" s="26" customFormat="1" x14ac:dyDescent="0.25">
      <c r="B61"/>
      <c r="C61"/>
      <c r="D61"/>
      <c r="E61"/>
      <c r="F61"/>
      <c r="G61"/>
      <c r="H61"/>
      <c r="I61"/>
      <c r="J61"/>
      <c r="K61"/>
      <c r="L61" s="115"/>
    </row>
    <row r="62" spans="2:12" s="26" customFormat="1" x14ac:dyDescent="0.25">
      <c r="B62"/>
      <c r="C62"/>
      <c r="D62"/>
      <c r="E62"/>
      <c r="F62"/>
      <c r="G62"/>
      <c r="H62"/>
      <c r="I62"/>
      <c r="J62"/>
      <c r="K62"/>
      <c r="L62" s="115"/>
    </row>
    <row r="63" spans="2:12" s="26" customFormat="1" x14ac:dyDescent="0.25">
      <c r="B63"/>
      <c r="C63"/>
      <c r="D63"/>
      <c r="E63"/>
      <c r="F63"/>
      <c r="G63"/>
      <c r="H63"/>
      <c r="I63"/>
      <c r="J63"/>
      <c r="K63"/>
      <c r="L63" s="115"/>
    </row>
    <row r="64" spans="2:12" s="26" customFormat="1" x14ac:dyDescent="0.25">
      <c r="B64"/>
      <c r="C64"/>
      <c r="D64"/>
      <c r="E64"/>
      <c r="F64"/>
      <c r="G64"/>
      <c r="H64"/>
      <c r="I64"/>
      <c r="J64"/>
      <c r="K64"/>
      <c r="L64" s="115"/>
    </row>
    <row r="65" spans="2:12" s="26" customFormat="1" x14ac:dyDescent="0.25">
      <c r="B65"/>
      <c r="C65"/>
      <c r="D65"/>
      <c r="E65"/>
      <c r="F65"/>
      <c r="G65"/>
      <c r="H65"/>
      <c r="I65"/>
      <c r="J65"/>
      <c r="K65"/>
      <c r="L65" s="115"/>
    </row>
    <row r="66" spans="2:12" s="26" customFormat="1" x14ac:dyDescent="0.25">
      <c r="B66"/>
      <c r="C66"/>
      <c r="D66"/>
      <c r="E66"/>
      <c r="F66"/>
      <c r="G66"/>
      <c r="H66"/>
      <c r="I66"/>
      <c r="J66"/>
      <c r="K66"/>
      <c r="L66" s="115"/>
    </row>
    <row r="67" spans="2:12" s="26" customFormat="1" x14ac:dyDescent="0.25">
      <c r="B67"/>
      <c r="C67"/>
      <c r="D67"/>
      <c r="E67"/>
      <c r="F67"/>
      <c r="G67"/>
      <c r="H67"/>
      <c r="I67"/>
      <c r="J67"/>
      <c r="K67"/>
      <c r="L67" s="115"/>
    </row>
    <row r="68" spans="2:12" s="26" customFormat="1" x14ac:dyDescent="0.25">
      <c r="B68"/>
      <c r="C68"/>
      <c r="D68"/>
      <c r="E68"/>
      <c r="F68"/>
      <c r="G68"/>
      <c r="H68"/>
      <c r="I68"/>
      <c r="J68"/>
      <c r="K68"/>
      <c r="L68" s="115"/>
    </row>
    <row r="69" spans="2:12" s="26" customFormat="1" x14ac:dyDescent="0.25">
      <c r="B69"/>
      <c r="C69"/>
      <c r="D69"/>
      <c r="E69"/>
      <c r="F69"/>
      <c r="G69"/>
      <c r="H69"/>
      <c r="I69"/>
      <c r="J69"/>
      <c r="K69"/>
      <c r="L69" s="115"/>
    </row>
    <row r="70" spans="2:12" s="26" customFormat="1" x14ac:dyDescent="0.25">
      <c r="B70"/>
      <c r="C70"/>
      <c r="D70"/>
      <c r="E70"/>
      <c r="F70"/>
      <c r="G70"/>
      <c r="H70"/>
      <c r="I70"/>
      <c r="J70"/>
      <c r="K70"/>
      <c r="L70" s="115"/>
    </row>
    <row r="71" spans="2:12" s="26" customFormat="1" x14ac:dyDescent="0.25">
      <c r="B71"/>
      <c r="C71"/>
      <c r="D71"/>
      <c r="E71"/>
      <c r="F71"/>
      <c r="G71"/>
      <c r="H71"/>
      <c r="I71"/>
      <c r="J71"/>
      <c r="K71"/>
      <c r="L71" s="115"/>
    </row>
    <row r="72" spans="2:12" s="26" customFormat="1" x14ac:dyDescent="0.25">
      <c r="B72"/>
      <c r="C72"/>
      <c r="D72"/>
      <c r="E72"/>
      <c r="F72"/>
      <c r="G72"/>
      <c r="H72"/>
      <c r="I72"/>
      <c r="J72"/>
      <c r="K72"/>
      <c r="L72" s="115"/>
    </row>
    <row r="73" spans="2:12" s="26" customFormat="1" x14ac:dyDescent="0.25">
      <c r="B73"/>
      <c r="C73"/>
      <c r="D73"/>
      <c r="E73"/>
      <c r="F73"/>
      <c r="G73"/>
      <c r="H73"/>
      <c r="I73"/>
      <c r="J73"/>
      <c r="K73"/>
      <c r="L73" s="115"/>
    </row>
    <row r="74" spans="2:12" s="26" customFormat="1" x14ac:dyDescent="0.25">
      <c r="B74"/>
      <c r="C74"/>
      <c r="D74"/>
      <c r="E74"/>
      <c r="F74"/>
      <c r="G74"/>
      <c r="H74"/>
      <c r="I74"/>
      <c r="J74"/>
      <c r="K74"/>
      <c r="L74" s="115"/>
    </row>
    <row r="75" spans="2:12" s="26" customFormat="1" x14ac:dyDescent="0.25">
      <c r="B75"/>
      <c r="C75"/>
      <c r="D75"/>
      <c r="E75"/>
      <c r="F75"/>
      <c r="G75"/>
      <c r="H75"/>
      <c r="I75"/>
      <c r="J75"/>
      <c r="K75"/>
      <c r="L75" s="115"/>
    </row>
    <row r="76" spans="2:12" s="26" customFormat="1" x14ac:dyDescent="0.25">
      <c r="B76"/>
      <c r="C76"/>
      <c r="D76"/>
      <c r="E76"/>
      <c r="F76"/>
      <c r="G76"/>
      <c r="H76"/>
      <c r="I76"/>
      <c r="J76"/>
      <c r="K76"/>
      <c r="L76" s="115"/>
    </row>
    <row r="77" spans="2:12" s="26" customFormat="1" x14ac:dyDescent="0.25">
      <c r="B77"/>
      <c r="C77"/>
      <c r="D77"/>
      <c r="E77"/>
      <c r="F77"/>
      <c r="G77"/>
      <c r="H77"/>
      <c r="I77"/>
      <c r="J77"/>
      <c r="K77"/>
      <c r="L77" s="115"/>
    </row>
    <row r="78" spans="2:12" s="26" customFormat="1" x14ac:dyDescent="0.25">
      <c r="B78"/>
      <c r="C78"/>
      <c r="D78"/>
      <c r="E78"/>
      <c r="F78"/>
      <c r="G78"/>
      <c r="H78"/>
      <c r="I78"/>
      <c r="J78"/>
      <c r="K78"/>
      <c r="L78" s="115"/>
    </row>
    <row r="79" spans="2:12" s="26" customFormat="1" x14ac:dyDescent="0.25">
      <c r="B79"/>
      <c r="C79"/>
      <c r="D79"/>
      <c r="E79"/>
      <c r="F79"/>
      <c r="G79"/>
      <c r="H79"/>
      <c r="I79"/>
      <c r="J79"/>
      <c r="K79"/>
      <c r="L79" s="115"/>
    </row>
    <row r="80" spans="2:12" s="26" customFormat="1" x14ac:dyDescent="0.25">
      <c r="B80"/>
      <c r="C80"/>
      <c r="D80"/>
      <c r="E80"/>
      <c r="F80"/>
      <c r="G80"/>
      <c r="H80"/>
      <c r="I80"/>
      <c r="J80"/>
      <c r="K80"/>
      <c r="L80" s="115"/>
    </row>
    <row r="81" spans="2:12" s="26" customFormat="1" x14ac:dyDescent="0.25">
      <c r="B81"/>
      <c r="C81"/>
      <c r="D81"/>
      <c r="E81"/>
      <c r="F81"/>
      <c r="G81"/>
      <c r="H81"/>
      <c r="I81"/>
      <c r="J81"/>
      <c r="K81"/>
      <c r="L81" s="115"/>
    </row>
    <row r="82" spans="2:12" s="26" customFormat="1" x14ac:dyDescent="0.25">
      <c r="B82"/>
      <c r="C82"/>
      <c r="D82"/>
      <c r="E82"/>
      <c r="F82"/>
      <c r="G82"/>
      <c r="H82"/>
      <c r="I82"/>
      <c r="J82"/>
      <c r="K82"/>
      <c r="L82" s="115"/>
    </row>
    <row r="83" spans="2:12" s="26" customFormat="1" x14ac:dyDescent="0.25">
      <c r="B83"/>
      <c r="C83"/>
      <c r="D83"/>
      <c r="E83"/>
      <c r="F83"/>
      <c r="G83"/>
      <c r="H83"/>
      <c r="I83"/>
      <c r="J83"/>
      <c r="K83"/>
      <c r="L83" s="115"/>
    </row>
    <row r="84" spans="2:12" s="26" customFormat="1" x14ac:dyDescent="0.25">
      <c r="B84"/>
      <c r="C84"/>
      <c r="D84"/>
      <c r="E84"/>
      <c r="F84"/>
      <c r="G84"/>
      <c r="H84"/>
      <c r="I84"/>
      <c r="J84"/>
      <c r="K84"/>
      <c r="L84" s="115"/>
    </row>
    <row r="85" spans="2:12" s="26" customFormat="1" x14ac:dyDescent="0.25">
      <c r="B85"/>
      <c r="C85"/>
      <c r="D85"/>
      <c r="E85"/>
      <c r="F85"/>
      <c r="G85"/>
      <c r="H85"/>
      <c r="I85"/>
      <c r="J85"/>
      <c r="K85"/>
      <c r="L85" s="115"/>
    </row>
    <row r="86" spans="2:12" s="26" customFormat="1" x14ac:dyDescent="0.25">
      <c r="B86"/>
      <c r="D86"/>
      <c r="L86" s="145"/>
    </row>
    <row r="87" spans="2:12" s="26" customFormat="1" x14ac:dyDescent="0.25">
      <c r="B87"/>
      <c r="D87"/>
      <c r="L87" s="145"/>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B2:U125"/>
  <sheetViews>
    <sheetView showGridLines="0" topLeftCell="F6" workbookViewId="0">
      <selection activeCell="L11" sqref="L11"/>
    </sheetView>
  </sheetViews>
  <sheetFormatPr defaultRowHeight="15" x14ac:dyDescent="0.25"/>
  <cols>
    <col min="2" max="2" width="21.140625" customWidth="1"/>
    <col min="3" max="3" width="22.85546875" customWidth="1"/>
    <col min="4" max="4" width="22" customWidth="1"/>
    <col min="5" max="5" width="19.42578125" customWidth="1"/>
    <col min="6" max="6" width="17.5703125" style="5" customWidth="1"/>
    <col min="7" max="7" width="19" customWidth="1"/>
    <col min="8" max="8" width="15.42578125" customWidth="1"/>
    <col min="9" max="9" width="18.28515625" customWidth="1"/>
    <col min="10" max="10" width="13.85546875" customWidth="1"/>
    <col min="11" max="11" width="22.42578125" bestFit="1" customWidth="1"/>
    <col min="14" max="14" width="18.42578125" customWidth="1"/>
    <col min="15" max="15" width="24" customWidth="1"/>
    <col min="16" max="16" width="18" customWidth="1"/>
    <col min="17" max="17" width="42" customWidth="1"/>
    <col min="18" max="18" width="20.28515625" customWidth="1"/>
    <col min="19" max="19" width="14.7109375" customWidth="1"/>
    <col min="20" max="20" width="11.7109375" customWidth="1"/>
    <col min="21" max="21" width="15.7109375" customWidth="1"/>
  </cols>
  <sheetData>
    <row r="2" spans="2:21" ht="18.75" x14ac:dyDescent="0.3">
      <c r="B2" s="213" t="s">
        <v>1178</v>
      </c>
    </row>
    <row r="3" spans="2:21" x14ac:dyDescent="0.25">
      <c r="B3" s="214" t="s">
        <v>1175</v>
      </c>
    </row>
    <row r="4" spans="2:21" x14ac:dyDescent="0.25">
      <c r="B4" s="52" t="s">
        <v>1068</v>
      </c>
      <c r="C4" t="s">
        <v>68</v>
      </c>
    </row>
    <row r="5" spans="2:21" x14ac:dyDescent="0.25">
      <c r="B5" s="52" t="s">
        <v>69</v>
      </c>
      <c r="C5" t="s">
        <v>62</v>
      </c>
    </row>
    <row r="6" spans="2:21" x14ac:dyDescent="0.25">
      <c r="B6" s="52" t="s">
        <v>8</v>
      </c>
      <c r="C6" t="s">
        <v>68</v>
      </c>
    </row>
    <row r="7" spans="2:21" x14ac:dyDescent="0.25">
      <c r="F7"/>
    </row>
    <row r="8" spans="2:21" ht="18.75" x14ac:dyDescent="0.25">
      <c r="B8" s="52" t="s">
        <v>0</v>
      </c>
      <c r="C8" s="52" t="s">
        <v>1066</v>
      </c>
      <c r="D8" s="52" t="s">
        <v>1</v>
      </c>
      <c r="E8" s="52" t="s">
        <v>368</v>
      </c>
      <c r="F8" s="52" t="s">
        <v>2</v>
      </c>
      <c r="G8" s="52" t="s">
        <v>70</v>
      </c>
      <c r="H8" s="52" t="s">
        <v>24</v>
      </c>
      <c r="I8" s="52" t="s">
        <v>6</v>
      </c>
      <c r="J8" s="52" t="s">
        <v>42</v>
      </c>
      <c r="K8" t="s">
        <v>1072</v>
      </c>
      <c r="N8" s="165" t="s">
        <v>1100</v>
      </c>
    </row>
    <row r="9" spans="2:21" ht="15.75" thickBot="1" x14ac:dyDescent="0.3">
      <c r="B9" s="5" t="s">
        <v>1082</v>
      </c>
      <c r="C9" t="s">
        <v>1073</v>
      </c>
      <c r="D9" t="s">
        <v>1084</v>
      </c>
      <c r="E9" t="s">
        <v>911</v>
      </c>
      <c r="F9" t="s">
        <v>1083</v>
      </c>
      <c r="G9" t="s">
        <v>1085</v>
      </c>
      <c r="H9" t="s">
        <v>1086</v>
      </c>
      <c r="I9" t="s">
        <v>1080</v>
      </c>
      <c r="J9" t="s">
        <v>1081</v>
      </c>
      <c r="K9" s="21">
        <v>6376307.2000000002</v>
      </c>
    </row>
    <row r="10" spans="2:21" ht="30.75" thickBot="1" x14ac:dyDescent="0.3">
      <c r="B10" s="5" t="s">
        <v>1087</v>
      </c>
      <c r="C10" t="s">
        <v>1074</v>
      </c>
      <c r="D10" t="s">
        <v>1089</v>
      </c>
      <c r="E10" t="s">
        <v>1163</v>
      </c>
      <c r="F10" t="s">
        <v>1083</v>
      </c>
      <c r="G10" t="s">
        <v>1136</v>
      </c>
      <c r="H10" t="s">
        <v>1194</v>
      </c>
      <c r="I10" t="s">
        <v>1161</v>
      </c>
      <c r="J10" t="s">
        <v>1162</v>
      </c>
      <c r="K10" s="21">
        <v>325.5</v>
      </c>
      <c r="N10" s="65" t="s">
        <v>0</v>
      </c>
      <c r="O10" s="65" t="s">
        <v>1066</v>
      </c>
      <c r="P10" s="65" t="s">
        <v>2</v>
      </c>
      <c r="Q10" s="65" t="s">
        <v>1</v>
      </c>
      <c r="R10" s="65" t="s">
        <v>6</v>
      </c>
      <c r="S10" s="65" t="s">
        <v>23</v>
      </c>
      <c r="T10" s="65" t="s">
        <v>24</v>
      </c>
      <c r="U10" s="65" t="s">
        <v>1069</v>
      </c>
    </row>
    <row r="11" spans="2:21" ht="94.5" x14ac:dyDescent="0.25">
      <c r="B11" s="5" t="s">
        <v>1087</v>
      </c>
      <c r="C11" t="s">
        <v>1075</v>
      </c>
      <c r="D11" t="s">
        <v>1090</v>
      </c>
      <c r="E11" t="s">
        <v>1163</v>
      </c>
      <c r="F11" t="s">
        <v>1083</v>
      </c>
      <c r="G11" t="s">
        <v>1136</v>
      </c>
      <c r="H11" t="s">
        <v>1194</v>
      </c>
      <c r="I11" t="s">
        <v>1156</v>
      </c>
      <c r="J11" t="s">
        <v>1157</v>
      </c>
      <c r="K11" s="21">
        <v>19399.5</v>
      </c>
      <c r="N11" s="194" t="s">
        <v>1082</v>
      </c>
      <c r="O11" s="195" t="s">
        <v>1073</v>
      </c>
      <c r="P11" s="197" t="s">
        <v>1083</v>
      </c>
      <c r="Q11" s="197" t="s">
        <v>1084</v>
      </c>
      <c r="R11" s="194" t="s">
        <v>1080</v>
      </c>
      <c r="S11" s="195" t="s">
        <v>1085</v>
      </c>
      <c r="T11" s="196" t="s">
        <v>1086</v>
      </c>
      <c r="U11" s="132">
        <v>6376307.2000000002</v>
      </c>
    </row>
    <row r="12" spans="2:21" ht="47.25" x14ac:dyDescent="0.25">
      <c r="B12" s="5" t="s">
        <v>1087</v>
      </c>
      <c r="C12" t="s">
        <v>1076</v>
      </c>
      <c r="D12" t="s">
        <v>1091</v>
      </c>
      <c r="E12" t="s">
        <v>1163</v>
      </c>
      <c r="F12" t="s">
        <v>1083</v>
      </c>
      <c r="G12" t="s">
        <v>1136</v>
      </c>
      <c r="H12" t="s">
        <v>1194</v>
      </c>
      <c r="I12" t="s">
        <v>1155</v>
      </c>
      <c r="J12" t="s">
        <v>1154</v>
      </c>
      <c r="K12" s="21">
        <v>10780.3</v>
      </c>
      <c r="N12" s="194" t="s">
        <v>1087</v>
      </c>
      <c r="O12" s="195" t="s">
        <v>1074</v>
      </c>
      <c r="P12" s="197" t="s">
        <v>1083</v>
      </c>
      <c r="Q12" s="197" t="s">
        <v>1612</v>
      </c>
      <c r="R12" s="194" t="s">
        <v>1161</v>
      </c>
      <c r="S12" s="195" t="s">
        <v>1136</v>
      </c>
      <c r="T12" s="196" t="s">
        <v>1194</v>
      </c>
      <c r="U12" s="132">
        <v>325.5</v>
      </c>
    </row>
    <row r="13" spans="2:21" ht="47.25" x14ac:dyDescent="0.25">
      <c r="B13" s="5" t="s">
        <v>1092</v>
      </c>
      <c r="C13" t="s">
        <v>1077</v>
      </c>
      <c r="D13" t="s">
        <v>1094</v>
      </c>
      <c r="E13" t="s">
        <v>1163</v>
      </c>
      <c r="F13" t="s">
        <v>1083</v>
      </c>
      <c r="G13" t="s">
        <v>1191</v>
      </c>
      <c r="H13" t="s">
        <v>1192</v>
      </c>
      <c r="I13" t="s">
        <v>827</v>
      </c>
      <c r="J13" t="s">
        <v>832</v>
      </c>
      <c r="K13" s="21">
        <v>521187.45</v>
      </c>
      <c r="N13" s="194" t="s">
        <v>1087</v>
      </c>
      <c r="O13" s="195" t="s">
        <v>1075</v>
      </c>
      <c r="P13" s="197" t="s">
        <v>1083</v>
      </c>
      <c r="Q13" s="197" t="s">
        <v>1613</v>
      </c>
      <c r="R13" s="194" t="s">
        <v>1156</v>
      </c>
      <c r="S13" s="195" t="s">
        <v>1136</v>
      </c>
      <c r="T13" s="196" t="s">
        <v>1194</v>
      </c>
      <c r="U13" s="132">
        <v>19399.5</v>
      </c>
    </row>
    <row r="14" spans="2:21" ht="31.5" x14ac:dyDescent="0.25">
      <c r="B14" s="5" t="s">
        <v>1092</v>
      </c>
      <c r="C14" t="s">
        <v>1166</v>
      </c>
      <c r="D14" t="s">
        <v>1195</v>
      </c>
      <c r="E14" t="s">
        <v>1163</v>
      </c>
      <c r="F14" t="s">
        <v>1083</v>
      </c>
      <c r="G14" t="s">
        <v>1191</v>
      </c>
      <c r="H14" t="s">
        <v>1192</v>
      </c>
      <c r="I14" t="s">
        <v>1196</v>
      </c>
      <c r="J14" t="s">
        <v>1193</v>
      </c>
      <c r="K14" s="21">
        <v>937756.06</v>
      </c>
      <c r="N14" s="194" t="s">
        <v>1087</v>
      </c>
      <c r="O14" s="195" t="s">
        <v>1076</v>
      </c>
      <c r="P14" s="197" t="s">
        <v>1083</v>
      </c>
      <c r="Q14" s="197" t="s">
        <v>1614</v>
      </c>
      <c r="R14" s="194" t="s">
        <v>1155</v>
      </c>
      <c r="S14" s="195" t="s">
        <v>1136</v>
      </c>
      <c r="T14" s="196" t="s">
        <v>1194</v>
      </c>
      <c r="U14" s="132">
        <v>10780.3</v>
      </c>
    </row>
    <row r="15" spans="2:21" ht="63" x14ac:dyDescent="0.25">
      <c r="B15" s="5" t="s">
        <v>1366</v>
      </c>
      <c r="C15" t="s">
        <v>1364</v>
      </c>
      <c r="D15" t="s">
        <v>1610</v>
      </c>
      <c r="E15" t="s">
        <v>1163</v>
      </c>
      <c r="F15" t="s">
        <v>1083</v>
      </c>
      <c r="G15" s="76">
        <v>45875</v>
      </c>
      <c r="H15" s="76">
        <v>46240</v>
      </c>
      <c r="I15" t="s">
        <v>1369</v>
      </c>
      <c r="J15" t="s">
        <v>1370</v>
      </c>
      <c r="K15" s="21">
        <v>7748400</v>
      </c>
      <c r="N15" s="194" t="s">
        <v>1092</v>
      </c>
      <c r="O15" s="195" t="s">
        <v>1077</v>
      </c>
      <c r="P15" s="197" t="s">
        <v>1083</v>
      </c>
      <c r="Q15" s="197" t="s">
        <v>1094</v>
      </c>
      <c r="R15" s="194" t="s">
        <v>827</v>
      </c>
      <c r="S15" s="195" t="s">
        <v>1191</v>
      </c>
      <c r="T15" s="196" t="s">
        <v>1192</v>
      </c>
      <c r="U15" s="132">
        <v>521187.45</v>
      </c>
    </row>
    <row r="16" spans="2:21" ht="63" x14ac:dyDescent="0.25">
      <c r="B16" s="5" t="s">
        <v>1463</v>
      </c>
      <c r="C16" t="s">
        <v>1465</v>
      </c>
      <c r="D16" t="s">
        <v>1466</v>
      </c>
      <c r="E16" t="s">
        <v>388</v>
      </c>
      <c r="F16" t="s">
        <v>1083</v>
      </c>
      <c r="G16" s="76">
        <v>45951</v>
      </c>
      <c r="H16" s="76">
        <v>46316</v>
      </c>
      <c r="I16" t="s">
        <v>1468</v>
      </c>
      <c r="J16" t="s">
        <v>1469</v>
      </c>
      <c r="K16" s="21">
        <v>1123000</v>
      </c>
      <c r="N16" s="194" t="s">
        <v>1092</v>
      </c>
      <c r="O16" s="195" t="s">
        <v>1166</v>
      </c>
      <c r="P16" s="197" t="s">
        <v>1083</v>
      </c>
      <c r="Q16" s="197" t="s">
        <v>1195</v>
      </c>
      <c r="R16" s="194" t="s">
        <v>1196</v>
      </c>
      <c r="S16" s="195" t="s">
        <v>1191</v>
      </c>
      <c r="T16" s="196" t="s">
        <v>1192</v>
      </c>
      <c r="U16" s="132">
        <v>937756.06</v>
      </c>
    </row>
    <row r="17" spans="2:21" ht="126" x14ac:dyDescent="0.25">
      <c r="F17"/>
      <c r="N17" s="194" t="s">
        <v>1366</v>
      </c>
      <c r="O17" s="195" t="s">
        <v>1364</v>
      </c>
      <c r="P17" s="197" t="s">
        <v>1083</v>
      </c>
      <c r="Q17" s="197" t="s">
        <v>1365</v>
      </c>
      <c r="R17" s="194" t="s">
        <v>1369</v>
      </c>
      <c r="S17" s="195" t="s">
        <v>1462</v>
      </c>
      <c r="T17" s="196" t="s">
        <v>1368</v>
      </c>
      <c r="U17" s="132">
        <v>7748400</v>
      </c>
    </row>
    <row r="18" spans="2:21" ht="141.75" x14ac:dyDescent="0.25">
      <c r="F18"/>
      <c r="N18" s="194" t="s">
        <v>1463</v>
      </c>
      <c r="O18" s="195" t="s">
        <v>1465</v>
      </c>
      <c r="P18" s="197" t="s">
        <v>1083</v>
      </c>
      <c r="Q18" s="197" t="s">
        <v>1611</v>
      </c>
      <c r="R18" s="194" t="s">
        <v>1468</v>
      </c>
      <c r="S18" s="195">
        <v>45951</v>
      </c>
      <c r="T18" s="196">
        <v>46316</v>
      </c>
      <c r="U18" s="132">
        <v>1123000</v>
      </c>
    </row>
    <row r="19" spans="2:21" x14ac:dyDescent="0.25">
      <c r="F19"/>
    </row>
    <row r="20" spans="2:21" x14ac:dyDescent="0.25">
      <c r="F20"/>
    </row>
    <row r="21" spans="2:21" x14ac:dyDescent="0.25">
      <c r="F21"/>
    </row>
    <row r="22" spans="2:21" s="40" customFormat="1" x14ac:dyDescent="0.25">
      <c r="B22"/>
      <c r="C22"/>
      <c r="D22"/>
      <c r="E22"/>
      <c r="F22"/>
      <c r="G22"/>
      <c r="H22"/>
      <c r="I22"/>
      <c r="J22"/>
      <c r="K22"/>
    </row>
    <row r="23" spans="2:21" x14ac:dyDescent="0.25">
      <c r="F23"/>
    </row>
    <row r="24" spans="2:21" x14ac:dyDescent="0.25">
      <c r="F24"/>
    </row>
    <row r="25" spans="2:21" x14ac:dyDescent="0.25">
      <c r="F25"/>
    </row>
    <row r="26" spans="2:21" x14ac:dyDescent="0.25">
      <c r="F26"/>
    </row>
    <row r="27" spans="2:21" x14ac:dyDescent="0.25">
      <c r="F27"/>
    </row>
    <row r="28" spans="2:21" x14ac:dyDescent="0.25">
      <c r="F28"/>
    </row>
    <row r="29" spans="2:21" x14ac:dyDescent="0.25">
      <c r="F29"/>
    </row>
    <row r="30" spans="2:21" x14ac:dyDescent="0.25">
      <c r="F30"/>
    </row>
    <row r="31" spans="2:21" x14ac:dyDescent="0.25">
      <c r="F31"/>
    </row>
    <row r="32" spans="2:21" x14ac:dyDescent="0.25">
      <c r="F32"/>
    </row>
    <row r="33" spans="2:11" s="40" customFormat="1" x14ac:dyDescent="0.25">
      <c r="B33"/>
      <c r="C33"/>
      <c r="D33"/>
      <c r="E33"/>
      <c r="F33"/>
      <c r="G33"/>
      <c r="H33"/>
      <c r="I33"/>
      <c r="J33"/>
      <c r="K33"/>
    </row>
    <row r="34" spans="2:11" s="40" customFormat="1" x14ac:dyDescent="0.25">
      <c r="B34"/>
      <c r="C34"/>
      <c r="D34"/>
      <c r="E34"/>
      <c r="F34"/>
      <c r="G34"/>
      <c r="H34"/>
      <c r="I34"/>
      <c r="J34"/>
      <c r="K34"/>
    </row>
    <row r="35" spans="2:11" s="40" customFormat="1" x14ac:dyDescent="0.25">
      <c r="B35"/>
      <c r="C35"/>
      <c r="D35"/>
      <c r="E35"/>
      <c r="F35"/>
      <c r="G35"/>
      <c r="H35"/>
      <c r="I35"/>
      <c r="J35"/>
      <c r="K35"/>
    </row>
    <row r="36" spans="2:11" s="40" customFormat="1" x14ac:dyDescent="0.25">
      <c r="B36"/>
      <c r="C36"/>
      <c r="D36"/>
      <c r="E36"/>
      <c r="F36"/>
      <c r="G36"/>
      <c r="H36"/>
      <c r="I36"/>
      <c r="J36"/>
      <c r="K36"/>
    </row>
    <row r="37" spans="2:11" x14ac:dyDescent="0.25">
      <c r="F37"/>
    </row>
    <row r="38" spans="2:11" x14ac:dyDescent="0.25">
      <c r="F38"/>
    </row>
    <row r="39" spans="2:11" x14ac:dyDescent="0.25">
      <c r="F39"/>
    </row>
    <row r="40" spans="2:11" x14ac:dyDescent="0.25">
      <c r="F40"/>
    </row>
    <row r="41" spans="2:11" x14ac:dyDescent="0.25">
      <c r="F41"/>
    </row>
    <row r="42" spans="2:11" x14ac:dyDescent="0.25">
      <c r="F42"/>
    </row>
    <row r="43" spans="2:11" x14ac:dyDescent="0.25">
      <c r="F43"/>
    </row>
    <row r="44" spans="2:11" x14ac:dyDescent="0.25">
      <c r="F44"/>
    </row>
    <row r="45" spans="2:11" x14ac:dyDescent="0.25">
      <c r="F45"/>
    </row>
    <row r="46" spans="2:11" x14ac:dyDescent="0.25">
      <c r="F46"/>
    </row>
    <row r="47" spans="2:11" x14ac:dyDescent="0.25">
      <c r="F47"/>
    </row>
    <row r="48" spans="2:11" x14ac:dyDescent="0.25">
      <c r="F48"/>
    </row>
    <row r="49" spans="6:6" x14ac:dyDescent="0.25">
      <c r="F49"/>
    </row>
    <row r="50" spans="6:6" x14ac:dyDescent="0.25">
      <c r="F50"/>
    </row>
    <row r="51" spans="6:6" x14ac:dyDescent="0.25">
      <c r="F51"/>
    </row>
    <row r="52" spans="6:6" x14ac:dyDescent="0.25">
      <c r="F52"/>
    </row>
    <row r="53" spans="6:6" x14ac:dyDescent="0.25">
      <c r="F53"/>
    </row>
    <row r="54" spans="6:6" x14ac:dyDescent="0.25">
      <c r="F54"/>
    </row>
    <row r="55" spans="6:6" x14ac:dyDescent="0.25">
      <c r="F55"/>
    </row>
    <row r="56" spans="6:6" x14ac:dyDescent="0.25">
      <c r="F56"/>
    </row>
    <row r="57" spans="6:6" x14ac:dyDescent="0.25">
      <c r="F57"/>
    </row>
    <row r="58" spans="6:6" x14ac:dyDescent="0.25">
      <c r="F58"/>
    </row>
    <row r="59" spans="6:6" x14ac:dyDescent="0.25">
      <c r="F59"/>
    </row>
    <row r="60" spans="6:6" x14ac:dyDescent="0.25">
      <c r="F60"/>
    </row>
    <row r="61" spans="6:6" x14ac:dyDescent="0.25">
      <c r="F61"/>
    </row>
    <row r="62" spans="6:6" x14ac:dyDescent="0.25">
      <c r="F62"/>
    </row>
    <row r="63" spans="6:6" x14ac:dyDescent="0.25">
      <c r="F63"/>
    </row>
    <row r="64" spans="6:6" x14ac:dyDescent="0.25">
      <c r="F64"/>
    </row>
    <row r="65" spans="6:6" x14ac:dyDescent="0.25">
      <c r="F65"/>
    </row>
    <row r="66" spans="6:6" x14ac:dyDescent="0.25">
      <c r="F66"/>
    </row>
    <row r="67" spans="6:6" x14ac:dyDescent="0.25">
      <c r="F67"/>
    </row>
    <row r="68" spans="6:6" x14ac:dyDescent="0.25">
      <c r="F68"/>
    </row>
    <row r="69" spans="6:6" x14ac:dyDescent="0.25">
      <c r="F69"/>
    </row>
    <row r="70" spans="6:6" x14ac:dyDescent="0.25">
      <c r="F70"/>
    </row>
    <row r="71" spans="6:6" x14ac:dyDescent="0.25">
      <c r="F71"/>
    </row>
    <row r="72" spans="6:6" x14ac:dyDescent="0.25">
      <c r="F72"/>
    </row>
    <row r="73" spans="6:6" x14ac:dyDescent="0.25">
      <c r="F73"/>
    </row>
    <row r="74" spans="6:6" x14ac:dyDescent="0.25">
      <c r="F74"/>
    </row>
    <row r="75" spans="6:6" x14ac:dyDescent="0.25">
      <c r="F75"/>
    </row>
    <row r="76" spans="6:6" x14ac:dyDescent="0.25">
      <c r="F76"/>
    </row>
    <row r="77" spans="6:6" x14ac:dyDescent="0.25">
      <c r="F77"/>
    </row>
    <row r="78" spans="6:6" x14ac:dyDescent="0.25">
      <c r="F78"/>
    </row>
    <row r="79" spans="6:6" x14ac:dyDescent="0.25">
      <c r="F79"/>
    </row>
    <row r="80" spans="6:6" x14ac:dyDescent="0.25">
      <c r="F80"/>
    </row>
    <row r="81" spans="6:6" x14ac:dyDescent="0.25">
      <c r="F81"/>
    </row>
    <row r="82" spans="6:6" x14ac:dyDescent="0.25">
      <c r="F82"/>
    </row>
    <row r="83" spans="6:6" x14ac:dyDescent="0.25">
      <c r="F83"/>
    </row>
    <row r="84" spans="6:6" x14ac:dyDescent="0.25">
      <c r="F84"/>
    </row>
    <row r="85" spans="6:6" x14ac:dyDescent="0.25">
      <c r="F85"/>
    </row>
    <row r="86" spans="6:6" x14ac:dyDescent="0.25">
      <c r="F86"/>
    </row>
    <row r="87" spans="6:6" x14ac:dyDescent="0.25">
      <c r="F87"/>
    </row>
    <row r="88" spans="6:6" x14ac:dyDescent="0.25">
      <c r="F88"/>
    </row>
    <row r="89" spans="6:6" x14ac:dyDescent="0.25">
      <c r="F89"/>
    </row>
    <row r="90" spans="6:6" x14ac:dyDescent="0.25">
      <c r="F90"/>
    </row>
    <row r="91" spans="6:6" x14ac:dyDescent="0.25">
      <c r="F91"/>
    </row>
    <row r="92" spans="6:6" x14ac:dyDescent="0.25">
      <c r="F92"/>
    </row>
    <row r="93" spans="6:6" x14ac:dyDescent="0.25">
      <c r="F93"/>
    </row>
    <row r="94" spans="6:6" x14ac:dyDescent="0.25">
      <c r="F94"/>
    </row>
    <row r="95" spans="6:6" x14ac:dyDescent="0.25">
      <c r="F95"/>
    </row>
    <row r="96" spans="6:6" x14ac:dyDescent="0.25">
      <c r="F96"/>
    </row>
    <row r="97" spans="6:6" x14ac:dyDescent="0.25">
      <c r="F97"/>
    </row>
    <row r="98" spans="6:6" x14ac:dyDescent="0.25">
      <c r="F98"/>
    </row>
    <row r="99" spans="6:6" x14ac:dyDescent="0.25">
      <c r="F99"/>
    </row>
    <row r="100" spans="6:6" x14ac:dyDescent="0.25">
      <c r="F100"/>
    </row>
    <row r="101" spans="6:6" x14ac:dyDescent="0.25">
      <c r="F101"/>
    </row>
    <row r="102" spans="6:6" x14ac:dyDescent="0.25">
      <c r="F102"/>
    </row>
    <row r="103" spans="6:6" x14ac:dyDescent="0.25">
      <c r="F103"/>
    </row>
    <row r="104" spans="6:6" x14ac:dyDescent="0.25">
      <c r="F104"/>
    </row>
    <row r="105" spans="6:6" x14ac:dyDescent="0.25">
      <c r="F105"/>
    </row>
    <row r="106" spans="6:6" x14ac:dyDescent="0.25">
      <c r="F106"/>
    </row>
    <row r="107" spans="6:6" x14ac:dyDescent="0.25">
      <c r="F107"/>
    </row>
    <row r="108" spans="6:6" x14ac:dyDescent="0.25">
      <c r="F108"/>
    </row>
    <row r="109" spans="6:6" x14ac:dyDescent="0.25">
      <c r="F109"/>
    </row>
    <row r="110" spans="6:6" x14ac:dyDescent="0.25">
      <c r="F110"/>
    </row>
    <row r="111" spans="6:6" x14ac:dyDescent="0.25">
      <c r="F111"/>
    </row>
    <row r="112" spans="6:6" x14ac:dyDescent="0.25">
      <c r="F112"/>
    </row>
    <row r="113" spans="6:6" x14ac:dyDescent="0.25">
      <c r="F113"/>
    </row>
    <row r="114" spans="6:6" x14ac:dyDescent="0.25">
      <c r="F114"/>
    </row>
    <row r="115" spans="6:6" x14ac:dyDescent="0.25">
      <c r="F115"/>
    </row>
    <row r="116" spans="6:6" x14ac:dyDescent="0.25">
      <c r="F116"/>
    </row>
    <row r="117" spans="6:6" x14ac:dyDescent="0.25">
      <c r="F117"/>
    </row>
    <row r="118" spans="6:6" x14ac:dyDescent="0.25">
      <c r="F118"/>
    </row>
    <row r="119" spans="6:6" x14ac:dyDescent="0.25">
      <c r="F119"/>
    </row>
    <row r="120" spans="6:6" x14ac:dyDescent="0.25">
      <c r="F120"/>
    </row>
    <row r="121" spans="6:6" x14ac:dyDescent="0.25">
      <c r="F121"/>
    </row>
    <row r="122" spans="6:6" x14ac:dyDescent="0.25">
      <c r="F122"/>
    </row>
    <row r="123" spans="6:6" x14ac:dyDescent="0.25">
      <c r="F123"/>
    </row>
    <row r="124" spans="6:6" x14ac:dyDescent="0.25">
      <c r="F124"/>
    </row>
    <row r="125" spans="6:6" x14ac:dyDescent="0.25">
      <c r="F125"/>
    </row>
  </sheetData>
  <pageMargins left="0.511811024" right="0.511811024" top="0.78740157499999996" bottom="0.78740157499999996" header="0.31496062000000002" footer="0.31496062000000002"/>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O109"/>
  <sheetViews>
    <sheetView showGridLines="0" topLeftCell="A8" zoomScale="85" zoomScaleNormal="85" workbookViewId="0">
      <selection activeCell="D21" sqref="A19:D21"/>
    </sheetView>
  </sheetViews>
  <sheetFormatPr defaultRowHeight="15" x14ac:dyDescent="0.25"/>
  <cols>
    <col min="1" max="1" width="5" customWidth="1"/>
    <col min="2" max="2" width="18.85546875" style="26" customWidth="1"/>
    <col min="3" max="3" width="19.28515625" style="26" customWidth="1"/>
    <col min="4" max="4" width="19.140625" style="26" bestFit="1" customWidth="1"/>
    <col min="5" max="5" width="35.140625" style="26" customWidth="1"/>
    <col min="6" max="6" width="52.5703125" style="26" customWidth="1"/>
    <col min="7" max="7" width="15.28515625" style="26" customWidth="1"/>
    <col min="8" max="8" width="10.85546875" style="26" bestFit="1" customWidth="1"/>
    <col min="9" max="9" width="15.7109375" style="26" customWidth="1"/>
    <col min="10" max="10" width="18.5703125" style="26" customWidth="1"/>
    <col min="11" max="11" width="24.28515625" style="26" customWidth="1"/>
    <col min="12" max="12" width="40.7109375" style="26" customWidth="1"/>
    <col min="13" max="15" width="255.7109375" style="26" customWidth="1"/>
    <col min="16" max="16" width="47.42578125" customWidth="1"/>
    <col min="17" max="17" width="56.85546875" customWidth="1"/>
  </cols>
  <sheetData>
    <row r="1" spans="1:15" x14ac:dyDescent="0.25">
      <c r="C1"/>
      <c r="D1"/>
      <c r="E1"/>
      <c r="F1"/>
      <c r="G1"/>
      <c r="H1"/>
      <c r="I1"/>
      <c r="J1"/>
      <c r="K1"/>
      <c r="L1"/>
      <c r="M1"/>
      <c r="N1"/>
      <c r="O1"/>
    </row>
    <row r="2" spans="1:15" ht="15.75" x14ac:dyDescent="0.25">
      <c r="B2" s="51"/>
      <c r="C2"/>
      <c r="D2"/>
      <c r="E2"/>
      <c r="F2"/>
      <c r="G2"/>
      <c r="H2"/>
      <c r="I2"/>
      <c r="J2"/>
      <c r="K2"/>
      <c r="L2"/>
      <c r="M2"/>
      <c r="N2"/>
      <c r="O2"/>
    </row>
    <row r="3" spans="1:15" ht="31.5" x14ac:dyDescent="0.5">
      <c r="B3" s="47" t="s">
        <v>1177</v>
      </c>
      <c r="C3"/>
      <c r="D3"/>
      <c r="E3"/>
      <c r="F3"/>
      <c r="G3"/>
      <c r="H3"/>
      <c r="I3"/>
      <c r="J3"/>
      <c r="K3"/>
      <c r="L3"/>
      <c r="M3"/>
      <c r="N3"/>
      <c r="O3"/>
    </row>
    <row r="4" spans="1:15" x14ac:dyDescent="0.25">
      <c r="B4"/>
      <c r="C4"/>
      <c r="D4"/>
      <c r="E4"/>
      <c r="F4"/>
      <c r="G4"/>
      <c r="H4"/>
      <c r="I4"/>
      <c r="J4"/>
      <c r="K4"/>
      <c r="L4"/>
      <c r="M4"/>
      <c r="N4"/>
      <c r="O4"/>
    </row>
    <row r="5" spans="1:15" ht="32.25" thickBot="1" x14ac:dyDescent="0.3">
      <c r="B5" s="58" t="s">
        <v>0</v>
      </c>
      <c r="C5" s="59" t="s">
        <v>2</v>
      </c>
      <c r="D5" s="59" t="s">
        <v>1066</v>
      </c>
      <c r="E5" s="59" t="s">
        <v>6</v>
      </c>
      <c r="F5" s="59" t="s">
        <v>1</v>
      </c>
      <c r="G5" s="59" t="s">
        <v>462</v>
      </c>
      <c r="H5" s="59" t="s">
        <v>23</v>
      </c>
      <c r="I5" s="59" t="s">
        <v>24</v>
      </c>
      <c r="J5" s="60" t="s">
        <v>1069</v>
      </c>
      <c r="K5"/>
      <c r="L5"/>
      <c r="M5"/>
      <c r="N5"/>
      <c r="O5"/>
    </row>
    <row r="6" spans="1:15" s="41" customFormat="1" ht="75.75" thickBot="1" x14ac:dyDescent="0.3">
      <c r="A6" s="41">
        <v>1</v>
      </c>
      <c r="B6" s="43" t="s">
        <v>1082</v>
      </c>
      <c r="C6" s="48" t="s">
        <v>1083</v>
      </c>
      <c r="D6" s="44" t="s">
        <v>1073</v>
      </c>
      <c r="E6" s="44" t="s">
        <v>1080</v>
      </c>
      <c r="F6" s="44" t="s">
        <v>1084</v>
      </c>
      <c r="G6" s="44" t="s">
        <v>911</v>
      </c>
      <c r="H6" s="45" t="s">
        <v>1085</v>
      </c>
      <c r="I6" s="45" t="s">
        <v>1086</v>
      </c>
      <c r="J6" s="46">
        <v>6376307.2000000002</v>
      </c>
      <c r="K6" s="41" t="str">
        <f t="shared" ref="K6:K11" si="0">CONCATENATE(A6,".",D6,," ","-"," ",E6)</f>
        <v>1.TLB-ARP-2025/00002 - BRASOFTWARE INFORMATICA LTDA</v>
      </c>
    </row>
    <row r="7" spans="1:15" s="41" customFormat="1" ht="30.75" thickBot="1" x14ac:dyDescent="0.3">
      <c r="A7" s="41">
        <v>2</v>
      </c>
      <c r="B7" s="43" t="s">
        <v>1087</v>
      </c>
      <c r="C7" s="48" t="s">
        <v>1083</v>
      </c>
      <c r="D7" s="44" t="s">
        <v>1074</v>
      </c>
      <c r="E7" s="44" t="s">
        <v>1161</v>
      </c>
      <c r="F7" s="44" t="s">
        <v>1089</v>
      </c>
      <c r="G7" s="44" t="s">
        <v>1163</v>
      </c>
      <c r="H7" s="45" t="s">
        <v>1136</v>
      </c>
      <c r="I7" s="45" t="s">
        <v>1159</v>
      </c>
      <c r="J7" s="46">
        <v>325.5</v>
      </c>
      <c r="K7" s="41" t="str">
        <f t="shared" si="0"/>
        <v>2.TLB-ARP-2025/00003 - CREATIVE THINGS COMÉRCIO E DISTRIBUIÇÃO LTDA</v>
      </c>
    </row>
    <row r="8" spans="1:15" s="41" customFormat="1" ht="30.75" thickBot="1" x14ac:dyDescent="0.3">
      <c r="A8" s="41">
        <v>3</v>
      </c>
      <c r="B8" s="43" t="s">
        <v>1087</v>
      </c>
      <c r="C8" s="48" t="s">
        <v>1083</v>
      </c>
      <c r="D8" s="44" t="s">
        <v>1075</v>
      </c>
      <c r="E8" s="44" t="s">
        <v>1156</v>
      </c>
      <c r="F8" s="44" t="s">
        <v>1090</v>
      </c>
      <c r="G8" s="44" t="s">
        <v>1163</v>
      </c>
      <c r="H8" s="45" t="s">
        <v>1136</v>
      </c>
      <c r="I8" s="45" t="s">
        <v>1159</v>
      </c>
      <c r="J8" s="46">
        <v>19399.5</v>
      </c>
      <c r="K8" s="41" t="str">
        <f t="shared" si="0"/>
        <v>3.TLB-ARP-2025/00004 - ASG BROTHERS LICITAÇÕES &amp; COMERCIAL    LTDA,</v>
      </c>
    </row>
    <row r="9" spans="1:15" s="41" customFormat="1" ht="30.75" thickBot="1" x14ac:dyDescent="0.3">
      <c r="A9" s="41">
        <v>4</v>
      </c>
      <c r="B9" s="43" t="s">
        <v>1087</v>
      </c>
      <c r="C9" s="48" t="s">
        <v>1083</v>
      </c>
      <c r="D9" s="44" t="s">
        <v>1076</v>
      </c>
      <c r="E9" s="44" t="s">
        <v>1155</v>
      </c>
      <c r="F9" s="44" t="s">
        <v>1091</v>
      </c>
      <c r="G9" s="44" t="s">
        <v>1163</v>
      </c>
      <c r="H9" s="45" t="s">
        <v>1136</v>
      </c>
      <c r="I9" s="45" t="s">
        <v>1159</v>
      </c>
      <c r="J9" s="46">
        <v>10780.3</v>
      </c>
      <c r="K9" s="41" t="str">
        <f t="shared" si="0"/>
        <v>4.TLB-ARP-2025/00005 - GUARDA VIDA EPI  EIRELI</v>
      </c>
    </row>
    <row r="10" spans="1:15" s="41" customFormat="1" ht="45.75" thickBot="1" x14ac:dyDescent="0.3">
      <c r="A10" s="41">
        <v>5</v>
      </c>
      <c r="B10" s="43" t="s">
        <v>1092</v>
      </c>
      <c r="C10" s="48" t="s">
        <v>1083</v>
      </c>
      <c r="D10" s="44" t="s">
        <v>1077</v>
      </c>
      <c r="E10" s="44" t="s">
        <v>827</v>
      </c>
      <c r="F10" s="44" t="s">
        <v>1094</v>
      </c>
      <c r="G10" s="44" t="s">
        <v>1163</v>
      </c>
      <c r="H10" s="45" t="s">
        <v>1191</v>
      </c>
      <c r="I10" s="45" t="s">
        <v>1192</v>
      </c>
      <c r="J10" s="46">
        <v>521187.45</v>
      </c>
      <c r="K10" s="41" t="str">
        <f t="shared" si="0"/>
        <v>5.TLB-ARP-2025/00006 - CLEMAR ENGENHARIA LTDA</v>
      </c>
    </row>
    <row r="11" spans="1:15" s="41" customFormat="1" ht="45.75" thickBot="1" x14ac:dyDescent="0.3">
      <c r="A11" s="41">
        <v>6</v>
      </c>
      <c r="B11" s="43" t="s">
        <v>1092</v>
      </c>
      <c r="C11" s="48" t="s">
        <v>1083</v>
      </c>
      <c r="D11" s="44" t="s">
        <v>1166</v>
      </c>
      <c r="E11" s="44" t="s">
        <v>1196</v>
      </c>
      <c r="F11" s="44" t="s">
        <v>1195</v>
      </c>
      <c r="G11" s="44" t="s">
        <v>1163</v>
      </c>
      <c r="H11" s="45" t="s">
        <v>1191</v>
      </c>
      <c r="I11" s="45" t="s">
        <v>1192</v>
      </c>
      <c r="J11" s="46">
        <v>937756.06</v>
      </c>
      <c r="K11" s="41" t="str">
        <f t="shared" si="0"/>
        <v>6.TLB-ARP-2025/00008 - OTTONI SERVIÇO DE ENGENHARIA LTDA</v>
      </c>
    </row>
    <row r="12" spans="1:15" s="41" customFormat="1" ht="90.75" thickBot="1" x14ac:dyDescent="0.3">
      <c r="A12" s="41">
        <v>7</v>
      </c>
      <c r="B12" s="43" t="s">
        <v>1366</v>
      </c>
      <c r="C12" s="48" t="s">
        <v>1083</v>
      </c>
      <c r="D12" s="44" t="s">
        <v>1364</v>
      </c>
      <c r="E12" s="44" t="s">
        <v>1369</v>
      </c>
      <c r="F12" s="44" t="s">
        <v>1365</v>
      </c>
      <c r="G12" s="44" t="s">
        <v>1163</v>
      </c>
      <c r="H12" s="45">
        <v>45875</v>
      </c>
      <c r="I12" s="45">
        <v>46240</v>
      </c>
      <c r="J12" s="46">
        <v>7748400</v>
      </c>
      <c r="K12" s="41" t="str">
        <f t="shared" ref="K12:K13" si="1">CONCATENATE(A12,".",D12,," ","-"," ",E12)</f>
        <v>7.TLB-ARP-2025/00010 - NTSEC SOLUÇÕES EM TELEINFORMÁTICA LTDA</v>
      </c>
    </row>
    <row r="13" spans="1:15" s="41" customFormat="1" ht="105.75" thickBot="1" x14ac:dyDescent="0.3">
      <c r="A13" s="41">
        <v>8</v>
      </c>
      <c r="B13" s="43" t="s">
        <v>1463</v>
      </c>
      <c r="C13" s="48" t="s">
        <v>1083</v>
      </c>
      <c r="D13" s="44" t="s">
        <v>1465</v>
      </c>
      <c r="E13" s="44" t="s">
        <v>1468</v>
      </c>
      <c r="F13" s="44" t="s">
        <v>1466</v>
      </c>
      <c r="G13" s="44" t="s">
        <v>388</v>
      </c>
      <c r="H13" s="45">
        <v>45966</v>
      </c>
      <c r="I13" s="45">
        <v>46392</v>
      </c>
      <c r="J13" s="46">
        <v>1123000</v>
      </c>
      <c r="K13" s="41" t="str">
        <f t="shared" si="1"/>
        <v>8.TLB-ARP-2025/00011 - PLANEJE TECNOLOGIA E SERVIÇOS LTDA</v>
      </c>
      <c r="N13" s="42"/>
      <c r="O13" s="42"/>
    </row>
    <row r="14" spans="1:15" s="41" customFormat="1" ht="15.75" x14ac:dyDescent="0.25">
      <c r="B14" s="68" t="s">
        <v>65</v>
      </c>
      <c r="C14" s="69"/>
      <c r="D14" s="68">
        <f>SUBTOTAL(103,Tabela14[Nº ARP])</f>
        <v>8</v>
      </c>
      <c r="E14" s="68"/>
      <c r="F14" s="68"/>
      <c r="G14" s="68"/>
      <c r="H14" s="68"/>
      <c r="I14" s="68"/>
      <c r="J14" s="70">
        <f>SUBTOTAL(109,Tabela14[VALOR DA ARP])</f>
        <v>16737156.01</v>
      </c>
      <c r="N14" s="42"/>
      <c r="O14" s="42"/>
    </row>
    <row r="15" spans="1:15" x14ac:dyDescent="0.25">
      <c r="B15"/>
      <c r="C15"/>
      <c r="D15"/>
      <c r="E15"/>
      <c r="F15"/>
      <c r="G15"/>
      <c r="H15"/>
      <c r="I15"/>
      <c r="J15"/>
    </row>
    <row r="16" spans="1:15" x14ac:dyDescent="0.25">
      <c r="B16"/>
      <c r="C16"/>
      <c r="D16"/>
      <c r="E16"/>
      <c r="F16"/>
      <c r="G16"/>
      <c r="H16"/>
      <c r="I16"/>
      <c r="J16"/>
    </row>
    <row r="17" spans="1:10" x14ac:dyDescent="0.25">
      <c r="B17"/>
      <c r="C17"/>
      <c r="D17"/>
      <c r="E17"/>
      <c r="F17"/>
      <c r="G17"/>
      <c r="H17"/>
      <c r="I17"/>
      <c r="J17"/>
    </row>
    <row r="18" spans="1:10" x14ac:dyDescent="0.25">
      <c r="B18"/>
      <c r="C18"/>
      <c r="D18"/>
      <c r="E18"/>
      <c r="F18"/>
      <c r="G18"/>
      <c r="H18"/>
      <c r="I18"/>
      <c r="J18"/>
    </row>
    <row r="19" spans="1:10" x14ac:dyDescent="0.25">
      <c r="B19"/>
      <c r="C19"/>
      <c r="D19"/>
      <c r="E19"/>
      <c r="F19"/>
      <c r="G19"/>
      <c r="H19"/>
      <c r="I19"/>
      <c r="J19"/>
    </row>
    <row r="20" spans="1:10" x14ac:dyDescent="0.25">
      <c r="B20"/>
      <c r="C20"/>
      <c r="D20"/>
      <c r="E20"/>
      <c r="F20"/>
      <c r="G20"/>
      <c r="H20"/>
      <c r="I20"/>
      <c r="J20"/>
    </row>
    <row r="21" spans="1:10" x14ac:dyDescent="0.25">
      <c r="B21"/>
      <c r="C21"/>
      <c r="D21"/>
      <c r="E21"/>
      <c r="F21"/>
      <c r="G21"/>
      <c r="H21"/>
      <c r="I21"/>
      <c r="J21"/>
    </row>
    <row r="22" spans="1:10" x14ac:dyDescent="0.25">
      <c r="B22"/>
      <c r="C22"/>
      <c r="D22"/>
      <c r="E22"/>
      <c r="F22"/>
      <c r="G22"/>
      <c r="H22"/>
      <c r="I22"/>
      <c r="J22"/>
    </row>
    <row r="23" spans="1:10" x14ac:dyDescent="0.25">
      <c r="B23"/>
      <c r="C23"/>
      <c r="D23"/>
      <c r="E23"/>
      <c r="F23"/>
      <c r="G23"/>
      <c r="H23"/>
      <c r="I23"/>
      <c r="J23"/>
    </row>
    <row r="24" spans="1:10" x14ac:dyDescent="0.25">
      <c r="B24"/>
      <c r="C24"/>
      <c r="D24"/>
      <c r="E24"/>
      <c r="F24"/>
      <c r="G24"/>
      <c r="H24"/>
      <c r="I24"/>
      <c r="J24"/>
    </row>
    <row r="25" spans="1:10" x14ac:dyDescent="0.25">
      <c r="B25"/>
      <c r="C25"/>
      <c r="D25"/>
      <c r="E25"/>
      <c r="F25"/>
      <c r="G25"/>
      <c r="H25"/>
      <c r="I25"/>
      <c r="J25"/>
    </row>
    <row r="26" spans="1:10" x14ac:dyDescent="0.25">
      <c r="B26"/>
      <c r="C26"/>
      <c r="D26"/>
      <c r="E26"/>
      <c r="F26"/>
      <c r="G26"/>
      <c r="H26"/>
      <c r="I26"/>
      <c r="J26"/>
    </row>
    <row r="27" spans="1:10" s="26" customFormat="1" x14ac:dyDescent="0.25">
      <c r="A27"/>
      <c r="B27"/>
      <c r="C27"/>
      <c r="D27"/>
      <c r="E27"/>
      <c r="F27"/>
      <c r="G27"/>
      <c r="H27"/>
      <c r="I27"/>
      <c r="J27"/>
    </row>
    <row r="28" spans="1:10" s="26" customFormat="1" x14ac:dyDescent="0.25">
      <c r="A28"/>
      <c r="B28"/>
      <c r="C28"/>
      <c r="D28"/>
      <c r="E28"/>
      <c r="F28"/>
      <c r="G28"/>
      <c r="H28"/>
      <c r="I28"/>
      <c r="J28"/>
    </row>
    <row r="29" spans="1:10" s="26" customFormat="1" x14ac:dyDescent="0.25">
      <c r="A29"/>
      <c r="B29"/>
      <c r="C29"/>
      <c r="D29"/>
      <c r="E29"/>
      <c r="F29"/>
      <c r="G29"/>
      <c r="H29"/>
      <c r="I29"/>
      <c r="J29"/>
    </row>
    <row r="30" spans="1:10" s="26" customFormat="1" x14ac:dyDescent="0.25">
      <c r="A30"/>
      <c r="B30"/>
      <c r="C30"/>
      <c r="D30"/>
      <c r="E30"/>
      <c r="F30"/>
      <c r="G30"/>
      <c r="H30"/>
      <c r="I30"/>
      <c r="J30"/>
    </row>
    <row r="31" spans="1:10" s="26" customFormat="1" x14ac:dyDescent="0.25">
      <c r="A31"/>
      <c r="B31"/>
      <c r="C31"/>
      <c r="D31"/>
      <c r="E31"/>
      <c r="F31"/>
      <c r="G31"/>
      <c r="H31"/>
      <c r="I31"/>
      <c r="J31"/>
    </row>
    <row r="32" spans="1:10" s="26" customFormat="1" x14ac:dyDescent="0.25">
      <c r="A32"/>
      <c r="B32"/>
      <c r="C32"/>
      <c r="D32"/>
      <c r="E32"/>
      <c r="F32"/>
      <c r="G32"/>
      <c r="H32"/>
      <c r="I32"/>
      <c r="J32"/>
    </row>
    <row r="33" spans="1:10" s="26" customFormat="1" x14ac:dyDescent="0.25">
      <c r="A33"/>
      <c r="B33"/>
      <c r="C33"/>
      <c r="D33"/>
      <c r="E33"/>
      <c r="F33"/>
      <c r="G33"/>
      <c r="H33"/>
      <c r="I33"/>
      <c r="J33"/>
    </row>
    <row r="34" spans="1:10" s="26" customFormat="1" x14ac:dyDescent="0.25">
      <c r="A34"/>
      <c r="B34"/>
      <c r="C34"/>
      <c r="D34"/>
      <c r="E34"/>
      <c r="F34"/>
      <c r="G34"/>
      <c r="H34"/>
      <c r="I34"/>
      <c r="J34"/>
    </row>
    <row r="35" spans="1:10" s="26" customFormat="1" x14ac:dyDescent="0.25">
      <c r="A35"/>
      <c r="B35"/>
      <c r="C35"/>
      <c r="D35"/>
      <c r="E35"/>
      <c r="F35"/>
      <c r="G35"/>
      <c r="H35"/>
      <c r="I35"/>
      <c r="J35"/>
    </row>
    <row r="36" spans="1:10" s="26" customFormat="1" x14ac:dyDescent="0.25">
      <c r="A36"/>
      <c r="B36"/>
      <c r="C36"/>
      <c r="D36"/>
      <c r="E36"/>
      <c r="F36"/>
      <c r="G36"/>
      <c r="H36"/>
      <c r="I36"/>
      <c r="J36"/>
    </row>
    <row r="37" spans="1:10" s="26" customFormat="1" x14ac:dyDescent="0.25">
      <c r="A37"/>
      <c r="B37"/>
      <c r="C37"/>
      <c r="D37"/>
      <c r="E37"/>
      <c r="F37"/>
      <c r="G37"/>
      <c r="H37"/>
      <c r="I37"/>
      <c r="J37"/>
    </row>
    <row r="38" spans="1:10" s="26" customFormat="1" x14ac:dyDescent="0.25">
      <c r="A38"/>
      <c r="B38"/>
      <c r="C38"/>
      <c r="D38"/>
      <c r="E38"/>
      <c r="F38"/>
      <c r="G38"/>
      <c r="H38"/>
      <c r="I38"/>
      <c r="J38"/>
    </row>
    <row r="39" spans="1:10" s="26" customFormat="1" x14ac:dyDescent="0.25">
      <c r="A39"/>
      <c r="B39"/>
      <c r="C39"/>
      <c r="D39"/>
      <c r="E39"/>
      <c r="F39"/>
      <c r="G39"/>
      <c r="H39"/>
      <c r="I39"/>
      <c r="J39"/>
    </row>
    <row r="40" spans="1:10" s="26" customFormat="1" x14ac:dyDescent="0.25">
      <c r="A40"/>
      <c r="B40"/>
      <c r="C40"/>
      <c r="D40"/>
      <c r="E40"/>
      <c r="F40"/>
      <c r="G40"/>
      <c r="H40"/>
      <c r="I40"/>
      <c r="J40"/>
    </row>
    <row r="41" spans="1:10" s="26" customFormat="1" x14ac:dyDescent="0.25">
      <c r="A41"/>
      <c r="B41"/>
      <c r="C41"/>
      <c r="D41"/>
      <c r="E41"/>
      <c r="F41"/>
      <c r="G41"/>
      <c r="H41"/>
      <c r="I41"/>
      <c r="J41"/>
    </row>
    <row r="42" spans="1:10" s="26" customFormat="1" x14ac:dyDescent="0.25">
      <c r="A42"/>
      <c r="B42"/>
      <c r="C42"/>
      <c r="D42"/>
      <c r="E42"/>
      <c r="F42"/>
      <c r="G42"/>
      <c r="H42"/>
      <c r="I42"/>
      <c r="J42"/>
    </row>
    <row r="43" spans="1:10" s="26" customFormat="1" x14ac:dyDescent="0.25">
      <c r="A43"/>
      <c r="B43"/>
      <c r="C43"/>
      <c r="D43"/>
      <c r="E43"/>
      <c r="F43"/>
      <c r="G43"/>
      <c r="H43"/>
      <c r="I43"/>
      <c r="J43"/>
    </row>
    <row r="44" spans="1:10" s="26" customFormat="1" x14ac:dyDescent="0.25">
      <c r="A44"/>
      <c r="B44"/>
      <c r="C44"/>
      <c r="D44"/>
      <c r="E44"/>
      <c r="F44"/>
      <c r="G44"/>
      <c r="H44"/>
      <c r="I44"/>
      <c r="J44"/>
    </row>
    <row r="45" spans="1:10" s="26" customFormat="1" x14ac:dyDescent="0.25">
      <c r="A45"/>
      <c r="B45"/>
      <c r="C45"/>
      <c r="D45"/>
      <c r="E45"/>
      <c r="F45"/>
      <c r="G45"/>
      <c r="H45"/>
      <c r="I45"/>
      <c r="J45"/>
    </row>
    <row r="46" spans="1:10" s="26" customFormat="1" x14ac:dyDescent="0.25">
      <c r="A46"/>
      <c r="B46"/>
      <c r="C46"/>
      <c r="D46"/>
      <c r="E46"/>
      <c r="F46"/>
      <c r="G46"/>
      <c r="H46"/>
      <c r="I46"/>
      <c r="J46"/>
    </row>
    <row r="47" spans="1:10" s="26" customFormat="1" x14ac:dyDescent="0.25">
      <c r="A47"/>
      <c r="B47"/>
      <c r="C47"/>
      <c r="D47"/>
      <c r="E47"/>
      <c r="F47"/>
      <c r="G47"/>
      <c r="H47"/>
      <c r="I47"/>
      <c r="J47"/>
    </row>
    <row r="48" spans="1:10" s="26" customFormat="1" x14ac:dyDescent="0.25">
      <c r="A48"/>
      <c r="B48"/>
      <c r="C48"/>
      <c r="D48"/>
      <c r="E48"/>
      <c r="F48"/>
      <c r="G48"/>
      <c r="H48"/>
      <c r="I48"/>
      <c r="J48"/>
    </row>
    <row r="49" spans="1:10" s="26" customFormat="1" x14ac:dyDescent="0.25">
      <c r="A49"/>
      <c r="B49"/>
      <c r="C49"/>
      <c r="D49"/>
      <c r="E49"/>
      <c r="F49"/>
      <c r="G49"/>
      <c r="H49"/>
      <c r="I49"/>
      <c r="J49"/>
    </row>
    <row r="50" spans="1:10" s="26" customFormat="1" x14ac:dyDescent="0.25">
      <c r="A50"/>
      <c r="B50"/>
      <c r="C50"/>
      <c r="D50"/>
      <c r="E50"/>
      <c r="F50"/>
      <c r="G50"/>
      <c r="H50"/>
      <c r="I50"/>
      <c r="J50"/>
    </row>
    <row r="51" spans="1:10" s="26" customFormat="1" x14ac:dyDescent="0.25">
      <c r="A51"/>
      <c r="B51"/>
      <c r="C51"/>
      <c r="D51"/>
      <c r="E51"/>
      <c r="F51"/>
      <c r="G51"/>
      <c r="H51"/>
      <c r="I51"/>
      <c r="J51"/>
    </row>
    <row r="52" spans="1:10" s="26" customFormat="1" x14ac:dyDescent="0.25">
      <c r="A52"/>
      <c r="B52"/>
      <c r="C52"/>
      <c r="D52"/>
      <c r="E52"/>
      <c r="F52"/>
      <c r="G52"/>
      <c r="H52"/>
      <c r="I52"/>
      <c r="J52"/>
    </row>
    <row r="53" spans="1:10" s="26" customFormat="1" x14ac:dyDescent="0.25">
      <c r="A53"/>
      <c r="B53"/>
      <c r="C53"/>
      <c r="D53"/>
      <c r="E53"/>
      <c r="F53"/>
      <c r="G53"/>
      <c r="H53"/>
      <c r="I53"/>
      <c r="J53"/>
    </row>
    <row r="54" spans="1:10" s="26" customFormat="1" x14ac:dyDescent="0.25">
      <c r="A54"/>
      <c r="B54"/>
      <c r="C54"/>
      <c r="D54"/>
      <c r="E54"/>
      <c r="F54"/>
      <c r="G54"/>
      <c r="H54"/>
      <c r="I54"/>
      <c r="J54"/>
    </row>
    <row r="55" spans="1:10" s="26" customFormat="1" x14ac:dyDescent="0.25">
      <c r="A55"/>
      <c r="B55"/>
      <c r="C55"/>
      <c r="D55"/>
      <c r="E55"/>
      <c r="F55"/>
      <c r="G55"/>
      <c r="H55"/>
      <c r="I55"/>
      <c r="J55"/>
    </row>
    <row r="56" spans="1:10" s="26" customFormat="1" x14ac:dyDescent="0.25">
      <c r="A56"/>
      <c r="B56"/>
      <c r="C56"/>
      <c r="D56"/>
      <c r="E56"/>
      <c r="F56"/>
      <c r="G56"/>
      <c r="H56"/>
      <c r="I56"/>
      <c r="J56"/>
    </row>
    <row r="57" spans="1:10" s="26" customFormat="1" x14ac:dyDescent="0.25">
      <c r="A57"/>
      <c r="B57"/>
      <c r="C57"/>
      <c r="D57"/>
      <c r="E57"/>
      <c r="F57"/>
      <c r="G57"/>
      <c r="H57"/>
      <c r="I57"/>
      <c r="J57"/>
    </row>
    <row r="58" spans="1:10" s="26" customFormat="1" x14ac:dyDescent="0.25">
      <c r="A58"/>
      <c r="B58"/>
      <c r="C58"/>
      <c r="D58"/>
      <c r="E58"/>
      <c r="F58"/>
      <c r="G58"/>
      <c r="H58"/>
      <c r="I58"/>
      <c r="J58"/>
    </row>
    <row r="59" spans="1:10" s="26" customFormat="1" x14ac:dyDescent="0.25">
      <c r="A59"/>
      <c r="B59"/>
      <c r="C59"/>
      <c r="D59"/>
      <c r="E59"/>
      <c r="F59"/>
      <c r="G59"/>
      <c r="H59"/>
      <c r="I59"/>
      <c r="J59"/>
    </row>
    <row r="60" spans="1:10" s="26" customFormat="1" x14ac:dyDescent="0.25">
      <c r="A60"/>
      <c r="B60"/>
      <c r="C60"/>
      <c r="D60"/>
      <c r="E60"/>
      <c r="F60"/>
      <c r="G60"/>
      <c r="H60"/>
      <c r="I60"/>
      <c r="J60"/>
    </row>
    <row r="61" spans="1:10" s="26" customFormat="1" x14ac:dyDescent="0.25">
      <c r="A61"/>
      <c r="B61"/>
      <c r="C61"/>
      <c r="D61"/>
      <c r="E61"/>
      <c r="F61"/>
      <c r="G61"/>
      <c r="H61"/>
      <c r="I61"/>
      <c r="J61"/>
    </row>
    <row r="62" spans="1:10" s="26" customFormat="1" x14ac:dyDescent="0.25">
      <c r="A62"/>
      <c r="B62"/>
      <c r="C62"/>
      <c r="D62"/>
      <c r="E62"/>
      <c r="F62"/>
      <c r="G62"/>
      <c r="H62"/>
      <c r="I62"/>
      <c r="J62"/>
    </row>
    <row r="63" spans="1:10" s="26" customFormat="1" x14ac:dyDescent="0.25">
      <c r="A63"/>
      <c r="B63"/>
      <c r="C63"/>
      <c r="D63"/>
      <c r="E63"/>
      <c r="F63"/>
      <c r="G63"/>
      <c r="H63"/>
      <c r="I63"/>
      <c r="J63"/>
    </row>
    <row r="64" spans="1:10" s="26" customFormat="1" x14ac:dyDescent="0.25">
      <c r="A64"/>
      <c r="B64"/>
      <c r="C64"/>
      <c r="D64"/>
      <c r="E64"/>
      <c r="F64"/>
      <c r="G64"/>
      <c r="H64"/>
      <c r="I64"/>
      <c r="J64"/>
    </row>
    <row r="65" spans="1:10" s="26" customFormat="1" x14ac:dyDescent="0.25">
      <c r="A65"/>
      <c r="B65"/>
      <c r="C65"/>
      <c r="D65"/>
      <c r="E65"/>
      <c r="F65"/>
      <c r="G65"/>
      <c r="H65"/>
      <c r="I65"/>
      <c r="J65"/>
    </row>
    <row r="66" spans="1:10" s="26" customFormat="1" x14ac:dyDescent="0.25">
      <c r="A66"/>
      <c r="B66"/>
      <c r="C66"/>
      <c r="D66"/>
      <c r="E66"/>
      <c r="F66"/>
      <c r="G66"/>
      <c r="H66"/>
      <c r="I66"/>
      <c r="J66"/>
    </row>
    <row r="67" spans="1:10" s="26" customFormat="1" x14ac:dyDescent="0.25">
      <c r="A67"/>
      <c r="B67"/>
      <c r="C67"/>
      <c r="D67"/>
      <c r="E67"/>
      <c r="F67"/>
      <c r="G67"/>
      <c r="H67"/>
      <c r="I67"/>
      <c r="J67"/>
    </row>
    <row r="68" spans="1:10" s="26" customFormat="1" x14ac:dyDescent="0.25">
      <c r="A68"/>
      <c r="B68"/>
      <c r="C68"/>
      <c r="D68"/>
      <c r="E68"/>
      <c r="F68"/>
      <c r="G68"/>
      <c r="H68"/>
      <c r="I68"/>
      <c r="J68"/>
    </row>
    <row r="69" spans="1:10" s="26" customFormat="1" x14ac:dyDescent="0.25">
      <c r="A69"/>
      <c r="B69"/>
      <c r="C69"/>
      <c r="D69"/>
      <c r="E69"/>
      <c r="F69"/>
      <c r="G69"/>
      <c r="H69"/>
      <c r="I69"/>
      <c r="J69"/>
    </row>
    <row r="70" spans="1:10" s="26" customFormat="1" x14ac:dyDescent="0.25">
      <c r="A70"/>
      <c r="B70"/>
      <c r="C70"/>
      <c r="D70"/>
      <c r="E70"/>
      <c r="F70"/>
      <c r="G70"/>
      <c r="H70"/>
      <c r="I70"/>
      <c r="J70"/>
    </row>
    <row r="71" spans="1:10" s="26" customFormat="1" x14ac:dyDescent="0.25">
      <c r="A71"/>
      <c r="B71"/>
      <c r="C71"/>
      <c r="D71"/>
      <c r="E71"/>
      <c r="F71"/>
      <c r="G71"/>
      <c r="H71"/>
      <c r="I71"/>
      <c r="J71"/>
    </row>
    <row r="72" spans="1:10" s="26" customFormat="1" x14ac:dyDescent="0.25">
      <c r="A72"/>
      <c r="B72"/>
      <c r="C72"/>
      <c r="D72"/>
      <c r="E72"/>
      <c r="F72"/>
      <c r="G72"/>
      <c r="H72"/>
      <c r="I72"/>
      <c r="J72"/>
    </row>
    <row r="73" spans="1:10" s="26" customFormat="1" x14ac:dyDescent="0.25">
      <c r="A73"/>
      <c r="B73"/>
      <c r="C73"/>
      <c r="D73"/>
      <c r="E73"/>
      <c r="F73"/>
      <c r="G73"/>
      <c r="H73"/>
      <c r="I73"/>
      <c r="J73"/>
    </row>
    <row r="74" spans="1:10" s="26" customFormat="1" x14ac:dyDescent="0.25">
      <c r="A74"/>
      <c r="B74"/>
      <c r="C74"/>
      <c r="D74"/>
      <c r="E74"/>
      <c r="F74"/>
      <c r="G74"/>
      <c r="H74"/>
      <c r="I74"/>
      <c r="J74"/>
    </row>
    <row r="75" spans="1:10" s="26" customFormat="1" x14ac:dyDescent="0.25">
      <c r="A75"/>
      <c r="B75"/>
      <c r="C75"/>
      <c r="D75"/>
      <c r="E75"/>
      <c r="F75"/>
      <c r="G75"/>
      <c r="H75"/>
      <c r="I75"/>
      <c r="J75"/>
    </row>
    <row r="76" spans="1:10" s="26" customFormat="1" x14ac:dyDescent="0.25">
      <c r="A76"/>
      <c r="B76"/>
      <c r="C76"/>
      <c r="D76"/>
      <c r="E76"/>
      <c r="F76"/>
      <c r="G76"/>
      <c r="H76"/>
      <c r="I76"/>
      <c r="J76"/>
    </row>
    <row r="77" spans="1:10" s="26" customFormat="1" x14ac:dyDescent="0.25">
      <c r="A77"/>
      <c r="B77"/>
      <c r="C77"/>
      <c r="D77"/>
      <c r="E77"/>
      <c r="F77"/>
      <c r="G77"/>
      <c r="H77"/>
      <c r="I77"/>
      <c r="J77"/>
    </row>
    <row r="78" spans="1:10" s="26" customFormat="1" x14ac:dyDescent="0.25">
      <c r="A78"/>
      <c r="B78"/>
      <c r="C78"/>
      <c r="D78"/>
      <c r="E78"/>
      <c r="F78"/>
      <c r="G78"/>
      <c r="H78"/>
      <c r="I78"/>
      <c r="J78"/>
    </row>
    <row r="79" spans="1:10" s="26" customFormat="1" x14ac:dyDescent="0.25">
      <c r="A79"/>
      <c r="B79"/>
      <c r="C79"/>
      <c r="D79"/>
      <c r="E79"/>
      <c r="F79"/>
      <c r="G79"/>
      <c r="H79"/>
      <c r="I79"/>
      <c r="J79"/>
    </row>
    <row r="80" spans="1:10" s="26" customFormat="1" x14ac:dyDescent="0.25">
      <c r="A80"/>
      <c r="B80"/>
      <c r="C80"/>
      <c r="D80"/>
      <c r="E80"/>
      <c r="F80"/>
      <c r="G80"/>
      <c r="H80"/>
      <c r="I80"/>
      <c r="J80"/>
    </row>
    <row r="81" spans="1:10" s="26" customFormat="1" x14ac:dyDescent="0.25">
      <c r="A81"/>
      <c r="B81"/>
      <c r="C81"/>
      <c r="D81"/>
      <c r="E81"/>
      <c r="F81"/>
      <c r="G81"/>
      <c r="H81"/>
      <c r="I81"/>
      <c r="J81"/>
    </row>
    <row r="82" spans="1:10" s="26" customFormat="1" x14ac:dyDescent="0.25">
      <c r="A82"/>
      <c r="B82"/>
      <c r="C82"/>
      <c r="D82"/>
      <c r="E82"/>
      <c r="F82"/>
      <c r="G82"/>
      <c r="H82"/>
      <c r="I82"/>
      <c r="J82"/>
    </row>
    <row r="83" spans="1:10" s="26" customFormat="1" x14ac:dyDescent="0.25">
      <c r="A83"/>
      <c r="B83"/>
      <c r="C83"/>
      <c r="D83"/>
      <c r="E83"/>
      <c r="F83"/>
      <c r="G83"/>
      <c r="H83"/>
      <c r="I83"/>
      <c r="J83"/>
    </row>
    <row r="84" spans="1:10" s="26" customFormat="1" x14ac:dyDescent="0.25">
      <c r="A84"/>
      <c r="B84"/>
      <c r="C84"/>
      <c r="D84"/>
      <c r="E84"/>
      <c r="F84"/>
      <c r="G84"/>
      <c r="H84"/>
      <c r="I84"/>
      <c r="J84"/>
    </row>
    <row r="85" spans="1:10" s="26" customFormat="1" x14ac:dyDescent="0.25">
      <c r="A85"/>
      <c r="B85"/>
      <c r="C85"/>
      <c r="D85"/>
      <c r="E85"/>
      <c r="F85"/>
      <c r="G85"/>
      <c r="H85"/>
      <c r="I85"/>
      <c r="J85"/>
    </row>
    <row r="86" spans="1:10" s="26" customFormat="1" x14ac:dyDescent="0.25">
      <c r="A86"/>
      <c r="B86"/>
      <c r="C86"/>
      <c r="D86"/>
      <c r="E86"/>
      <c r="F86"/>
      <c r="G86"/>
      <c r="H86"/>
      <c r="I86"/>
      <c r="J86"/>
    </row>
    <row r="87" spans="1:10" s="26" customFormat="1" x14ac:dyDescent="0.25">
      <c r="A87"/>
      <c r="B87"/>
      <c r="C87"/>
      <c r="D87"/>
      <c r="E87"/>
      <c r="F87"/>
      <c r="G87"/>
      <c r="H87"/>
      <c r="I87"/>
      <c r="J87"/>
    </row>
    <row r="88" spans="1:10" s="26" customFormat="1" x14ac:dyDescent="0.25">
      <c r="A88"/>
      <c r="B88"/>
      <c r="C88"/>
      <c r="D88"/>
      <c r="E88"/>
      <c r="F88"/>
      <c r="G88"/>
      <c r="H88"/>
      <c r="I88"/>
      <c r="J88"/>
    </row>
    <row r="89" spans="1:10" s="26" customFormat="1" x14ac:dyDescent="0.25">
      <c r="A89"/>
      <c r="B89"/>
      <c r="C89"/>
      <c r="D89"/>
      <c r="E89"/>
      <c r="F89"/>
      <c r="G89"/>
      <c r="H89"/>
      <c r="I89"/>
      <c r="J89"/>
    </row>
    <row r="90" spans="1:10" s="26" customFormat="1" x14ac:dyDescent="0.25">
      <c r="A90"/>
      <c r="B90"/>
      <c r="C90"/>
      <c r="D90"/>
      <c r="E90"/>
      <c r="F90"/>
      <c r="G90"/>
      <c r="H90"/>
      <c r="I90"/>
      <c r="J90"/>
    </row>
    <row r="91" spans="1:10" s="26" customFormat="1" x14ac:dyDescent="0.25">
      <c r="A91"/>
      <c r="B91"/>
      <c r="C91"/>
      <c r="D91"/>
      <c r="E91"/>
      <c r="F91"/>
      <c r="G91"/>
      <c r="H91"/>
      <c r="I91"/>
      <c r="J91"/>
    </row>
    <row r="92" spans="1:10" s="26" customFormat="1" x14ac:dyDescent="0.25">
      <c r="A92"/>
      <c r="B92"/>
      <c r="C92"/>
      <c r="D92"/>
      <c r="E92"/>
      <c r="F92"/>
      <c r="G92"/>
      <c r="H92"/>
      <c r="I92"/>
      <c r="J92"/>
    </row>
    <row r="93" spans="1:10" s="26" customFormat="1" x14ac:dyDescent="0.25">
      <c r="A93"/>
      <c r="B93"/>
      <c r="C93"/>
      <c r="D93"/>
      <c r="E93"/>
      <c r="F93"/>
      <c r="G93"/>
      <c r="H93"/>
      <c r="I93"/>
      <c r="J93"/>
    </row>
    <row r="94" spans="1:10" s="26" customFormat="1" x14ac:dyDescent="0.25">
      <c r="A94"/>
      <c r="B94"/>
      <c r="C94"/>
      <c r="D94"/>
      <c r="E94"/>
      <c r="F94"/>
      <c r="G94"/>
      <c r="H94"/>
      <c r="I94"/>
      <c r="J94"/>
    </row>
    <row r="95" spans="1:10" s="26" customFormat="1" x14ac:dyDescent="0.25">
      <c r="A95"/>
      <c r="B95"/>
      <c r="C95"/>
      <c r="D95"/>
      <c r="E95"/>
      <c r="F95"/>
      <c r="G95"/>
      <c r="H95"/>
      <c r="I95"/>
      <c r="J95"/>
    </row>
    <row r="96" spans="1:10" s="26" customFormat="1" x14ac:dyDescent="0.25">
      <c r="A96"/>
      <c r="B96"/>
      <c r="C96"/>
      <c r="D96"/>
      <c r="E96"/>
      <c r="F96"/>
      <c r="G96"/>
      <c r="H96"/>
      <c r="I96"/>
      <c r="J96"/>
    </row>
    <row r="97" spans="1:10" s="26" customFormat="1" x14ac:dyDescent="0.25">
      <c r="A97"/>
      <c r="B97"/>
      <c r="C97"/>
      <c r="D97"/>
      <c r="E97"/>
      <c r="F97"/>
      <c r="G97"/>
      <c r="H97"/>
      <c r="I97"/>
      <c r="J97"/>
    </row>
    <row r="98" spans="1:10" s="26" customFormat="1" x14ac:dyDescent="0.25">
      <c r="A98"/>
      <c r="B98"/>
      <c r="C98"/>
      <c r="D98"/>
      <c r="E98"/>
      <c r="F98"/>
      <c r="G98"/>
      <c r="H98"/>
      <c r="I98"/>
      <c r="J98"/>
    </row>
    <row r="99" spans="1:10" s="26" customFormat="1" x14ac:dyDescent="0.25">
      <c r="A99"/>
      <c r="B99"/>
      <c r="C99"/>
      <c r="D99"/>
      <c r="E99"/>
      <c r="F99"/>
      <c r="G99"/>
      <c r="H99"/>
      <c r="I99"/>
      <c r="J99"/>
    </row>
    <row r="100" spans="1:10" s="26" customFormat="1" x14ac:dyDescent="0.25">
      <c r="A100"/>
      <c r="B100"/>
      <c r="C100"/>
      <c r="D100"/>
      <c r="E100"/>
      <c r="F100"/>
      <c r="G100"/>
      <c r="H100"/>
      <c r="I100"/>
      <c r="J100"/>
    </row>
    <row r="101" spans="1:10" s="26" customFormat="1" x14ac:dyDescent="0.25">
      <c r="A101"/>
      <c r="B101"/>
      <c r="C101"/>
      <c r="D101"/>
      <c r="E101"/>
      <c r="F101"/>
      <c r="G101"/>
      <c r="H101"/>
      <c r="I101"/>
      <c r="J101"/>
    </row>
    <row r="102" spans="1:10" s="26" customFormat="1" x14ac:dyDescent="0.25">
      <c r="A102"/>
      <c r="B102"/>
      <c r="C102"/>
      <c r="D102"/>
      <c r="E102"/>
      <c r="F102"/>
      <c r="G102"/>
      <c r="H102"/>
      <c r="I102"/>
      <c r="J102"/>
    </row>
    <row r="103" spans="1:10" s="26" customFormat="1" x14ac:dyDescent="0.25">
      <c r="A103"/>
      <c r="B103"/>
      <c r="C103"/>
      <c r="D103"/>
      <c r="E103"/>
      <c r="F103"/>
      <c r="G103"/>
      <c r="H103"/>
      <c r="I103"/>
      <c r="J103"/>
    </row>
    <row r="104" spans="1:10" s="26" customFormat="1" x14ac:dyDescent="0.25">
      <c r="A104"/>
      <c r="B104"/>
      <c r="C104"/>
      <c r="D104"/>
      <c r="E104"/>
      <c r="F104"/>
      <c r="G104"/>
      <c r="H104"/>
      <c r="I104"/>
      <c r="J104"/>
    </row>
    <row r="105" spans="1:10" s="26" customFormat="1" x14ac:dyDescent="0.25">
      <c r="A105"/>
      <c r="B105"/>
      <c r="C105"/>
      <c r="D105"/>
      <c r="E105"/>
      <c r="F105"/>
      <c r="G105"/>
      <c r="H105"/>
      <c r="I105"/>
      <c r="J105"/>
    </row>
    <row r="106" spans="1:10" s="26" customFormat="1" x14ac:dyDescent="0.25">
      <c r="A106"/>
      <c r="B106"/>
      <c r="C106"/>
      <c r="D106"/>
      <c r="E106"/>
      <c r="F106"/>
      <c r="G106"/>
      <c r="H106"/>
      <c r="I106"/>
      <c r="J106"/>
    </row>
    <row r="107" spans="1:10" s="26" customFormat="1" x14ac:dyDescent="0.25">
      <c r="A107"/>
      <c r="B107"/>
      <c r="C107"/>
      <c r="D107"/>
      <c r="E107"/>
      <c r="F107"/>
      <c r="G107"/>
      <c r="H107"/>
      <c r="I107"/>
      <c r="J107"/>
    </row>
    <row r="108" spans="1:10" s="26" customFormat="1" x14ac:dyDescent="0.25">
      <c r="A108"/>
    </row>
    <row r="109" spans="1:10" s="26" customFormat="1" x14ac:dyDescent="0.25">
      <c r="A109"/>
    </row>
  </sheetData>
  <phoneticPr fontId="33" type="noConversion"/>
  <pageMargins left="0.511811024" right="0.511811024" top="0.78740157499999996" bottom="0.78740157499999996" header="0.31496062000000002" footer="0.31496062000000002"/>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sheetPr>
  <dimension ref="A2:M124"/>
  <sheetViews>
    <sheetView showGridLines="0" workbookViewId="0">
      <selection activeCell="H13" sqref="H13"/>
    </sheetView>
  </sheetViews>
  <sheetFormatPr defaultRowHeight="15" x14ac:dyDescent="0.25"/>
  <cols>
    <col min="1" max="1" width="7.140625" customWidth="1"/>
    <col min="2" max="2" width="20.5703125" customWidth="1"/>
    <col min="3" max="3" width="14.28515625" customWidth="1"/>
    <col min="4" max="4" width="16.140625" customWidth="1"/>
    <col min="5" max="5" width="17.5703125" style="5" customWidth="1"/>
    <col min="6" max="6" width="17.42578125" style="5" customWidth="1"/>
    <col min="7" max="7" width="17.28515625" style="5" customWidth="1"/>
    <col min="8" max="8" width="14.85546875" style="5" customWidth="1"/>
    <col min="9" max="9" width="21.140625" customWidth="1"/>
    <col min="10" max="10" width="18.28515625" style="5" customWidth="1"/>
    <col min="11" max="11" width="13.42578125" style="5" customWidth="1"/>
    <col min="12" max="12" width="14.42578125" style="5" customWidth="1"/>
    <col min="13" max="13" width="15.7109375" customWidth="1"/>
  </cols>
  <sheetData>
    <row r="2" spans="1:13" ht="18.75" x14ac:dyDescent="0.3">
      <c r="B2" s="213" t="s">
        <v>1173</v>
      </c>
    </row>
    <row r="3" spans="1:13" x14ac:dyDescent="0.25">
      <c r="B3" s="214" t="s">
        <v>1175</v>
      </c>
    </row>
    <row r="5" spans="1:13" x14ac:dyDescent="0.25">
      <c r="B5" s="52" t="s">
        <v>93</v>
      </c>
      <c r="C5" s="75">
        <v>2025</v>
      </c>
      <c r="E5"/>
    </row>
    <row r="6" spans="1:13" x14ac:dyDescent="0.25">
      <c r="B6" s="52" t="s">
        <v>8</v>
      </c>
      <c r="C6" t="s">
        <v>68</v>
      </c>
      <c r="E6"/>
    </row>
    <row r="7" spans="1:13" s="40" customFormat="1" x14ac:dyDescent="0.25">
      <c r="A7" s="88"/>
      <c r="B7"/>
      <c r="C7"/>
      <c r="D7"/>
      <c r="E7"/>
      <c r="F7" s="5"/>
      <c r="G7" s="5"/>
      <c r="H7" s="5"/>
      <c r="I7"/>
      <c r="J7" s="5"/>
      <c r="K7" s="5"/>
      <c r="L7" s="72"/>
    </row>
    <row r="8" spans="1:13" s="40" customFormat="1" ht="30" x14ac:dyDescent="0.25">
      <c r="A8" s="88"/>
      <c r="B8" s="322" t="s">
        <v>1273</v>
      </c>
      <c r="C8" s="22" t="s">
        <v>26</v>
      </c>
      <c r="D8" s="22" t="s">
        <v>1</v>
      </c>
      <c r="E8" s="22" t="s">
        <v>6</v>
      </c>
      <c r="F8" s="22" t="s">
        <v>19</v>
      </c>
      <c r="G8" s="22" t="s">
        <v>368</v>
      </c>
      <c r="H8"/>
      <c r="I8"/>
      <c r="J8"/>
      <c r="K8"/>
      <c r="L8"/>
      <c r="M8"/>
    </row>
    <row r="9" spans="1:13" s="89" customFormat="1" x14ac:dyDescent="0.25">
      <c r="A9" s="88"/>
      <c r="B9" t="s">
        <v>1226</v>
      </c>
      <c r="C9" t="s">
        <v>1224</v>
      </c>
      <c r="D9" t="s">
        <v>1019</v>
      </c>
      <c r="E9" t="s">
        <v>1020</v>
      </c>
      <c r="F9" t="s">
        <v>913</v>
      </c>
      <c r="G9" t="s">
        <v>1034</v>
      </c>
      <c r="H9"/>
      <c r="I9"/>
      <c r="J9"/>
      <c r="K9"/>
      <c r="L9"/>
      <c r="M9"/>
    </row>
    <row r="10" spans="1:13" s="89" customFormat="1" x14ac:dyDescent="0.25">
      <c r="A10" s="88"/>
      <c r="B10" t="s">
        <v>1227</v>
      </c>
      <c r="C10" t="s">
        <v>1224</v>
      </c>
      <c r="D10" t="s">
        <v>1030</v>
      </c>
      <c r="E10" t="s">
        <v>1031</v>
      </c>
      <c r="F10" t="s">
        <v>1024</v>
      </c>
      <c r="G10" t="s">
        <v>853</v>
      </c>
      <c r="H10"/>
      <c r="I10"/>
      <c r="J10"/>
      <c r="K10"/>
      <c r="L10"/>
      <c r="M10"/>
    </row>
    <row r="11" spans="1:13" s="89" customFormat="1" x14ac:dyDescent="0.25">
      <c r="A11" s="88"/>
      <c r="B11" t="s">
        <v>1228</v>
      </c>
      <c r="C11" t="s">
        <v>1224</v>
      </c>
      <c r="D11" t="s">
        <v>1388</v>
      </c>
      <c r="E11" t="s">
        <v>839</v>
      </c>
      <c r="F11" t="s">
        <v>1386</v>
      </c>
      <c r="G11" t="s">
        <v>1432</v>
      </c>
      <c r="H11"/>
      <c r="I11"/>
      <c r="J11"/>
      <c r="K11"/>
      <c r="L11"/>
      <c r="M11"/>
    </row>
    <row r="12" spans="1:13" s="89" customFormat="1" x14ac:dyDescent="0.25">
      <c r="A12" s="88"/>
      <c r="B12" t="s">
        <v>1228</v>
      </c>
      <c r="C12" t="s">
        <v>1224</v>
      </c>
      <c r="D12" t="s">
        <v>1491</v>
      </c>
      <c r="E12" t="s">
        <v>1487</v>
      </c>
      <c r="F12" t="s">
        <v>1484</v>
      </c>
      <c r="G12" t="s">
        <v>1034</v>
      </c>
      <c r="H12"/>
      <c r="I12"/>
      <c r="J12"/>
      <c r="K12"/>
      <c r="L12"/>
      <c r="M12"/>
    </row>
    <row r="13" spans="1:13" s="89" customFormat="1" x14ac:dyDescent="0.25">
      <c r="A13" s="88"/>
      <c r="B13" t="s">
        <v>1229</v>
      </c>
      <c r="C13" t="s">
        <v>1224</v>
      </c>
      <c r="D13" t="s">
        <v>1390</v>
      </c>
      <c r="E13" t="s">
        <v>839</v>
      </c>
      <c r="F13" t="s">
        <v>1385</v>
      </c>
      <c r="G13" t="s">
        <v>853</v>
      </c>
      <c r="H13"/>
      <c r="I13"/>
      <c r="J13"/>
      <c r="K13"/>
      <c r="L13"/>
      <c r="M13"/>
    </row>
    <row r="14" spans="1:13" s="89" customFormat="1" x14ac:dyDescent="0.25">
      <c r="A14" s="88"/>
      <c r="B14" t="s">
        <v>1229</v>
      </c>
      <c r="C14" t="s">
        <v>1224</v>
      </c>
      <c r="D14" t="s">
        <v>1490</v>
      </c>
      <c r="E14" t="s">
        <v>1487</v>
      </c>
      <c r="F14" t="s">
        <v>1483</v>
      </c>
      <c r="G14" t="s">
        <v>1486</v>
      </c>
      <c r="H14"/>
      <c r="I14"/>
      <c r="J14"/>
      <c r="K14"/>
      <c r="L14"/>
      <c r="M14"/>
    </row>
    <row r="15" spans="1:13" s="89" customFormat="1" x14ac:dyDescent="0.25">
      <c r="A15" s="88"/>
      <c r="B15" t="s">
        <v>1506</v>
      </c>
      <c r="C15" t="s">
        <v>1224</v>
      </c>
      <c r="D15" t="s">
        <v>1482</v>
      </c>
      <c r="E15" t="s">
        <v>300</v>
      </c>
      <c r="F15" t="s">
        <v>1489</v>
      </c>
      <c r="G15" t="s">
        <v>411</v>
      </c>
      <c r="H15"/>
      <c r="I15"/>
      <c r="J15"/>
      <c r="K15"/>
      <c r="L15"/>
      <c r="M15"/>
    </row>
    <row r="16" spans="1:13" s="89" customFormat="1" x14ac:dyDescent="0.25">
      <c r="A16" s="88"/>
      <c r="B16" t="s">
        <v>1506</v>
      </c>
      <c r="C16" t="s">
        <v>1224</v>
      </c>
      <c r="D16"/>
      <c r="E16" t="s">
        <v>1429</v>
      </c>
      <c r="F16" t="s">
        <v>1478</v>
      </c>
      <c r="G16" t="s">
        <v>411</v>
      </c>
      <c r="H16"/>
      <c r="I16"/>
      <c r="J16"/>
      <c r="K16"/>
      <c r="L16"/>
      <c r="M16"/>
    </row>
    <row r="17" spans="1:13" s="89" customFormat="1" x14ac:dyDescent="0.25">
      <c r="A17" s="88"/>
      <c r="B17"/>
      <c r="C17"/>
      <c r="D17"/>
      <c r="E17"/>
      <c r="F17"/>
      <c r="G17"/>
      <c r="H17"/>
      <c r="I17"/>
      <c r="J17"/>
      <c r="K17" s="5"/>
      <c r="L17" s="5"/>
      <c r="M17"/>
    </row>
    <row r="18" spans="1:13" s="89" customFormat="1" x14ac:dyDescent="0.25">
      <c r="A18" s="88"/>
      <c r="B18"/>
      <c r="C18"/>
      <c r="D18"/>
      <c r="E18"/>
      <c r="F18"/>
      <c r="G18"/>
      <c r="H18"/>
      <c r="I18"/>
      <c r="J18"/>
      <c r="K18" s="5"/>
      <c r="L18" s="5"/>
      <c r="M18"/>
    </row>
    <row r="19" spans="1:13" s="89" customFormat="1" x14ac:dyDescent="0.25">
      <c r="A19" s="88"/>
      <c r="B19"/>
      <c r="C19"/>
      <c r="D19"/>
      <c r="E19"/>
      <c r="F19"/>
      <c r="G19" s="5"/>
      <c r="H19" s="5"/>
      <c r="I19"/>
      <c r="J19" s="5"/>
      <c r="K19" s="5"/>
      <c r="L19" s="5"/>
    </row>
    <row r="20" spans="1:13" s="89" customFormat="1" x14ac:dyDescent="0.25">
      <c r="A20" s="88"/>
      <c r="B20"/>
      <c r="C20"/>
      <c r="D20"/>
      <c r="E20"/>
      <c r="F20"/>
      <c r="G20" s="5"/>
      <c r="H20" s="5"/>
      <c r="I20"/>
      <c r="J20" s="5"/>
      <c r="K20" s="5"/>
      <c r="L20" s="5"/>
    </row>
    <row r="21" spans="1:13" s="89" customFormat="1" x14ac:dyDescent="0.25">
      <c r="A21" s="88"/>
      <c r="B21"/>
      <c r="C21"/>
      <c r="D21"/>
      <c r="E21"/>
      <c r="F21"/>
      <c r="G21" s="5"/>
      <c r="H21" s="5"/>
      <c r="I21"/>
      <c r="J21" s="5"/>
      <c r="K21" s="5"/>
      <c r="L21" s="5"/>
    </row>
    <row r="22" spans="1:13" s="89" customFormat="1" x14ac:dyDescent="0.25">
      <c r="A22" s="88"/>
      <c r="B22"/>
      <c r="C22"/>
      <c r="D22"/>
      <c r="E22"/>
      <c r="F22"/>
      <c r="G22" s="5"/>
      <c r="H22" s="5"/>
      <c r="I22"/>
      <c r="J22" s="5"/>
      <c r="K22" s="5"/>
      <c r="L22" s="5"/>
    </row>
    <row r="23" spans="1:13" s="89" customFormat="1" x14ac:dyDescent="0.25">
      <c r="A23" s="88"/>
      <c r="B23"/>
      <c r="C23"/>
      <c r="D23"/>
      <c r="E23"/>
      <c r="F23"/>
      <c r="G23" s="5"/>
      <c r="H23" s="5"/>
      <c r="I23"/>
      <c r="J23" s="5"/>
      <c r="K23" s="5"/>
      <c r="L23" s="5"/>
    </row>
    <row r="24" spans="1:13" s="89" customFormat="1" x14ac:dyDescent="0.25">
      <c r="A24" s="88"/>
      <c r="B24"/>
      <c r="C24"/>
      <c r="D24"/>
      <c r="E24"/>
      <c r="F24"/>
      <c r="G24" s="5"/>
      <c r="H24" s="5"/>
      <c r="I24"/>
      <c r="J24" s="5"/>
      <c r="K24" s="5"/>
      <c r="L24" s="5"/>
    </row>
    <row r="25" spans="1:13" s="89" customFormat="1" x14ac:dyDescent="0.25">
      <c r="A25" s="88"/>
      <c r="B25"/>
      <c r="C25"/>
      <c r="D25"/>
      <c r="E25"/>
      <c r="F25"/>
      <c r="G25" s="5"/>
      <c r="H25" s="5"/>
      <c r="I25"/>
      <c r="J25" s="5"/>
      <c r="K25" s="5"/>
      <c r="L25" s="5"/>
    </row>
    <row r="26" spans="1:13" s="89" customFormat="1" x14ac:dyDescent="0.25">
      <c r="A26" s="88"/>
      <c r="B26"/>
      <c r="C26"/>
      <c r="D26"/>
      <c r="E26"/>
      <c r="F26"/>
      <c r="G26" s="5"/>
      <c r="H26" s="5"/>
      <c r="I26"/>
      <c r="J26" s="5"/>
      <c r="K26" s="5"/>
      <c r="L26" s="5"/>
    </row>
    <row r="27" spans="1:13" s="89" customFormat="1" x14ac:dyDescent="0.25">
      <c r="A27" s="88"/>
      <c r="B27"/>
      <c r="C27"/>
      <c r="D27"/>
      <c r="E27"/>
      <c r="F27"/>
      <c r="G27" s="5"/>
      <c r="H27" s="5"/>
      <c r="I27"/>
      <c r="J27" s="5"/>
      <c r="K27" s="5"/>
      <c r="L27" s="5"/>
    </row>
    <row r="28" spans="1:13" s="89" customFormat="1" x14ac:dyDescent="0.25">
      <c r="A28" s="88"/>
      <c r="B28"/>
      <c r="C28"/>
      <c r="D28"/>
      <c r="E28"/>
      <c r="F28"/>
      <c r="G28" s="5"/>
      <c r="H28" s="5"/>
      <c r="I28"/>
      <c r="J28" s="5"/>
      <c r="K28" s="5"/>
      <c r="L28" s="5"/>
    </row>
    <row r="29" spans="1:13" s="89" customFormat="1" x14ac:dyDescent="0.25">
      <c r="A29" s="88"/>
      <c r="B29"/>
      <c r="C29"/>
      <c r="D29"/>
      <c r="E29"/>
      <c r="F29"/>
      <c r="G29" s="5"/>
      <c r="H29" s="5"/>
      <c r="I29"/>
      <c r="J29" s="5"/>
      <c r="K29" s="5"/>
      <c r="L29" s="5"/>
    </row>
    <row r="30" spans="1:13" s="89" customFormat="1" x14ac:dyDescent="0.25">
      <c r="A30" s="88"/>
      <c r="B30"/>
      <c r="C30"/>
      <c r="D30"/>
      <c r="E30"/>
      <c r="F30"/>
      <c r="G30" s="5"/>
      <c r="H30" s="5"/>
      <c r="I30"/>
      <c r="J30" s="5"/>
      <c r="K30" s="5"/>
      <c r="L30" s="5"/>
    </row>
    <row r="31" spans="1:13" s="89" customFormat="1" x14ac:dyDescent="0.25">
      <c r="A31" s="88"/>
      <c r="B31"/>
      <c r="C31"/>
      <c r="D31"/>
      <c r="E31"/>
      <c r="F31"/>
      <c r="G31" s="5"/>
      <c r="H31" s="5"/>
      <c r="I31"/>
      <c r="J31" s="5"/>
      <c r="K31" s="5"/>
      <c r="L31" s="5"/>
    </row>
    <row r="32" spans="1:13" s="89" customFormat="1" x14ac:dyDescent="0.25">
      <c r="A32" s="88"/>
      <c r="B32"/>
      <c r="C32"/>
      <c r="D32"/>
      <c r="E32"/>
      <c r="F32"/>
      <c r="G32" s="5"/>
      <c r="H32" s="5"/>
      <c r="I32"/>
      <c r="J32" s="5"/>
      <c r="K32" s="5"/>
      <c r="L32" s="5"/>
    </row>
    <row r="33" spans="1:12" s="89" customFormat="1" x14ac:dyDescent="0.25">
      <c r="A33" s="88"/>
      <c r="B33"/>
      <c r="C33"/>
      <c r="D33"/>
      <c r="E33"/>
      <c r="F33"/>
      <c r="G33" s="5"/>
      <c r="H33" s="5"/>
      <c r="I33"/>
      <c r="J33" s="5"/>
      <c r="K33" s="5"/>
      <c r="L33" s="5"/>
    </row>
    <row r="34" spans="1:12" s="89" customFormat="1" x14ac:dyDescent="0.25">
      <c r="A34" s="88"/>
      <c r="B34"/>
      <c r="C34"/>
      <c r="D34"/>
      <c r="E34"/>
      <c r="F34"/>
      <c r="G34" s="5"/>
      <c r="H34" s="5"/>
      <c r="I34"/>
      <c r="J34" s="5"/>
      <c r="K34" s="5"/>
      <c r="L34" s="5"/>
    </row>
    <row r="35" spans="1:12" s="89" customFormat="1" x14ac:dyDescent="0.25">
      <c r="A35" s="88"/>
      <c r="B35"/>
      <c r="C35"/>
      <c r="D35"/>
      <c r="E35"/>
      <c r="F35"/>
      <c r="G35" s="5"/>
      <c r="H35" s="5"/>
      <c r="I35"/>
      <c r="J35" s="5"/>
      <c r="K35" s="5"/>
      <c r="L35" s="5"/>
    </row>
    <row r="36" spans="1:12" s="89" customFormat="1" x14ac:dyDescent="0.25">
      <c r="A36" s="88"/>
      <c r="B36"/>
      <c r="C36"/>
      <c r="D36"/>
      <c r="E36"/>
      <c r="F36"/>
      <c r="G36" s="5"/>
      <c r="H36" s="5"/>
      <c r="I36"/>
      <c r="J36" s="5"/>
      <c r="K36" s="5"/>
      <c r="L36" s="5"/>
    </row>
    <row r="37" spans="1:12" s="89" customFormat="1" x14ac:dyDescent="0.25">
      <c r="A37" s="88"/>
      <c r="B37"/>
      <c r="C37"/>
      <c r="D37"/>
      <c r="E37"/>
      <c r="F37"/>
      <c r="G37" s="5"/>
      <c r="H37" s="5"/>
      <c r="I37"/>
      <c r="J37" s="5"/>
      <c r="K37" s="5"/>
      <c r="L37" s="5"/>
    </row>
    <row r="38" spans="1:12" s="89" customFormat="1" x14ac:dyDescent="0.25">
      <c r="A38" s="88"/>
      <c r="B38"/>
      <c r="C38"/>
      <c r="D38"/>
      <c r="E38"/>
      <c r="F38"/>
      <c r="G38" s="5"/>
      <c r="H38" s="5"/>
      <c r="I38"/>
      <c r="J38" s="5"/>
      <c r="K38" s="5"/>
      <c r="L38" s="5"/>
    </row>
    <row r="39" spans="1:12" s="89" customFormat="1" x14ac:dyDescent="0.25">
      <c r="A39" s="88"/>
      <c r="B39"/>
      <c r="C39"/>
      <c r="D39"/>
      <c r="E39"/>
      <c r="F39"/>
      <c r="G39" s="5"/>
      <c r="H39" s="5"/>
      <c r="I39"/>
      <c r="J39" s="5"/>
      <c r="K39" s="5"/>
      <c r="L39" s="5"/>
    </row>
    <row r="40" spans="1:12" s="89" customFormat="1" x14ac:dyDescent="0.25">
      <c r="A40" s="88"/>
      <c r="B40"/>
      <c r="C40"/>
      <c r="D40"/>
      <c r="E40"/>
      <c r="F40"/>
      <c r="G40" s="5"/>
      <c r="H40" s="5"/>
      <c r="I40"/>
      <c r="J40" s="5"/>
      <c r="K40" s="5"/>
      <c r="L40" s="5"/>
    </row>
    <row r="41" spans="1:12" s="89" customFormat="1" x14ac:dyDescent="0.25">
      <c r="A41" s="88"/>
      <c r="B41"/>
      <c r="C41"/>
      <c r="D41"/>
      <c r="E41"/>
      <c r="F41"/>
      <c r="G41" s="5"/>
      <c r="H41" s="5"/>
      <c r="I41"/>
      <c r="J41" s="5"/>
      <c r="K41" s="5"/>
      <c r="L41" s="5"/>
    </row>
    <row r="42" spans="1:12" s="89" customFormat="1" x14ac:dyDescent="0.25">
      <c r="A42" s="88"/>
      <c r="B42"/>
      <c r="C42"/>
      <c r="D42"/>
      <c r="E42"/>
      <c r="F42"/>
      <c r="G42" s="5"/>
      <c r="H42" s="5"/>
      <c r="I42"/>
      <c r="J42" s="5"/>
      <c r="K42" s="5"/>
      <c r="L42" s="5"/>
    </row>
    <row r="43" spans="1:12" s="89" customFormat="1" x14ac:dyDescent="0.25">
      <c r="A43" s="88"/>
      <c r="B43"/>
      <c r="C43"/>
      <c r="D43"/>
      <c r="E43"/>
      <c r="F43"/>
      <c r="G43" s="5"/>
      <c r="H43" s="5"/>
      <c r="I43"/>
      <c r="J43" s="5"/>
      <c r="K43" s="5"/>
      <c r="L43" s="5"/>
    </row>
    <row r="44" spans="1:12" s="89" customFormat="1" ht="16.5" customHeight="1" x14ac:dyDescent="0.25">
      <c r="A44" s="88"/>
      <c r="B44"/>
      <c r="C44"/>
      <c r="D44"/>
      <c r="E44"/>
      <c r="F44"/>
      <c r="G44" s="5"/>
      <c r="H44" s="5"/>
      <c r="I44"/>
      <c r="J44" s="5"/>
      <c r="K44" s="5"/>
      <c r="L44" s="5"/>
    </row>
    <row r="45" spans="1:12" s="89" customFormat="1" x14ac:dyDescent="0.25">
      <c r="A45" s="88"/>
      <c r="B45"/>
      <c r="C45"/>
      <c r="D45"/>
      <c r="E45"/>
      <c r="F45"/>
      <c r="G45" s="5"/>
      <c r="H45" s="5"/>
      <c r="I45"/>
      <c r="J45" s="5"/>
      <c r="K45" s="5"/>
      <c r="L45" s="5"/>
    </row>
    <row r="46" spans="1:12" s="89" customFormat="1" x14ac:dyDescent="0.25">
      <c r="A46" s="88"/>
      <c r="B46"/>
      <c r="C46"/>
      <c r="D46"/>
      <c r="E46"/>
      <c r="F46"/>
      <c r="G46" s="5"/>
      <c r="H46" s="5"/>
      <c r="I46"/>
      <c r="J46" s="5"/>
      <c r="K46" s="5"/>
      <c r="L46" s="5"/>
    </row>
    <row r="47" spans="1:12" s="89" customFormat="1" x14ac:dyDescent="0.25">
      <c r="A47" s="88"/>
      <c r="B47"/>
      <c r="C47"/>
      <c r="D47"/>
      <c r="E47"/>
      <c r="F47"/>
      <c r="G47" s="5"/>
      <c r="H47" s="5"/>
      <c r="I47"/>
      <c r="J47" s="5"/>
      <c r="K47" s="5"/>
      <c r="L47" s="5"/>
    </row>
    <row r="48" spans="1:12" s="89" customFormat="1" x14ac:dyDescent="0.25">
      <c r="A48" s="88"/>
      <c r="B48"/>
      <c r="C48"/>
      <c r="D48"/>
      <c r="E48"/>
      <c r="F48"/>
      <c r="G48" s="5"/>
      <c r="H48" s="5"/>
      <c r="I48"/>
      <c r="J48" s="5"/>
      <c r="K48" s="5"/>
      <c r="L48" s="5"/>
    </row>
    <row r="49" spans="1:12" s="89" customFormat="1" x14ac:dyDescent="0.25">
      <c r="A49" s="88"/>
      <c r="B49"/>
      <c r="C49"/>
      <c r="D49"/>
      <c r="E49"/>
      <c r="F49"/>
      <c r="G49" s="5"/>
      <c r="H49" s="5"/>
      <c r="I49"/>
      <c r="J49" s="5"/>
      <c r="K49" s="5"/>
      <c r="L49" s="5"/>
    </row>
    <row r="50" spans="1:12" s="89" customFormat="1" x14ac:dyDescent="0.25">
      <c r="A50" s="88"/>
      <c r="B50"/>
      <c r="C50"/>
      <c r="D50"/>
      <c r="E50"/>
      <c r="F50"/>
      <c r="G50" s="5"/>
      <c r="H50" s="5"/>
      <c r="I50"/>
      <c r="J50" s="5"/>
      <c r="K50" s="5"/>
      <c r="L50" s="5"/>
    </row>
    <row r="51" spans="1:12" s="89" customFormat="1" x14ac:dyDescent="0.25">
      <c r="A51" s="88"/>
      <c r="B51"/>
      <c r="C51"/>
      <c r="D51"/>
      <c r="E51"/>
      <c r="F51"/>
      <c r="G51" s="5"/>
      <c r="H51" s="5"/>
      <c r="I51"/>
      <c r="J51" s="5"/>
      <c r="K51" s="5"/>
      <c r="L51" s="5"/>
    </row>
    <row r="52" spans="1:12" s="89" customFormat="1" x14ac:dyDescent="0.25">
      <c r="A52" s="88"/>
      <c r="B52"/>
      <c r="C52"/>
      <c r="D52"/>
      <c r="E52"/>
      <c r="F52"/>
      <c r="G52" s="5"/>
      <c r="H52" s="5"/>
      <c r="I52"/>
      <c r="J52" s="5"/>
      <c r="K52" s="5"/>
      <c r="L52" s="5"/>
    </row>
    <row r="53" spans="1:12" s="89" customFormat="1" x14ac:dyDescent="0.25">
      <c r="A53" s="88"/>
      <c r="B53"/>
      <c r="C53"/>
      <c r="D53"/>
      <c r="E53"/>
      <c r="F53"/>
      <c r="G53" s="5"/>
      <c r="H53" s="5"/>
      <c r="I53"/>
      <c r="J53" s="5"/>
      <c r="K53" s="5"/>
      <c r="L53" s="5"/>
    </row>
    <row r="54" spans="1:12" s="89" customFormat="1" x14ac:dyDescent="0.25">
      <c r="A54" s="88"/>
      <c r="B54"/>
      <c r="C54"/>
      <c r="D54"/>
      <c r="E54"/>
      <c r="F54"/>
      <c r="G54" s="5"/>
      <c r="H54" s="5"/>
      <c r="I54"/>
      <c r="J54" s="5"/>
      <c r="K54" s="5"/>
      <c r="L54" s="5"/>
    </row>
    <row r="55" spans="1:12" s="89" customFormat="1" x14ac:dyDescent="0.25">
      <c r="A55" s="88"/>
      <c r="B55"/>
      <c r="C55"/>
      <c r="D55"/>
      <c r="E55"/>
      <c r="F55"/>
      <c r="G55" s="5"/>
      <c r="H55" s="5"/>
      <c r="I55"/>
      <c r="J55" s="5"/>
      <c r="K55" s="5"/>
      <c r="L55" s="5"/>
    </row>
    <row r="56" spans="1:12" s="89" customFormat="1" x14ac:dyDescent="0.25">
      <c r="A56" s="88"/>
      <c r="B56"/>
      <c r="C56"/>
      <c r="D56"/>
      <c r="E56"/>
      <c r="F56"/>
      <c r="G56" s="5"/>
      <c r="H56" s="5"/>
      <c r="I56"/>
      <c r="J56" s="5"/>
      <c r="K56" s="5"/>
      <c r="L56" s="5"/>
    </row>
    <row r="57" spans="1:12" s="89" customFormat="1" x14ac:dyDescent="0.25">
      <c r="A57" s="88"/>
      <c r="B57"/>
      <c r="C57"/>
      <c r="D57"/>
      <c r="E57"/>
      <c r="F57"/>
      <c r="G57" s="5"/>
      <c r="H57" s="5"/>
      <c r="I57"/>
      <c r="J57" s="5"/>
      <c r="K57" s="5"/>
      <c r="L57" s="5"/>
    </row>
    <row r="58" spans="1:12" s="89" customFormat="1" x14ac:dyDescent="0.25">
      <c r="A58" s="88"/>
      <c r="B58"/>
      <c r="C58"/>
      <c r="D58"/>
      <c r="E58"/>
      <c r="F58"/>
      <c r="G58" s="5"/>
      <c r="H58" s="5"/>
      <c r="I58"/>
      <c r="J58" s="5"/>
      <c r="K58" s="5"/>
      <c r="L58" s="5"/>
    </row>
    <row r="59" spans="1:12" s="89" customFormat="1" x14ac:dyDescent="0.25">
      <c r="A59" s="88"/>
      <c r="B59"/>
      <c r="C59"/>
      <c r="D59"/>
      <c r="E59"/>
      <c r="F59"/>
      <c r="G59" s="5"/>
      <c r="H59" s="5"/>
      <c r="I59"/>
      <c r="J59" s="5"/>
      <c r="K59" s="5"/>
      <c r="L59" s="5"/>
    </row>
    <row r="60" spans="1:12" s="89" customFormat="1" x14ac:dyDescent="0.25">
      <c r="A60" s="88"/>
      <c r="B60"/>
      <c r="C60"/>
      <c r="D60"/>
      <c r="E60"/>
      <c r="F60"/>
      <c r="G60" s="5"/>
      <c r="H60" s="5"/>
      <c r="I60"/>
      <c r="J60" s="5"/>
      <c r="K60" s="5"/>
      <c r="L60" s="5"/>
    </row>
    <row r="61" spans="1:12" s="89" customFormat="1" x14ac:dyDescent="0.25">
      <c r="A61" s="88"/>
      <c r="B61"/>
      <c r="C61"/>
      <c r="D61"/>
      <c r="E61"/>
      <c r="F61"/>
      <c r="G61" s="5"/>
      <c r="H61" s="5"/>
      <c r="I61"/>
      <c r="J61" s="5"/>
      <c r="K61" s="5"/>
      <c r="L61" s="5"/>
    </row>
    <row r="62" spans="1:12" s="89" customFormat="1" x14ac:dyDescent="0.25">
      <c r="A62" s="88"/>
      <c r="B62"/>
      <c r="C62"/>
      <c r="D62"/>
      <c r="E62"/>
      <c r="F62"/>
      <c r="G62" s="5"/>
      <c r="H62" s="5"/>
      <c r="I62"/>
      <c r="J62" s="5"/>
      <c r="K62" s="5"/>
      <c r="L62" s="5"/>
    </row>
    <row r="63" spans="1:12" s="89" customFormat="1" x14ac:dyDescent="0.25">
      <c r="A63" s="88"/>
      <c r="B63"/>
      <c r="C63"/>
      <c r="D63"/>
      <c r="E63"/>
      <c r="F63"/>
      <c r="G63" s="5"/>
      <c r="H63" s="5"/>
      <c r="I63"/>
      <c r="J63" s="5"/>
      <c r="K63" s="5"/>
      <c r="L63" s="5"/>
    </row>
    <row r="64" spans="1:12" s="89" customFormat="1" x14ac:dyDescent="0.25">
      <c r="A64" s="88"/>
      <c r="B64"/>
      <c r="C64"/>
      <c r="D64"/>
      <c r="E64"/>
      <c r="F64"/>
      <c r="G64" s="5"/>
      <c r="H64" s="5"/>
      <c r="I64"/>
      <c r="J64" s="5"/>
      <c r="K64" s="5"/>
      <c r="L64" s="5"/>
    </row>
    <row r="65" spans="1:12" s="89" customFormat="1" x14ac:dyDescent="0.25">
      <c r="A65" s="88"/>
      <c r="B65"/>
      <c r="C65"/>
      <c r="D65"/>
      <c r="E65"/>
      <c r="F65"/>
      <c r="G65" s="5"/>
      <c r="H65" s="5"/>
      <c r="I65"/>
      <c r="J65" s="5"/>
      <c r="K65" s="5"/>
      <c r="L65" s="5"/>
    </row>
    <row r="66" spans="1:12" s="89" customFormat="1" x14ac:dyDescent="0.25">
      <c r="B66"/>
      <c r="C66"/>
      <c r="D66"/>
      <c r="E66"/>
      <c r="F66"/>
      <c r="G66" s="5"/>
      <c r="H66" s="5"/>
      <c r="I66"/>
      <c r="J66" s="5"/>
      <c r="K66" s="5"/>
      <c r="L66" s="5"/>
    </row>
    <row r="67" spans="1:12" s="89" customFormat="1" x14ac:dyDescent="0.25">
      <c r="B67"/>
      <c r="C67"/>
      <c r="D67"/>
      <c r="E67"/>
      <c r="F67"/>
      <c r="G67" s="5"/>
      <c r="H67" s="5"/>
      <c r="I67"/>
      <c r="J67" s="5"/>
      <c r="K67" s="5"/>
      <c r="L67" s="5"/>
    </row>
    <row r="68" spans="1:12" s="89" customFormat="1" x14ac:dyDescent="0.25">
      <c r="B68"/>
      <c r="C68"/>
      <c r="D68"/>
      <c r="E68"/>
      <c r="F68"/>
      <c r="G68" s="5"/>
      <c r="H68" s="5"/>
      <c r="I68"/>
      <c r="J68" s="5"/>
      <c r="K68" s="5"/>
      <c r="L68" s="5"/>
    </row>
    <row r="69" spans="1:12" s="40" customFormat="1" x14ac:dyDescent="0.25">
      <c r="B69"/>
      <c r="C69"/>
      <c r="D69"/>
      <c r="E69"/>
      <c r="F69"/>
      <c r="G69" s="5"/>
      <c r="H69" s="5"/>
      <c r="I69"/>
      <c r="J69" s="5"/>
      <c r="K69" s="5"/>
      <c r="L69" s="5"/>
    </row>
    <row r="70" spans="1:12" x14ac:dyDescent="0.25">
      <c r="E70"/>
      <c r="F70"/>
    </row>
    <row r="71" spans="1:12" x14ac:dyDescent="0.25">
      <c r="E71"/>
      <c r="F71"/>
    </row>
    <row r="72" spans="1:12" x14ac:dyDescent="0.25">
      <c r="E72"/>
      <c r="F72"/>
    </row>
    <row r="73" spans="1:12" x14ac:dyDescent="0.25">
      <c r="E73"/>
      <c r="F73"/>
    </row>
    <row r="74" spans="1:12" x14ac:dyDescent="0.25">
      <c r="E74"/>
      <c r="F74"/>
    </row>
    <row r="75" spans="1:12" x14ac:dyDescent="0.25">
      <c r="E75"/>
      <c r="F75"/>
    </row>
    <row r="76" spans="1:12" x14ac:dyDescent="0.25">
      <c r="E76"/>
      <c r="F76"/>
    </row>
    <row r="77" spans="1:12" x14ac:dyDescent="0.25">
      <c r="E77"/>
      <c r="F77"/>
    </row>
    <row r="78" spans="1:12" x14ac:dyDescent="0.25">
      <c r="E78"/>
      <c r="F78"/>
    </row>
    <row r="79" spans="1:12" x14ac:dyDescent="0.25">
      <c r="E79"/>
      <c r="F79"/>
    </row>
    <row r="80" spans="1:12" x14ac:dyDescent="0.25">
      <c r="E80"/>
      <c r="F80"/>
    </row>
    <row r="81" spans="5:6" x14ac:dyDescent="0.25">
      <c r="E81"/>
      <c r="F81"/>
    </row>
    <row r="82" spans="5:6" x14ac:dyDescent="0.25">
      <c r="E82"/>
      <c r="F82"/>
    </row>
    <row r="83" spans="5:6" x14ac:dyDescent="0.25">
      <c r="E83"/>
      <c r="F83"/>
    </row>
    <row r="84" spans="5:6" x14ac:dyDescent="0.25">
      <c r="E84"/>
      <c r="F84"/>
    </row>
    <row r="85" spans="5:6" x14ac:dyDescent="0.25">
      <c r="E85"/>
      <c r="F85"/>
    </row>
    <row r="86" spans="5:6" x14ac:dyDescent="0.25">
      <c r="E86"/>
      <c r="F86"/>
    </row>
    <row r="87" spans="5:6" x14ac:dyDescent="0.25">
      <c r="E87"/>
      <c r="F87"/>
    </row>
    <row r="88" spans="5:6" x14ac:dyDescent="0.25">
      <c r="E88"/>
      <c r="F88"/>
    </row>
    <row r="89" spans="5:6" x14ac:dyDescent="0.25">
      <c r="E89"/>
      <c r="F89"/>
    </row>
    <row r="90" spans="5:6" x14ac:dyDescent="0.25">
      <c r="E90"/>
      <c r="F90"/>
    </row>
    <row r="91" spans="5:6" x14ac:dyDescent="0.25">
      <c r="E91"/>
      <c r="F91"/>
    </row>
    <row r="92" spans="5:6" x14ac:dyDescent="0.25">
      <c r="E92"/>
      <c r="F92"/>
    </row>
    <row r="93" spans="5:6" x14ac:dyDescent="0.25">
      <c r="E93"/>
      <c r="F93"/>
    </row>
    <row r="94" spans="5:6" x14ac:dyDescent="0.25">
      <c r="E94"/>
      <c r="F94"/>
    </row>
    <row r="95" spans="5:6" x14ac:dyDescent="0.25">
      <c r="E95"/>
      <c r="F95"/>
    </row>
    <row r="96" spans="5:6" x14ac:dyDescent="0.25">
      <c r="E96"/>
      <c r="F96"/>
    </row>
    <row r="97" spans="5:6" x14ac:dyDescent="0.25">
      <c r="E97"/>
      <c r="F97"/>
    </row>
    <row r="98" spans="5:6" x14ac:dyDescent="0.25">
      <c r="E98"/>
      <c r="F98"/>
    </row>
    <row r="99" spans="5:6" x14ac:dyDescent="0.25">
      <c r="E99"/>
      <c r="F99"/>
    </row>
    <row r="100" spans="5:6" x14ac:dyDescent="0.25">
      <c r="E100"/>
      <c r="F100"/>
    </row>
    <row r="101" spans="5:6" x14ac:dyDescent="0.25">
      <c r="E101"/>
      <c r="F101"/>
    </row>
    <row r="102" spans="5:6" x14ac:dyDescent="0.25">
      <c r="E102"/>
      <c r="F102"/>
    </row>
    <row r="103" spans="5:6" x14ac:dyDescent="0.25">
      <c r="E103"/>
      <c r="F103"/>
    </row>
    <row r="104" spans="5:6" x14ac:dyDescent="0.25">
      <c r="E104"/>
      <c r="F104"/>
    </row>
    <row r="105" spans="5:6" x14ac:dyDescent="0.25">
      <c r="E105"/>
      <c r="F105"/>
    </row>
    <row r="106" spans="5:6" x14ac:dyDescent="0.25">
      <c r="E106"/>
      <c r="F106"/>
    </row>
    <row r="107" spans="5:6" x14ac:dyDescent="0.25">
      <c r="E107"/>
      <c r="F107"/>
    </row>
    <row r="108" spans="5:6" x14ac:dyDescent="0.25">
      <c r="E108"/>
      <c r="F108"/>
    </row>
    <row r="109" spans="5:6" x14ac:dyDescent="0.25">
      <c r="E109"/>
      <c r="F109"/>
    </row>
    <row r="110" spans="5:6" x14ac:dyDescent="0.25">
      <c r="E110"/>
      <c r="F110"/>
    </row>
    <row r="111" spans="5:6" x14ac:dyDescent="0.25">
      <c r="E111"/>
      <c r="F111"/>
    </row>
    <row r="112" spans="5:6" x14ac:dyDescent="0.25">
      <c r="E112"/>
      <c r="F112"/>
    </row>
    <row r="113" spans="5:6" x14ac:dyDescent="0.25">
      <c r="E113"/>
      <c r="F113"/>
    </row>
    <row r="114" spans="5:6" x14ac:dyDescent="0.25">
      <c r="E114"/>
      <c r="F114"/>
    </row>
    <row r="115" spans="5:6" x14ac:dyDescent="0.25">
      <c r="E115"/>
      <c r="F115"/>
    </row>
    <row r="116" spans="5:6" x14ac:dyDescent="0.25">
      <c r="E116"/>
      <c r="F116"/>
    </row>
    <row r="117" spans="5:6" x14ac:dyDescent="0.25">
      <c r="E117"/>
      <c r="F117"/>
    </row>
    <row r="118" spans="5:6" x14ac:dyDescent="0.25">
      <c r="E118"/>
      <c r="F118"/>
    </row>
    <row r="119" spans="5:6" x14ac:dyDescent="0.25">
      <c r="E119"/>
      <c r="F119"/>
    </row>
    <row r="120" spans="5:6" x14ac:dyDescent="0.25">
      <c r="E120"/>
      <c r="F120"/>
    </row>
    <row r="121" spans="5:6" x14ac:dyDescent="0.25">
      <c r="E121"/>
      <c r="F121"/>
    </row>
    <row r="122" spans="5:6" x14ac:dyDescent="0.25">
      <c r="E122"/>
      <c r="F122"/>
    </row>
    <row r="123" spans="5:6" x14ac:dyDescent="0.25">
      <c r="E123"/>
      <c r="F123"/>
    </row>
    <row r="124" spans="5:6" x14ac:dyDescent="0.25">
      <c r="E124"/>
      <c r="F124"/>
    </row>
  </sheetData>
  <pageMargins left="0.511811024" right="0.511811024" top="0.78740157499999996" bottom="0.78740157499999996" header="0.31496062000000002" footer="0.31496062000000002"/>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6D145-E689-4D06-B7E8-A4256AB3DA6F}">
  <sheetPr>
    <tabColor rgb="FF92D050"/>
  </sheetPr>
  <dimension ref="A2:M124"/>
  <sheetViews>
    <sheetView showGridLines="0" workbookViewId="0">
      <selection activeCell="I57" sqref="I57"/>
    </sheetView>
  </sheetViews>
  <sheetFormatPr defaultRowHeight="15" x14ac:dyDescent="0.25"/>
  <cols>
    <col min="1" max="1" width="7.140625" customWidth="1"/>
    <col min="2" max="2" width="25.5703125" customWidth="1"/>
    <col min="3" max="3" width="24.42578125" customWidth="1"/>
    <col min="4" max="4" width="58.28515625" customWidth="1"/>
    <col min="5" max="5" width="25" style="5" customWidth="1"/>
    <col min="6" max="6" width="21.85546875" style="5" customWidth="1"/>
    <col min="7" max="7" width="17.140625" style="5" customWidth="1"/>
    <col min="8" max="8" width="14.85546875" style="5" customWidth="1"/>
    <col min="9" max="9" width="15.140625" customWidth="1"/>
    <col min="10" max="10" width="11.85546875" customWidth="1"/>
    <col min="11" max="12" width="13.5703125" style="5" customWidth="1"/>
    <col min="13" max="13" width="14.28515625" customWidth="1"/>
  </cols>
  <sheetData>
    <row r="2" spans="1:13" ht="18.75" x14ac:dyDescent="0.3">
      <c r="B2" s="213" t="s">
        <v>1173</v>
      </c>
    </row>
    <row r="3" spans="1:13" x14ac:dyDescent="0.25">
      <c r="B3" s="214" t="s">
        <v>1175</v>
      </c>
    </row>
    <row r="5" spans="1:13" x14ac:dyDescent="0.25">
      <c r="B5" s="52" t="s">
        <v>93</v>
      </c>
      <c r="C5" t="s">
        <v>62</v>
      </c>
      <c r="E5"/>
    </row>
    <row r="6" spans="1:13" x14ac:dyDescent="0.25">
      <c r="B6" s="52" t="s">
        <v>8</v>
      </c>
      <c r="C6" t="s">
        <v>68</v>
      </c>
      <c r="E6"/>
    </row>
    <row r="7" spans="1:13" s="40" customFormat="1" x14ac:dyDescent="0.25">
      <c r="A7" s="88"/>
      <c r="B7"/>
      <c r="C7"/>
      <c r="D7"/>
      <c r="E7"/>
      <c r="F7" s="5"/>
      <c r="G7" s="5"/>
      <c r="H7" s="5"/>
      <c r="I7"/>
      <c r="J7"/>
      <c r="K7" s="5"/>
      <c r="L7" s="72"/>
    </row>
    <row r="8" spans="1:13" s="40" customFormat="1" x14ac:dyDescent="0.25">
      <c r="A8" s="88"/>
      <c r="B8" s="22" t="s">
        <v>19</v>
      </c>
      <c r="C8" s="22" t="s">
        <v>1</v>
      </c>
      <c r="D8" s="22" t="s">
        <v>6</v>
      </c>
      <c r="E8"/>
      <c r="F8"/>
      <c r="G8"/>
      <c r="H8"/>
      <c r="I8"/>
      <c r="J8"/>
      <c r="K8"/>
      <c r="L8"/>
      <c r="M8"/>
    </row>
    <row r="9" spans="1:13" s="89" customFormat="1" x14ac:dyDescent="0.25">
      <c r="A9" s="88"/>
      <c r="B9" t="s">
        <v>854</v>
      </c>
      <c r="C9" t="s">
        <v>860</v>
      </c>
      <c r="D9" t="s">
        <v>861</v>
      </c>
      <c r="E9"/>
      <c r="F9"/>
      <c r="G9"/>
      <c r="H9"/>
      <c r="I9"/>
      <c r="J9"/>
      <c r="K9"/>
      <c r="L9"/>
      <c r="M9"/>
    </row>
    <row r="10" spans="1:13" s="89" customFormat="1" x14ac:dyDescent="0.25">
      <c r="A10" s="88"/>
      <c r="B10" t="s">
        <v>914</v>
      </c>
      <c r="C10" t="s">
        <v>920</v>
      </c>
      <c r="D10" t="s">
        <v>921</v>
      </c>
      <c r="E10"/>
      <c r="F10"/>
      <c r="G10"/>
      <c r="H10"/>
      <c r="I10"/>
      <c r="J10"/>
      <c r="K10"/>
      <c r="L10"/>
      <c r="M10"/>
    </row>
    <row r="11" spans="1:13" s="89" customFormat="1" x14ac:dyDescent="0.25">
      <c r="A11" s="88"/>
      <c r="B11" t="s">
        <v>913</v>
      </c>
      <c r="C11" t="s">
        <v>1019</v>
      </c>
      <c r="D11" t="s">
        <v>1020</v>
      </c>
      <c r="E11"/>
      <c r="F11"/>
      <c r="G11"/>
      <c r="H11"/>
      <c r="I11"/>
      <c r="J11"/>
      <c r="K11"/>
      <c r="L11"/>
      <c r="M11"/>
    </row>
    <row r="12" spans="1:13" s="89" customFormat="1" x14ac:dyDescent="0.25">
      <c r="A12" s="88"/>
      <c r="B12" t="s">
        <v>1024</v>
      </c>
      <c r="C12" t="s">
        <v>1030</v>
      </c>
      <c r="D12" t="s">
        <v>1031</v>
      </c>
      <c r="E12"/>
      <c r="F12"/>
      <c r="G12"/>
      <c r="H12"/>
      <c r="I12"/>
      <c r="J12"/>
      <c r="K12"/>
      <c r="L12"/>
      <c r="M12"/>
    </row>
    <row r="13" spans="1:13" s="89" customFormat="1" x14ac:dyDescent="0.25">
      <c r="A13" s="88"/>
      <c r="B13" t="s">
        <v>1049</v>
      </c>
      <c r="C13" t="s">
        <v>1064</v>
      </c>
      <c r="D13" t="s">
        <v>1053</v>
      </c>
      <c r="E13"/>
      <c r="F13"/>
      <c r="G13"/>
      <c r="H13"/>
      <c r="I13"/>
      <c r="J13"/>
      <c r="K13"/>
      <c r="L13"/>
      <c r="M13"/>
    </row>
    <row r="14" spans="1:13" s="89" customFormat="1" x14ac:dyDescent="0.25">
      <c r="A14" s="88"/>
      <c r="B14" t="s">
        <v>1055</v>
      </c>
      <c r="C14" t="s">
        <v>1061</v>
      </c>
      <c r="D14" t="s">
        <v>1062</v>
      </c>
      <c r="E14"/>
      <c r="F14"/>
      <c r="G14"/>
      <c r="H14"/>
      <c r="I14"/>
      <c r="J14"/>
      <c r="K14"/>
      <c r="L14"/>
      <c r="M14"/>
    </row>
    <row r="15" spans="1:13" s="89" customFormat="1" x14ac:dyDescent="0.25">
      <c r="A15" s="88"/>
      <c r="B15" t="s">
        <v>1112</v>
      </c>
      <c r="C15" t="s">
        <v>1124</v>
      </c>
      <c r="D15" t="s">
        <v>1125</v>
      </c>
      <c r="E15"/>
      <c r="F15"/>
      <c r="G15"/>
      <c r="H15"/>
      <c r="I15"/>
      <c r="J15"/>
      <c r="K15"/>
      <c r="L15"/>
      <c r="M15"/>
    </row>
    <row r="16" spans="1:13" s="89" customFormat="1" x14ac:dyDescent="0.25">
      <c r="A16" s="88"/>
      <c r="B16" t="s">
        <v>1113</v>
      </c>
      <c r="C16" t="s">
        <v>1130</v>
      </c>
      <c r="D16" t="s">
        <v>1080</v>
      </c>
      <c r="E16"/>
      <c r="F16"/>
      <c r="G16"/>
      <c r="H16"/>
      <c r="I16"/>
      <c r="J16"/>
      <c r="K16"/>
      <c r="L16"/>
      <c r="M16"/>
    </row>
    <row r="17" spans="1:13" s="89" customFormat="1" x14ac:dyDescent="0.25">
      <c r="A17" s="88"/>
      <c r="B17" t="s">
        <v>1534</v>
      </c>
      <c r="C17" t="s">
        <v>1542</v>
      </c>
      <c r="D17" t="s">
        <v>1543</v>
      </c>
      <c r="E17"/>
      <c r="F17"/>
      <c r="G17"/>
      <c r="H17"/>
      <c r="I17"/>
      <c r="J17"/>
      <c r="K17"/>
      <c r="L17"/>
      <c r="M17"/>
    </row>
    <row r="18" spans="1:13" s="89" customFormat="1" x14ac:dyDescent="0.25">
      <c r="A18" s="88"/>
      <c r="B18" t="s">
        <v>1114</v>
      </c>
      <c r="C18" t="s">
        <v>1137</v>
      </c>
      <c r="D18" t="s">
        <v>1138</v>
      </c>
      <c r="E18"/>
      <c r="F18"/>
      <c r="G18"/>
      <c r="H18"/>
      <c r="I18"/>
      <c r="J18"/>
      <c r="K18"/>
      <c r="L18"/>
      <c r="M18"/>
    </row>
    <row r="19" spans="1:13" s="89" customFormat="1" x14ac:dyDescent="0.25">
      <c r="A19" s="88"/>
      <c r="B19" t="s">
        <v>1115</v>
      </c>
      <c r="C19" t="s">
        <v>1142</v>
      </c>
      <c r="D19" t="s">
        <v>1138</v>
      </c>
      <c r="E19"/>
      <c r="F19"/>
      <c r="G19"/>
      <c r="H19"/>
      <c r="I19"/>
      <c r="J19"/>
      <c r="K19"/>
      <c r="L19"/>
      <c r="M19"/>
    </row>
    <row r="20" spans="1:13" s="89" customFormat="1" x14ac:dyDescent="0.25">
      <c r="A20" s="88"/>
      <c r="B20" t="s">
        <v>1116</v>
      </c>
      <c r="C20" t="s">
        <v>1143</v>
      </c>
      <c r="D20" t="s">
        <v>1144</v>
      </c>
      <c r="E20"/>
      <c r="F20"/>
      <c r="G20"/>
      <c r="H20"/>
      <c r="I20"/>
      <c r="J20"/>
      <c r="K20"/>
      <c r="L20"/>
      <c r="M20"/>
    </row>
    <row r="21" spans="1:13" s="89" customFormat="1" x14ac:dyDescent="0.25">
      <c r="A21" s="88"/>
      <c r="B21" t="s">
        <v>1181</v>
      </c>
      <c r="C21" t="s">
        <v>1184</v>
      </c>
      <c r="D21" t="s">
        <v>1185</v>
      </c>
      <c r="E21"/>
      <c r="F21"/>
      <c r="G21"/>
      <c r="H21"/>
      <c r="I21"/>
      <c r="J21"/>
      <c r="K21"/>
      <c r="L21"/>
      <c r="M21"/>
    </row>
    <row r="22" spans="1:13" s="89" customFormat="1" x14ac:dyDescent="0.25">
      <c r="A22" s="88"/>
      <c r="B22" t="s">
        <v>1215</v>
      </c>
      <c r="C22" t="s">
        <v>1216</v>
      </c>
      <c r="D22" t="s">
        <v>1217</v>
      </c>
      <c r="E22"/>
      <c r="F22"/>
      <c r="G22"/>
      <c r="H22"/>
      <c r="I22"/>
      <c r="J22"/>
      <c r="K22"/>
      <c r="L22"/>
      <c r="M22"/>
    </row>
    <row r="23" spans="1:13" s="89" customFormat="1" x14ac:dyDescent="0.25">
      <c r="A23" s="88"/>
      <c r="B23" t="s">
        <v>1246</v>
      </c>
      <c r="C23" t="s">
        <v>1252</v>
      </c>
      <c r="D23" t="s">
        <v>1253</v>
      </c>
      <c r="E23"/>
      <c r="F23"/>
      <c r="G23"/>
      <c r="H23"/>
      <c r="I23"/>
      <c r="J23"/>
      <c r="K23"/>
      <c r="L23"/>
      <c r="M23"/>
    </row>
    <row r="24" spans="1:13" s="89" customFormat="1" x14ac:dyDescent="0.25">
      <c r="A24" s="88"/>
      <c r="B24" t="s">
        <v>1247</v>
      </c>
      <c r="C24" t="s">
        <v>1258</v>
      </c>
      <c r="D24" t="s">
        <v>1259</v>
      </c>
      <c r="E24"/>
      <c r="F24"/>
      <c r="G24"/>
      <c r="H24"/>
      <c r="I24"/>
      <c r="J24"/>
      <c r="K24"/>
      <c r="L24"/>
      <c r="M24"/>
    </row>
    <row r="25" spans="1:13" s="89" customFormat="1" x14ac:dyDescent="0.25">
      <c r="A25" s="88"/>
      <c r="B25" t="s">
        <v>1248</v>
      </c>
      <c r="C25" t="s">
        <v>1263</v>
      </c>
      <c r="D25" t="s">
        <v>1261</v>
      </c>
      <c r="E25"/>
      <c r="F25"/>
      <c r="G25"/>
      <c r="H25"/>
      <c r="I25"/>
      <c r="J25"/>
      <c r="K25"/>
      <c r="L25"/>
      <c r="M25"/>
    </row>
    <row r="26" spans="1:13" s="89" customFormat="1" x14ac:dyDescent="0.25">
      <c r="A26" s="88"/>
      <c r="B26" t="s">
        <v>1386</v>
      </c>
      <c r="C26" t="s">
        <v>1388</v>
      </c>
      <c r="D26" t="s">
        <v>839</v>
      </c>
      <c r="E26"/>
      <c r="F26"/>
      <c r="G26"/>
      <c r="H26"/>
      <c r="I26"/>
      <c r="J26"/>
      <c r="K26"/>
      <c r="L26"/>
      <c r="M26"/>
    </row>
    <row r="27" spans="1:13" s="89" customFormat="1" x14ac:dyDescent="0.25">
      <c r="A27" s="88"/>
      <c r="B27" t="s">
        <v>1385</v>
      </c>
      <c r="C27" t="s">
        <v>1390</v>
      </c>
      <c r="D27" t="s">
        <v>839</v>
      </c>
      <c r="E27"/>
      <c r="F27"/>
      <c r="G27"/>
      <c r="H27"/>
      <c r="I27"/>
      <c r="J27"/>
      <c r="K27"/>
      <c r="L27"/>
      <c r="M27"/>
    </row>
    <row r="28" spans="1:13" s="40" customFormat="1" x14ac:dyDescent="0.25">
      <c r="A28" s="72"/>
      <c r="B28" t="s">
        <v>1484</v>
      </c>
      <c r="C28" t="s">
        <v>1491</v>
      </c>
      <c r="D28" t="s">
        <v>1487</v>
      </c>
      <c r="E28"/>
      <c r="F28"/>
      <c r="G28"/>
      <c r="H28"/>
      <c r="I28"/>
      <c r="J28"/>
      <c r="K28"/>
      <c r="L28"/>
      <c r="M28"/>
    </row>
    <row r="29" spans="1:13" s="40" customFormat="1" x14ac:dyDescent="0.25">
      <c r="A29" s="72"/>
      <c r="B29" t="s">
        <v>1483</v>
      </c>
      <c r="C29" t="s">
        <v>1490</v>
      </c>
      <c r="D29" t="s">
        <v>1487</v>
      </c>
      <c r="E29"/>
      <c r="F29"/>
      <c r="G29"/>
      <c r="H29"/>
      <c r="I29"/>
      <c r="J29"/>
      <c r="K29"/>
      <c r="L29"/>
      <c r="M29"/>
    </row>
    <row r="30" spans="1:13" s="40" customFormat="1" x14ac:dyDescent="0.25">
      <c r="A30" s="72"/>
      <c r="B30" t="s">
        <v>1343</v>
      </c>
      <c r="C30" t="s">
        <v>1348</v>
      </c>
      <c r="D30" t="s">
        <v>1346</v>
      </c>
      <c r="E30"/>
      <c r="F30"/>
      <c r="G30"/>
      <c r="H30"/>
      <c r="I30"/>
      <c r="J30"/>
      <c r="K30"/>
      <c r="L30"/>
      <c r="M30"/>
    </row>
    <row r="31" spans="1:13" s="40" customFormat="1" x14ac:dyDescent="0.25">
      <c r="A31" s="72"/>
      <c r="B31" t="s">
        <v>1344</v>
      </c>
      <c r="C31" t="s">
        <v>1356</v>
      </c>
      <c r="D31" t="s">
        <v>1357</v>
      </c>
      <c r="E31"/>
      <c r="F31"/>
      <c r="G31"/>
      <c r="H31"/>
      <c r="I31"/>
      <c r="J31"/>
      <c r="K31"/>
      <c r="L31"/>
      <c r="M31"/>
    </row>
    <row r="32" spans="1:13" s="40" customFormat="1" x14ac:dyDescent="0.25">
      <c r="A32" s="72"/>
      <c r="B32" t="s">
        <v>1345</v>
      </c>
      <c r="C32" t="s">
        <v>1358</v>
      </c>
      <c r="D32" t="s">
        <v>1359</v>
      </c>
      <c r="E32"/>
      <c r="F32"/>
      <c r="G32"/>
      <c r="H32"/>
      <c r="I32"/>
      <c r="J32"/>
      <c r="K32"/>
      <c r="L32"/>
      <c r="M32"/>
    </row>
    <row r="33" spans="1:13" s="40" customFormat="1" x14ac:dyDescent="0.25">
      <c r="A33" s="72"/>
      <c r="B33" t="s">
        <v>1391</v>
      </c>
      <c r="C33" t="s">
        <v>1395</v>
      </c>
      <c r="D33" t="s">
        <v>1396</v>
      </c>
      <c r="E33"/>
      <c r="F33"/>
      <c r="G33"/>
      <c r="H33"/>
      <c r="I33"/>
      <c r="J33"/>
      <c r="K33"/>
      <c r="L33"/>
      <c r="M33"/>
    </row>
    <row r="34" spans="1:13" s="40" customFormat="1" x14ac:dyDescent="0.25">
      <c r="A34" s="72"/>
      <c r="B34" t="s">
        <v>1398</v>
      </c>
      <c r="C34" t="s">
        <v>1403</v>
      </c>
      <c r="D34" t="s">
        <v>1404</v>
      </c>
      <c r="E34"/>
      <c r="F34"/>
      <c r="G34"/>
      <c r="H34"/>
      <c r="I34"/>
      <c r="J34"/>
      <c r="K34"/>
      <c r="L34"/>
      <c r="M34"/>
    </row>
    <row r="35" spans="1:13" s="40" customFormat="1" x14ac:dyDescent="0.25">
      <c r="A35" s="72"/>
      <c r="B35" t="s">
        <v>1399</v>
      </c>
      <c r="C35" t="s">
        <v>1409</v>
      </c>
      <c r="D35" t="s">
        <v>663</v>
      </c>
      <c r="E35"/>
      <c r="F35"/>
      <c r="G35"/>
      <c r="H35"/>
      <c r="I35"/>
      <c r="J35"/>
      <c r="K35"/>
      <c r="L35"/>
      <c r="M35"/>
    </row>
    <row r="36" spans="1:13" s="89" customFormat="1" x14ac:dyDescent="0.25">
      <c r="A36" s="88"/>
      <c r="B36" t="s">
        <v>1410</v>
      </c>
      <c r="C36" t="s">
        <v>1417</v>
      </c>
      <c r="D36" t="s">
        <v>1418</v>
      </c>
      <c r="E36"/>
      <c r="F36"/>
      <c r="G36"/>
      <c r="H36"/>
      <c r="I36"/>
      <c r="J36"/>
      <c r="K36" s="5"/>
      <c r="L36" s="5"/>
    </row>
    <row r="37" spans="1:13" s="89" customFormat="1" x14ac:dyDescent="0.25">
      <c r="A37" s="88"/>
      <c r="B37" t="s">
        <v>1411</v>
      </c>
      <c r="C37" t="s">
        <v>1424</v>
      </c>
      <c r="D37" t="s">
        <v>1369</v>
      </c>
      <c r="E37"/>
      <c r="F37"/>
      <c r="G37"/>
      <c r="H37"/>
      <c r="I37"/>
      <c r="J37"/>
      <c r="K37" s="5"/>
      <c r="L37" s="5"/>
    </row>
    <row r="38" spans="1:13" s="89" customFormat="1" x14ac:dyDescent="0.25">
      <c r="A38" s="88"/>
      <c r="B38" t="s">
        <v>1412</v>
      </c>
      <c r="C38" t="s">
        <v>1428</v>
      </c>
      <c r="D38" t="s">
        <v>1429</v>
      </c>
      <c r="E38"/>
      <c r="F38"/>
      <c r="G38"/>
      <c r="H38"/>
      <c r="I38"/>
      <c r="J38"/>
      <c r="K38" s="5"/>
      <c r="L38" s="5"/>
    </row>
    <row r="39" spans="1:13" s="89" customFormat="1" x14ac:dyDescent="0.25">
      <c r="A39" s="88"/>
      <c r="B39" t="s">
        <v>1413</v>
      </c>
      <c r="C39" t="s">
        <v>1459</v>
      </c>
      <c r="D39" t="s">
        <v>1460</v>
      </c>
      <c r="E39"/>
      <c r="F39"/>
      <c r="G39"/>
      <c r="H39"/>
      <c r="I39"/>
      <c r="J39"/>
      <c r="K39" s="5"/>
      <c r="L39" s="5"/>
    </row>
    <row r="40" spans="1:13" s="89" customFormat="1" x14ac:dyDescent="0.25">
      <c r="A40" s="88"/>
      <c r="B40" t="s">
        <v>1470</v>
      </c>
      <c r="C40" t="s">
        <v>1476</v>
      </c>
      <c r="D40" t="s">
        <v>1477</v>
      </c>
      <c r="E40"/>
      <c r="F40"/>
      <c r="G40"/>
      <c r="H40"/>
      <c r="I40"/>
      <c r="J40"/>
      <c r="K40" s="5"/>
      <c r="L40" s="5"/>
    </row>
    <row r="41" spans="1:13" s="89" customFormat="1" x14ac:dyDescent="0.25">
      <c r="A41" s="88"/>
      <c r="B41" t="s">
        <v>1478</v>
      </c>
      <c r="C41" t="s">
        <v>1482</v>
      </c>
      <c r="D41" t="s">
        <v>1429</v>
      </c>
      <c r="E41"/>
      <c r="F41"/>
      <c r="G41"/>
      <c r="H41"/>
      <c r="I41"/>
      <c r="J41"/>
      <c r="K41" s="5"/>
      <c r="L41" s="5"/>
    </row>
    <row r="42" spans="1:13" s="89" customFormat="1" x14ac:dyDescent="0.25">
      <c r="A42" s="88"/>
      <c r="B42" t="s">
        <v>1488</v>
      </c>
      <c r="C42" t="s">
        <v>1549</v>
      </c>
      <c r="D42" t="s">
        <v>1550</v>
      </c>
      <c r="E42"/>
      <c r="F42"/>
      <c r="G42"/>
      <c r="H42"/>
      <c r="I42"/>
      <c r="J42"/>
      <c r="K42" s="5"/>
      <c r="L42" s="5"/>
    </row>
    <row r="43" spans="1:13" s="89" customFormat="1" x14ac:dyDescent="0.25">
      <c r="A43" s="88"/>
      <c r="B43" t="s">
        <v>1489</v>
      </c>
      <c r="C43" t="s">
        <v>1482</v>
      </c>
      <c r="D43" t="s">
        <v>300</v>
      </c>
      <c r="E43"/>
      <c r="F43"/>
      <c r="G43"/>
      <c r="H43"/>
      <c r="I43"/>
      <c r="J43"/>
      <c r="K43" s="5"/>
      <c r="L43" s="5"/>
    </row>
    <row r="44" spans="1:13" s="89" customFormat="1" ht="16.5" customHeight="1" x14ac:dyDescent="0.25">
      <c r="A44" s="88"/>
      <c r="B44" t="s">
        <v>1493</v>
      </c>
      <c r="C44" t="s">
        <v>1494</v>
      </c>
      <c r="D44" t="s">
        <v>1495</v>
      </c>
      <c r="E44"/>
      <c r="F44"/>
      <c r="G44"/>
      <c r="H44"/>
      <c r="I44"/>
      <c r="J44"/>
      <c r="K44" s="5"/>
      <c r="L44" s="5"/>
    </row>
    <row r="45" spans="1:13" s="89" customFormat="1" x14ac:dyDescent="0.25">
      <c r="A45" s="88"/>
      <c r="B45" t="s">
        <v>1517</v>
      </c>
      <c r="C45" t="s">
        <v>1522</v>
      </c>
      <c r="D45" t="s">
        <v>1523</v>
      </c>
      <c r="E45"/>
      <c r="F45"/>
      <c r="G45"/>
      <c r="H45"/>
      <c r="I45"/>
      <c r="J45"/>
      <c r="K45" s="5"/>
      <c r="L45" s="5"/>
    </row>
    <row r="46" spans="1:13" s="89" customFormat="1" x14ac:dyDescent="0.25">
      <c r="A46" s="88"/>
      <c r="B46" t="s">
        <v>1518</v>
      </c>
      <c r="C46" t="s">
        <v>1604</v>
      </c>
      <c r="D46" t="s">
        <v>1563</v>
      </c>
      <c r="E46"/>
      <c r="F46"/>
      <c r="G46"/>
      <c r="H46"/>
      <c r="I46"/>
      <c r="J46"/>
      <c r="K46" s="5"/>
      <c r="L46" s="5"/>
    </row>
    <row r="47" spans="1:13" s="89" customFormat="1" x14ac:dyDescent="0.25">
      <c r="A47" s="88"/>
      <c r="B47" t="s">
        <v>1531</v>
      </c>
      <c r="C47" t="s">
        <v>1557</v>
      </c>
      <c r="D47" t="s">
        <v>1558</v>
      </c>
      <c r="E47"/>
      <c r="F47"/>
      <c r="G47"/>
      <c r="H47"/>
      <c r="I47"/>
      <c r="J47"/>
      <c r="K47" s="5"/>
      <c r="L47" s="5"/>
    </row>
    <row r="48" spans="1:13" s="89" customFormat="1" x14ac:dyDescent="0.25">
      <c r="A48" s="88"/>
      <c r="B48" t="s">
        <v>1532</v>
      </c>
      <c r="C48" t="s">
        <v>1605</v>
      </c>
      <c r="D48" t="s">
        <v>1602</v>
      </c>
      <c r="E48"/>
      <c r="F48"/>
      <c r="G48"/>
      <c r="H48"/>
      <c r="I48"/>
      <c r="J48"/>
      <c r="K48" s="5"/>
      <c r="L48" s="5"/>
    </row>
    <row r="49" spans="1:12" s="89" customFormat="1" x14ac:dyDescent="0.25">
      <c r="A49" s="88"/>
      <c r="B49" t="s">
        <v>1529</v>
      </c>
      <c r="C49" t="s">
        <v>1565</v>
      </c>
      <c r="D49" t="s">
        <v>1569</v>
      </c>
      <c r="E49"/>
      <c r="F49"/>
      <c r="G49"/>
      <c r="H49"/>
      <c r="I49"/>
      <c r="J49"/>
      <c r="K49" s="5"/>
      <c r="L49" s="5"/>
    </row>
    <row r="50" spans="1:12" s="89" customFormat="1" x14ac:dyDescent="0.25">
      <c r="A50" s="88"/>
      <c r="B50" t="s">
        <v>1530</v>
      </c>
      <c r="C50" t="s">
        <v>1574</v>
      </c>
      <c r="D50" t="s">
        <v>1468</v>
      </c>
      <c r="E50"/>
      <c r="F50" s="5"/>
      <c r="G50" s="5"/>
      <c r="H50" s="5"/>
      <c r="I50"/>
      <c r="J50"/>
      <c r="K50" s="5"/>
      <c r="L50" s="5"/>
    </row>
    <row r="51" spans="1:12" s="89" customFormat="1" x14ac:dyDescent="0.25">
      <c r="A51" s="88"/>
      <c r="B51" t="s">
        <v>1533</v>
      </c>
      <c r="C51" t="s">
        <v>1578</v>
      </c>
      <c r="D51" t="s">
        <v>1631</v>
      </c>
      <c r="E51"/>
      <c r="F51" s="5"/>
      <c r="G51" s="5"/>
      <c r="H51" s="5"/>
      <c r="I51"/>
      <c r="J51"/>
      <c r="K51" s="5"/>
      <c r="L51" s="5"/>
    </row>
    <row r="52" spans="1:12" s="89" customFormat="1" x14ac:dyDescent="0.25">
      <c r="A52" s="88"/>
      <c r="B52" t="s">
        <v>1538</v>
      </c>
      <c r="C52" t="s">
        <v>1585</v>
      </c>
      <c r="D52" t="s">
        <v>1586</v>
      </c>
      <c r="E52"/>
      <c r="F52" s="5"/>
      <c r="G52" s="5"/>
      <c r="H52" s="5"/>
      <c r="I52"/>
      <c r="J52"/>
      <c r="K52" s="5"/>
      <c r="L52" s="5"/>
    </row>
    <row r="53" spans="1:12" s="89" customFormat="1" x14ac:dyDescent="0.25">
      <c r="A53" s="88"/>
      <c r="B53" t="s">
        <v>1539</v>
      </c>
      <c r="C53" t="s">
        <v>1593</v>
      </c>
      <c r="D53" t="s">
        <v>1594</v>
      </c>
      <c r="E53"/>
      <c r="F53" s="5"/>
      <c r="G53" s="5"/>
      <c r="H53" s="5"/>
      <c r="I53"/>
      <c r="J53"/>
      <c r="K53" s="5"/>
      <c r="L53" s="5"/>
    </row>
    <row r="54" spans="1:12" s="89" customFormat="1" x14ac:dyDescent="0.25">
      <c r="A54" s="88"/>
      <c r="B54" t="s">
        <v>1540</v>
      </c>
      <c r="C54" t="s">
        <v>1599</v>
      </c>
      <c r="D54" t="s">
        <v>1600</v>
      </c>
      <c r="E54"/>
      <c r="F54" s="5"/>
      <c r="G54" s="5"/>
      <c r="H54" s="5"/>
      <c r="I54"/>
      <c r="J54"/>
      <c r="K54" s="5"/>
      <c r="L54" s="5"/>
    </row>
    <row r="55" spans="1:12" s="89" customFormat="1" x14ac:dyDescent="0.25">
      <c r="A55" s="88"/>
      <c r="B55" t="s">
        <v>1626</v>
      </c>
      <c r="C55" t="s">
        <v>920</v>
      </c>
      <c r="D55" t="s">
        <v>1629</v>
      </c>
      <c r="E55"/>
      <c r="F55" s="5"/>
      <c r="G55" s="5"/>
      <c r="H55" s="5"/>
      <c r="I55"/>
      <c r="J55"/>
      <c r="K55" s="5"/>
      <c r="L55" s="5"/>
    </row>
    <row r="56" spans="1:12" s="89" customFormat="1" x14ac:dyDescent="0.25">
      <c r="A56" s="88"/>
      <c r="B56" t="s">
        <v>1743</v>
      </c>
      <c r="C56" t="s">
        <v>1752</v>
      </c>
      <c r="D56" t="s">
        <v>1747</v>
      </c>
      <c r="E56"/>
      <c r="F56" s="5"/>
      <c r="G56" s="5"/>
      <c r="H56" s="5"/>
      <c r="I56"/>
      <c r="J56"/>
      <c r="K56" s="5"/>
      <c r="L56" s="5"/>
    </row>
    <row r="57" spans="1:12" s="89" customFormat="1" x14ac:dyDescent="0.25">
      <c r="A57" s="88"/>
      <c r="B57" t="s">
        <v>1744</v>
      </c>
      <c r="C57" t="s">
        <v>1751</v>
      </c>
      <c r="D57" t="s">
        <v>1748</v>
      </c>
      <c r="E57"/>
      <c r="F57" s="5"/>
      <c r="G57" s="5"/>
      <c r="H57" s="5"/>
      <c r="I57"/>
      <c r="J57"/>
      <c r="K57" s="5"/>
      <c r="L57" s="5"/>
    </row>
    <row r="58" spans="1:12" s="89" customFormat="1" x14ac:dyDescent="0.25">
      <c r="A58" s="88"/>
      <c r="B58" t="s">
        <v>1745</v>
      </c>
      <c r="C58" t="s">
        <v>1753</v>
      </c>
      <c r="D58" t="s">
        <v>1755</v>
      </c>
      <c r="E58"/>
      <c r="F58" s="5"/>
      <c r="G58" s="5"/>
      <c r="H58" s="5"/>
      <c r="I58"/>
      <c r="J58"/>
      <c r="K58" s="5"/>
      <c r="L58" s="5"/>
    </row>
    <row r="59" spans="1:12" s="89" customFormat="1" x14ac:dyDescent="0.25">
      <c r="A59" s="88"/>
      <c r="B59" t="s">
        <v>1770</v>
      </c>
      <c r="C59" t="s">
        <v>1772</v>
      </c>
      <c r="D59" t="s">
        <v>274</v>
      </c>
      <c r="E59"/>
      <c r="F59" s="5"/>
      <c r="G59" s="5"/>
      <c r="H59" s="5"/>
      <c r="I59"/>
      <c r="J59"/>
      <c r="K59" s="5"/>
      <c r="L59" s="5"/>
    </row>
    <row r="60" spans="1:12" s="89" customFormat="1" x14ac:dyDescent="0.25">
      <c r="A60" s="88"/>
      <c r="B60" t="s">
        <v>1776</v>
      </c>
      <c r="C60" t="s">
        <v>1869</v>
      </c>
      <c r="D60" t="s">
        <v>1777</v>
      </c>
      <c r="E60"/>
      <c r="F60" s="5"/>
      <c r="G60" s="5"/>
      <c r="H60" s="5"/>
      <c r="I60"/>
      <c r="J60"/>
      <c r="K60" s="5"/>
      <c r="L60" s="5"/>
    </row>
    <row r="61" spans="1:12" s="89" customFormat="1" x14ac:dyDescent="0.25">
      <c r="A61" s="88"/>
      <c r="B61" t="s">
        <v>1791</v>
      </c>
      <c r="C61" t="s">
        <v>1870</v>
      </c>
      <c r="D61" t="s">
        <v>1797</v>
      </c>
      <c r="E61"/>
      <c r="F61" s="5"/>
      <c r="G61" s="5"/>
      <c r="H61" s="5"/>
      <c r="I61"/>
      <c r="J61"/>
      <c r="K61" s="5"/>
      <c r="L61" s="5"/>
    </row>
    <row r="62" spans="1:12" s="89" customFormat="1" x14ac:dyDescent="0.25">
      <c r="A62" s="88"/>
      <c r="B62" t="s">
        <v>1792</v>
      </c>
      <c r="C62" t="s">
        <v>1871</v>
      </c>
      <c r="D62" t="s">
        <v>1800</v>
      </c>
      <c r="E62"/>
      <c r="F62" s="5"/>
      <c r="G62" s="5"/>
      <c r="H62" s="5"/>
      <c r="I62"/>
      <c r="J62"/>
      <c r="K62" s="5"/>
      <c r="L62" s="5"/>
    </row>
    <row r="63" spans="1:12" s="89" customFormat="1" x14ac:dyDescent="0.25">
      <c r="A63" s="88"/>
      <c r="B63" t="s">
        <v>1821</v>
      </c>
      <c r="C63" t="s">
        <v>1823</v>
      </c>
      <c r="D63" t="s">
        <v>1824</v>
      </c>
      <c r="E63"/>
      <c r="F63" s="5"/>
      <c r="G63" s="5"/>
      <c r="H63" s="5"/>
      <c r="I63"/>
      <c r="J63"/>
      <c r="K63" s="5"/>
      <c r="L63" s="5"/>
    </row>
    <row r="64" spans="1:12" s="89" customFormat="1" x14ac:dyDescent="0.25">
      <c r="A64" s="88"/>
      <c r="B64" t="s">
        <v>1837</v>
      </c>
      <c r="C64" t="s">
        <v>1841</v>
      </c>
      <c r="D64" t="s">
        <v>1866</v>
      </c>
      <c r="E64"/>
      <c r="F64" s="5"/>
      <c r="G64" s="5"/>
      <c r="H64" s="5"/>
      <c r="I64"/>
      <c r="J64"/>
      <c r="K64" s="5"/>
      <c r="L64" s="5"/>
    </row>
    <row r="65" spans="1:12" s="89" customFormat="1" x14ac:dyDescent="0.25">
      <c r="A65" s="88"/>
      <c r="B65" t="s">
        <v>1845</v>
      </c>
      <c r="C65" t="s">
        <v>1867</v>
      </c>
      <c r="D65" t="s">
        <v>1846</v>
      </c>
      <c r="E65"/>
      <c r="F65" s="5"/>
      <c r="G65" s="5"/>
      <c r="H65" s="5"/>
      <c r="I65"/>
      <c r="J65"/>
      <c r="K65" s="5"/>
      <c r="L65" s="5"/>
    </row>
    <row r="66" spans="1:12" s="89" customFormat="1" x14ac:dyDescent="0.25">
      <c r="B66" t="s">
        <v>1854</v>
      </c>
      <c r="C66" t="s">
        <v>1868</v>
      </c>
      <c r="D66" t="s">
        <v>1862</v>
      </c>
      <c r="E66"/>
      <c r="F66" s="5"/>
      <c r="G66" s="5"/>
      <c r="H66" s="5"/>
      <c r="I66"/>
      <c r="J66"/>
      <c r="K66" s="5"/>
      <c r="L66" s="5"/>
    </row>
    <row r="67" spans="1:12" s="89" customFormat="1" x14ac:dyDescent="0.25">
      <c r="B67" t="s">
        <v>1874</v>
      </c>
      <c r="C67" t="s">
        <v>1980</v>
      </c>
      <c r="D67" t="s">
        <v>1981</v>
      </c>
      <c r="E67"/>
      <c r="F67" s="5"/>
      <c r="G67" s="5"/>
      <c r="H67" s="5"/>
      <c r="I67"/>
      <c r="J67"/>
      <c r="K67" s="5"/>
      <c r="L67" s="5"/>
    </row>
    <row r="68" spans="1:12" s="89" customFormat="1" x14ac:dyDescent="0.25">
      <c r="B68" t="s">
        <v>1965</v>
      </c>
      <c r="C68" t="s">
        <v>1988</v>
      </c>
      <c r="D68" t="s">
        <v>1986</v>
      </c>
      <c r="E68"/>
      <c r="F68" s="5"/>
      <c r="G68" s="5"/>
      <c r="H68" s="5"/>
      <c r="I68"/>
      <c r="J68"/>
      <c r="K68" s="5"/>
      <c r="L68" s="5"/>
    </row>
    <row r="69" spans="1:12" s="40" customFormat="1" x14ac:dyDescent="0.25">
      <c r="B69" t="s">
        <v>1966</v>
      </c>
      <c r="C69" t="s">
        <v>1994</v>
      </c>
      <c r="D69" t="s">
        <v>1995</v>
      </c>
      <c r="E69"/>
      <c r="F69" s="5"/>
      <c r="G69" s="5"/>
      <c r="H69" s="5"/>
      <c r="I69"/>
      <c r="J69"/>
      <c r="K69" s="5"/>
      <c r="L69" s="5"/>
    </row>
    <row r="70" spans="1:12" x14ac:dyDescent="0.25">
      <c r="B70" t="s">
        <v>1967</v>
      </c>
      <c r="C70" t="s">
        <v>2001</v>
      </c>
      <c r="D70" t="s">
        <v>2002</v>
      </c>
      <c r="E70"/>
    </row>
    <row r="71" spans="1:12" x14ac:dyDescent="0.25">
      <c r="B71" t="s">
        <v>1968</v>
      </c>
      <c r="C71" t="s">
        <v>2008</v>
      </c>
      <c r="D71" t="s">
        <v>1846</v>
      </c>
      <c r="E71"/>
    </row>
    <row r="72" spans="1:12" x14ac:dyDescent="0.25">
      <c r="B72" t="s">
        <v>1969</v>
      </c>
      <c r="C72" t="s">
        <v>2011</v>
      </c>
      <c r="D72" t="s">
        <v>1846</v>
      </c>
      <c r="E72"/>
    </row>
    <row r="73" spans="1:12" x14ac:dyDescent="0.25">
      <c r="B73" t="s">
        <v>57</v>
      </c>
      <c r="E73"/>
    </row>
    <row r="74" spans="1:12" x14ac:dyDescent="0.25">
      <c r="E74"/>
    </row>
    <row r="75" spans="1:12" x14ac:dyDescent="0.25">
      <c r="E75"/>
    </row>
    <row r="76" spans="1:12" x14ac:dyDescent="0.25">
      <c r="E76"/>
    </row>
    <row r="77" spans="1:12" x14ac:dyDescent="0.25">
      <c r="E77"/>
    </row>
    <row r="78" spans="1:12" x14ac:dyDescent="0.25">
      <c r="E78"/>
    </row>
    <row r="79" spans="1:12" x14ac:dyDescent="0.25">
      <c r="E79"/>
    </row>
    <row r="80" spans="1:12" x14ac:dyDescent="0.25">
      <c r="E80"/>
    </row>
    <row r="81" spans="6:12" customFormat="1" x14ac:dyDescent="0.25">
      <c r="F81" s="5"/>
      <c r="G81" s="5"/>
      <c r="H81" s="5"/>
      <c r="K81" s="5"/>
      <c r="L81" s="5"/>
    </row>
    <row r="82" spans="6:12" customFormat="1" x14ac:dyDescent="0.25">
      <c r="F82" s="5"/>
      <c r="G82" s="5"/>
      <c r="H82" s="5"/>
      <c r="K82" s="5"/>
      <c r="L82" s="5"/>
    </row>
    <row r="83" spans="6:12" customFormat="1" x14ac:dyDescent="0.25">
      <c r="F83" s="5"/>
      <c r="G83" s="5"/>
      <c r="H83" s="5"/>
      <c r="K83" s="5"/>
      <c r="L83" s="5"/>
    </row>
    <row r="84" spans="6:12" customFormat="1" x14ac:dyDescent="0.25">
      <c r="F84" s="5"/>
      <c r="G84" s="5"/>
      <c r="H84" s="5"/>
      <c r="K84" s="5"/>
      <c r="L84" s="5"/>
    </row>
    <row r="85" spans="6:12" customFormat="1" x14ac:dyDescent="0.25">
      <c r="F85" s="5"/>
      <c r="G85" s="5"/>
      <c r="H85" s="5"/>
      <c r="K85" s="5"/>
      <c r="L85" s="5"/>
    </row>
    <row r="86" spans="6:12" customFormat="1" x14ac:dyDescent="0.25">
      <c r="F86" s="5"/>
      <c r="G86" s="5"/>
      <c r="H86" s="5"/>
      <c r="K86" s="5"/>
      <c r="L86" s="5"/>
    </row>
    <row r="87" spans="6:12" customFormat="1" x14ac:dyDescent="0.25">
      <c r="F87" s="5"/>
      <c r="G87" s="5"/>
      <c r="H87" s="5"/>
      <c r="K87" s="5"/>
      <c r="L87" s="5"/>
    </row>
    <row r="88" spans="6:12" customFormat="1" x14ac:dyDescent="0.25">
      <c r="F88" s="5"/>
      <c r="G88" s="5"/>
      <c r="H88" s="5"/>
      <c r="K88" s="5"/>
      <c r="L88" s="5"/>
    </row>
    <row r="89" spans="6:12" customFormat="1" x14ac:dyDescent="0.25">
      <c r="F89" s="5"/>
      <c r="G89" s="5"/>
      <c r="H89" s="5"/>
      <c r="K89" s="5"/>
      <c r="L89" s="5"/>
    </row>
    <row r="90" spans="6:12" customFormat="1" x14ac:dyDescent="0.25">
      <c r="F90" s="5"/>
      <c r="G90" s="5"/>
      <c r="H90" s="5"/>
      <c r="K90" s="5"/>
      <c r="L90" s="5"/>
    </row>
    <row r="91" spans="6:12" customFormat="1" x14ac:dyDescent="0.25">
      <c r="F91" s="5"/>
      <c r="G91" s="5"/>
      <c r="H91" s="5"/>
      <c r="K91" s="5"/>
      <c r="L91" s="5"/>
    </row>
    <row r="92" spans="6:12" customFormat="1" x14ac:dyDescent="0.25">
      <c r="F92" s="5"/>
      <c r="G92" s="5"/>
      <c r="H92" s="5"/>
      <c r="K92" s="5"/>
      <c r="L92" s="5"/>
    </row>
    <row r="93" spans="6:12" customFormat="1" x14ac:dyDescent="0.25">
      <c r="F93" s="5"/>
      <c r="G93" s="5"/>
      <c r="H93" s="5"/>
      <c r="K93" s="5"/>
      <c r="L93" s="5"/>
    </row>
    <row r="94" spans="6:12" customFormat="1" x14ac:dyDescent="0.25">
      <c r="F94" s="5"/>
      <c r="G94" s="5"/>
      <c r="H94" s="5"/>
      <c r="K94" s="5"/>
      <c r="L94" s="5"/>
    </row>
    <row r="95" spans="6:12" customFormat="1" x14ac:dyDescent="0.25">
      <c r="F95" s="5"/>
      <c r="G95" s="5"/>
      <c r="H95" s="5"/>
      <c r="K95" s="5"/>
      <c r="L95" s="5"/>
    </row>
    <row r="96" spans="6:12" customFormat="1" x14ac:dyDescent="0.25">
      <c r="F96" s="5"/>
      <c r="G96" s="5"/>
      <c r="H96" s="5"/>
      <c r="K96" s="5"/>
      <c r="L96" s="5"/>
    </row>
    <row r="97" spans="6:12" customFormat="1" x14ac:dyDescent="0.25">
      <c r="F97" s="5"/>
      <c r="G97" s="5"/>
      <c r="H97" s="5"/>
      <c r="K97" s="5"/>
      <c r="L97" s="5"/>
    </row>
    <row r="98" spans="6:12" customFormat="1" x14ac:dyDescent="0.25">
      <c r="F98" s="5"/>
      <c r="G98" s="5"/>
      <c r="H98" s="5"/>
      <c r="K98" s="5"/>
      <c r="L98" s="5"/>
    </row>
    <row r="99" spans="6:12" customFormat="1" x14ac:dyDescent="0.25">
      <c r="F99" s="5"/>
      <c r="G99" s="5"/>
      <c r="H99" s="5"/>
      <c r="K99" s="5"/>
      <c r="L99" s="5"/>
    </row>
    <row r="100" spans="6:12" customFormat="1" x14ac:dyDescent="0.25">
      <c r="F100" s="5"/>
      <c r="G100" s="5"/>
      <c r="H100" s="5"/>
      <c r="K100" s="5"/>
      <c r="L100" s="5"/>
    </row>
    <row r="101" spans="6:12" customFormat="1" x14ac:dyDescent="0.25">
      <c r="F101" s="5"/>
      <c r="G101" s="5"/>
      <c r="H101" s="5"/>
      <c r="K101" s="5"/>
      <c r="L101" s="5"/>
    </row>
    <row r="102" spans="6:12" customFormat="1" x14ac:dyDescent="0.25">
      <c r="F102" s="5"/>
      <c r="G102" s="5"/>
      <c r="H102" s="5"/>
      <c r="K102" s="5"/>
      <c r="L102" s="5"/>
    </row>
    <row r="103" spans="6:12" customFormat="1" x14ac:dyDescent="0.25">
      <c r="F103" s="5"/>
      <c r="G103" s="5"/>
      <c r="H103" s="5"/>
      <c r="K103" s="5"/>
      <c r="L103" s="5"/>
    </row>
    <row r="104" spans="6:12" customFormat="1" x14ac:dyDescent="0.25">
      <c r="F104" s="5"/>
      <c r="G104" s="5"/>
      <c r="H104" s="5"/>
      <c r="K104" s="5"/>
      <c r="L104" s="5"/>
    </row>
    <row r="105" spans="6:12" customFormat="1" x14ac:dyDescent="0.25">
      <c r="F105" s="5"/>
      <c r="G105" s="5"/>
      <c r="H105" s="5"/>
      <c r="K105" s="5"/>
      <c r="L105" s="5"/>
    </row>
    <row r="106" spans="6:12" customFormat="1" x14ac:dyDescent="0.25">
      <c r="F106" s="5"/>
      <c r="G106" s="5"/>
      <c r="H106" s="5"/>
      <c r="K106" s="5"/>
      <c r="L106" s="5"/>
    </row>
    <row r="107" spans="6:12" customFormat="1" x14ac:dyDescent="0.25">
      <c r="F107" s="5"/>
      <c r="G107" s="5"/>
      <c r="H107" s="5"/>
      <c r="K107" s="5"/>
      <c r="L107" s="5"/>
    </row>
    <row r="108" spans="6:12" customFormat="1" x14ac:dyDescent="0.25">
      <c r="F108" s="5"/>
      <c r="G108" s="5"/>
      <c r="H108" s="5"/>
      <c r="K108" s="5"/>
      <c r="L108" s="5"/>
    </row>
    <row r="109" spans="6:12" customFormat="1" x14ac:dyDescent="0.25">
      <c r="F109" s="5"/>
      <c r="G109" s="5"/>
      <c r="H109" s="5"/>
      <c r="K109" s="5"/>
      <c r="L109" s="5"/>
    </row>
    <row r="110" spans="6:12" customFormat="1" x14ac:dyDescent="0.25">
      <c r="F110" s="5"/>
      <c r="G110" s="5"/>
      <c r="H110" s="5"/>
      <c r="K110" s="5"/>
      <c r="L110" s="5"/>
    </row>
    <row r="111" spans="6:12" customFormat="1" x14ac:dyDescent="0.25">
      <c r="F111" s="5"/>
      <c r="G111" s="5"/>
      <c r="H111" s="5"/>
      <c r="K111" s="5"/>
      <c r="L111" s="5"/>
    </row>
    <row r="112" spans="6:12" customFormat="1" x14ac:dyDescent="0.25">
      <c r="F112" s="5"/>
      <c r="G112" s="5"/>
      <c r="H112" s="5"/>
      <c r="K112" s="5"/>
      <c r="L112" s="5"/>
    </row>
    <row r="113" spans="6:12" customFormat="1" x14ac:dyDescent="0.25">
      <c r="F113" s="5"/>
      <c r="G113" s="5"/>
      <c r="H113" s="5"/>
      <c r="K113" s="5"/>
      <c r="L113" s="5"/>
    </row>
    <row r="114" spans="6:12" customFormat="1" x14ac:dyDescent="0.25">
      <c r="F114" s="5"/>
      <c r="G114" s="5"/>
      <c r="H114" s="5"/>
      <c r="K114" s="5"/>
      <c r="L114" s="5"/>
    </row>
    <row r="115" spans="6:12" customFormat="1" x14ac:dyDescent="0.25">
      <c r="F115" s="5"/>
      <c r="G115" s="5"/>
      <c r="H115" s="5"/>
      <c r="K115" s="5"/>
      <c r="L115" s="5"/>
    </row>
    <row r="116" spans="6:12" customFormat="1" x14ac:dyDescent="0.25">
      <c r="F116" s="5"/>
      <c r="G116" s="5"/>
      <c r="H116" s="5"/>
      <c r="K116" s="5"/>
      <c r="L116" s="5"/>
    </row>
    <row r="117" spans="6:12" customFormat="1" x14ac:dyDescent="0.25">
      <c r="F117" s="5"/>
      <c r="G117" s="5"/>
      <c r="H117" s="5"/>
      <c r="K117" s="5"/>
      <c r="L117" s="5"/>
    </row>
    <row r="118" spans="6:12" customFormat="1" x14ac:dyDescent="0.25">
      <c r="F118" s="5"/>
      <c r="G118" s="5"/>
      <c r="H118" s="5"/>
      <c r="K118" s="5"/>
      <c r="L118" s="5"/>
    </row>
    <row r="119" spans="6:12" customFormat="1" x14ac:dyDescent="0.25">
      <c r="F119" s="5"/>
      <c r="G119" s="5"/>
      <c r="H119" s="5"/>
      <c r="K119" s="5"/>
      <c r="L119" s="5"/>
    </row>
    <row r="120" spans="6:12" customFormat="1" x14ac:dyDescent="0.25">
      <c r="F120" s="5"/>
      <c r="G120" s="5"/>
      <c r="H120" s="5"/>
      <c r="K120" s="5"/>
      <c r="L120" s="5"/>
    </row>
    <row r="121" spans="6:12" customFormat="1" x14ac:dyDescent="0.25">
      <c r="F121" s="5"/>
      <c r="G121" s="5"/>
      <c r="H121" s="5"/>
      <c r="K121" s="5"/>
      <c r="L121" s="5"/>
    </row>
    <row r="122" spans="6:12" customFormat="1" x14ac:dyDescent="0.25">
      <c r="F122" s="5"/>
      <c r="G122" s="5"/>
      <c r="H122" s="5"/>
      <c r="K122" s="5"/>
      <c r="L122" s="5"/>
    </row>
    <row r="123" spans="6:12" customFormat="1" x14ac:dyDescent="0.25">
      <c r="F123" s="5"/>
      <c r="G123" s="5"/>
      <c r="H123" s="5"/>
      <c r="K123" s="5"/>
      <c r="L123" s="5"/>
    </row>
    <row r="124" spans="6:12" customFormat="1" x14ac:dyDescent="0.25">
      <c r="F124" s="5"/>
      <c r="G124" s="5"/>
      <c r="H124" s="5"/>
      <c r="K124" s="5"/>
      <c r="L124" s="5"/>
    </row>
  </sheetData>
  <pageMargins left="0.511811024" right="0.511811024" top="0.78740157499999996" bottom="0.78740157499999996" header="0.31496062000000002" footer="0.31496062000000002"/>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B2:X225"/>
  <sheetViews>
    <sheetView showGridLines="0" zoomScale="85" zoomScaleNormal="85" workbookViewId="0">
      <selection activeCell="J18" sqref="J18"/>
    </sheetView>
  </sheetViews>
  <sheetFormatPr defaultRowHeight="15" x14ac:dyDescent="0.25"/>
  <cols>
    <col min="2" max="2" width="29.5703125" style="9" bestFit="1" customWidth="1"/>
    <col min="3" max="3" width="16.42578125" bestFit="1" customWidth="1"/>
    <col min="4" max="4" width="8.140625" style="5" bestFit="1" customWidth="1"/>
    <col min="5" max="5" width="21.140625" style="5" customWidth="1"/>
    <col min="6" max="6" width="5.7109375" style="5" bestFit="1" customWidth="1"/>
    <col min="7" max="7" width="21.28515625" style="5" customWidth="1"/>
    <col min="8" max="8" width="22.28515625" customWidth="1"/>
    <col min="9" max="9" width="23" customWidth="1"/>
    <col min="10" max="10" width="23.7109375" style="20" customWidth="1"/>
    <col min="11" max="11" width="116" bestFit="1" customWidth="1"/>
    <col min="12" max="12" width="24.28515625" customWidth="1"/>
    <col min="13" max="13" width="8" customWidth="1"/>
    <col min="14" max="14" width="21.42578125" bestFit="1" customWidth="1"/>
    <col min="15" max="15" width="13.85546875" style="5" bestFit="1" customWidth="1"/>
    <col min="16" max="16" width="12.7109375" customWidth="1"/>
    <col min="17" max="17" width="13.85546875" customWidth="1"/>
    <col min="18" max="18" width="11.7109375" bestFit="1" customWidth="1"/>
    <col min="19" max="19" width="6.42578125" customWidth="1"/>
    <col min="20" max="20" width="21.140625" customWidth="1"/>
    <col min="21" max="22" width="11.7109375" customWidth="1"/>
    <col min="23" max="23" width="15.7109375" customWidth="1"/>
    <col min="24" max="24" width="13.140625" customWidth="1"/>
    <col min="25" max="25" width="11" bestFit="1" customWidth="1"/>
    <col min="26" max="26" width="10" bestFit="1" customWidth="1"/>
    <col min="27" max="27" width="12" bestFit="1" customWidth="1"/>
  </cols>
  <sheetData>
    <row r="2" spans="2:24" x14ac:dyDescent="0.25">
      <c r="B2" s="5"/>
      <c r="H2" s="40" t="s">
        <v>1608</v>
      </c>
      <c r="N2" s="40" t="s">
        <v>1607</v>
      </c>
      <c r="T2" s="40" t="s">
        <v>1609</v>
      </c>
      <c r="V2" s="20"/>
    </row>
    <row r="3" spans="2:24" ht="15.75" x14ac:dyDescent="0.25">
      <c r="B3"/>
      <c r="H3" s="103" t="s">
        <v>1606</v>
      </c>
      <c r="N3" s="103" t="s">
        <v>1606</v>
      </c>
      <c r="T3" s="103" t="s">
        <v>1606</v>
      </c>
      <c r="V3" s="20"/>
    </row>
    <row r="4" spans="2:24" ht="15.75" thickBot="1" x14ac:dyDescent="0.3">
      <c r="V4" s="20"/>
    </row>
    <row r="5" spans="2:24" s="9" customFormat="1" ht="60.75" thickBot="1" x14ac:dyDescent="0.3">
      <c r="B5" s="323"/>
      <c r="C5" s="324"/>
      <c r="D5" s="325"/>
      <c r="E5"/>
      <c r="F5"/>
      <c r="G5" s="5"/>
      <c r="H5" s="65" t="s">
        <v>84</v>
      </c>
      <c r="I5" s="65" t="s">
        <v>845</v>
      </c>
      <c r="J5" s="65" t="s">
        <v>842</v>
      </c>
      <c r="K5" s="65" t="s">
        <v>843</v>
      </c>
      <c r="L5" s="65" t="s">
        <v>844</v>
      </c>
      <c r="N5" s="65" t="s">
        <v>84</v>
      </c>
      <c r="O5" s="65" t="s">
        <v>845</v>
      </c>
      <c r="P5" s="65" t="s">
        <v>842</v>
      </c>
      <c r="Q5" s="65" t="s">
        <v>843</v>
      </c>
      <c r="R5" s="65" t="s">
        <v>844</v>
      </c>
      <c r="T5" s="65" t="s">
        <v>84</v>
      </c>
      <c r="U5" s="65" t="s">
        <v>845</v>
      </c>
      <c r="V5" s="65" t="s">
        <v>842</v>
      </c>
      <c r="W5" s="65" t="s">
        <v>843</v>
      </c>
      <c r="X5" s="65" t="s">
        <v>844</v>
      </c>
    </row>
    <row r="6" spans="2:24" ht="15.75" x14ac:dyDescent="0.25">
      <c r="B6" s="326"/>
      <c r="C6" s="327"/>
      <c r="D6" s="328"/>
      <c r="E6"/>
      <c r="F6"/>
      <c r="H6" s="124" t="s">
        <v>11</v>
      </c>
      <c r="I6" s="125">
        <v>8</v>
      </c>
      <c r="J6" s="126">
        <v>0.1951219512195122</v>
      </c>
      <c r="K6" s="293">
        <v>203636668.35999998</v>
      </c>
      <c r="L6" s="126">
        <v>0.74652658978959741</v>
      </c>
      <c r="N6" s="124" t="s">
        <v>4</v>
      </c>
      <c r="O6" s="125">
        <v>26</v>
      </c>
      <c r="P6" s="126">
        <v>0.89655172413793105</v>
      </c>
      <c r="Q6" s="293">
        <v>499552.27999999997</v>
      </c>
      <c r="R6" s="126">
        <v>0.89655172413793105</v>
      </c>
      <c r="T6" s="124" t="s">
        <v>11</v>
      </c>
      <c r="U6" s="125">
        <v>8</v>
      </c>
      <c r="V6" s="126">
        <f>U6/$U$11</f>
        <v>0.11428571428571428</v>
      </c>
      <c r="W6" s="293">
        <v>203636668.35999998</v>
      </c>
      <c r="X6" s="126">
        <f>W6/$W$11</f>
        <v>0.74509736347417588</v>
      </c>
    </row>
    <row r="7" spans="2:24" ht="16.5" thickBot="1" x14ac:dyDescent="0.3">
      <c r="B7" s="326"/>
      <c r="C7" s="327"/>
      <c r="D7" s="328"/>
      <c r="E7"/>
      <c r="F7"/>
      <c r="H7" s="124" t="s">
        <v>7</v>
      </c>
      <c r="I7" s="125">
        <v>10</v>
      </c>
      <c r="J7" s="126">
        <v>0.24390243902439024</v>
      </c>
      <c r="K7" s="293">
        <v>2017584.07</v>
      </c>
      <c r="L7" s="126">
        <v>7.3964093378713555E-3</v>
      </c>
      <c r="N7" s="124" t="s">
        <v>7</v>
      </c>
      <c r="O7" s="125">
        <v>3</v>
      </c>
      <c r="P7" s="126">
        <v>0.10344827586206896</v>
      </c>
      <c r="Q7" s="293">
        <v>23685</v>
      </c>
      <c r="R7" s="126">
        <v>0.10344827586206896</v>
      </c>
      <c r="T7" s="124" t="s">
        <v>7</v>
      </c>
      <c r="U7" s="125">
        <f>I7+O7</f>
        <v>13</v>
      </c>
      <c r="V7" s="126">
        <f>U7/$U$11</f>
        <v>0.18571428571428572</v>
      </c>
      <c r="W7" s="293">
        <f>K7+Q7</f>
        <v>2041269.07</v>
      </c>
      <c r="X7" s="126">
        <f t="shared" ref="X7:X10" si="0">W7/$W$11</f>
        <v>7.4689112449511062E-3</v>
      </c>
    </row>
    <row r="8" spans="2:24" ht="16.5" thickBot="1" x14ac:dyDescent="0.3">
      <c r="B8" s="326"/>
      <c r="C8" s="327"/>
      <c r="D8" s="328"/>
      <c r="E8"/>
      <c r="F8"/>
      <c r="H8" s="124" t="s">
        <v>4</v>
      </c>
      <c r="I8" s="125">
        <v>8</v>
      </c>
      <c r="J8" s="126">
        <v>0.1951219512195122</v>
      </c>
      <c r="K8" s="293">
        <v>11869267.760000002</v>
      </c>
      <c r="L8" s="126">
        <v>4.3512418738397077E-2</v>
      </c>
      <c r="N8" s="129" t="s">
        <v>57</v>
      </c>
      <c r="O8" s="130">
        <f ca="1">SUM(O6:O11)</f>
        <v>29</v>
      </c>
      <c r="P8" s="131">
        <f ca="1">SUM(P6:P11)</f>
        <v>1</v>
      </c>
      <c r="Q8" s="294">
        <f ca="1">SUM(Q6:Q11)</f>
        <v>523237.27999999997</v>
      </c>
      <c r="R8" s="131">
        <f ca="1">SUM(R6:R11)</f>
        <v>1</v>
      </c>
      <c r="T8" s="124" t="s">
        <v>4</v>
      </c>
      <c r="U8" s="125">
        <f>8+O6</f>
        <v>34</v>
      </c>
      <c r="V8" s="126">
        <f>U8/$U$11</f>
        <v>0.48571428571428571</v>
      </c>
      <c r="W8" s="293">
        <f>K8+Q6</f>
        <v>12368820.040000001</v>
      </c>
      <c r="X8" s="126">
        <f t="shared" si="0"/>
        <v>4.5256953353794066E-2</v>
      </c>
    </row>
    <row r="9" spans="2:24" ht="15.75" x14ac:dyDescent="0.25">
      <c r="B9" s="326"/>
      <c r="C9" s="327"/>
      <c r="D9" s="328"/>
      <c r="E9"/>
      <c r="F9"/>
      <c r="H9" s="124" t="s">
        <v>5</v>
      </c>
      <c r="I9" s="125">
        <v>13</v>
      </c>
      <c r="J9" s="126">
        <v>0.31707317073170732</v>
      </c>
      <c r="K9" s="293">
        <v>43761695.659999996</v>
      </c>
      <c r="L9" s="126">
        <v>0.16042920799860813</v>
      </c>
      <c r="N9" s="18"/>
      <c r="O9" s="292"/>
      <c r="P9" s="295"/>
      <c r="Q9" s="296"/>
      <c r="R9" s="295"/>
      <c r="T9" s="124" t="s">
        <v>5</v>
      </c>
      <c r="U9" s="125">
        <v>13</v>
      </c>
      <c r="V9" s="126">
        <f>U9/$U$11</f>
        <v>0.18571428571428572</v>
      </c>
      <c r="W9" s="293">
        <v>43761695.659999996</v>
      </c>
      <c r="X9" s="126">
        <f t="shared" si="0"/>
        <v>0.16012206603076681</v>
      </c>
    </row>
    <row r="10" spans="2:24" ht="16.5" thickBot="1" x14ac:dyDescent="0.3">
      <c r="B10" s="326"/>
      <c r="C10" s="327"/>
      <c r="D10" s="328"/>
      <c r="E10"/>
      <c r="F10"/>
      <c r="H10" s="124" t="s">
        <v>1083</v>
      </c>
      <c r="I10" s="125">
        <v>2</v>
      </c>
      <c r="J10" s="126">
        <v>4.878048780487805E-2</v>
      </c>
      <c r="K10" s="293">
        <v>11493639.109999999</v>
      </c>
      <c r="L10" s="126">
        <v>4.2135374135526066E-2</v>
      </c>
      <c r="T10" s="124" t="s">
        <v>1083</v>
      </c>
      <c r="U10" s="125">
        <v>2</v>
      </c>
      <c r="V10" s="126">
        <f>U10/$U$11</f>
        <v>2.8571428571428571E-2</v>
      </c>
      <c r="W10" s="293">
        <v>11493639.109999999</v>
      </c>
      <c r="X10" s="126">
        <f t="shared" si="0"/>
        <v>4.2054705896312244E-2</v>
      </c>
    </row>
    <row r="11" spans="2:24" ht="16.5" thickBot="1" x14ac:dyDescent="0.3">
      <c r="B11" s="326"/>
      <c r="C11" s="327"/>
      <c r="D11" s="328"/>
      <c r="E11"/>
      <c r="F11"/>
      <c r="H11" s="129" t="s">
        <v>57</v>
      </c>
      <c r="I11" s="130">
        <f ca="1">SUM(I6:I11)</f>
        <v>41</v>
      </c>
      <c r="J11" s="131">
        <f ca="1">SUM(J6:J11)</f>
        <v>1</v>
      </c>
      <c r="K11" s="294">
        <f ca="1">SUM(K6:K11)</f>
        <v>272778854.95999998</v>
      </c>
      <c r="L11" s="131">
        <f ca="1">SUM(L6:L11)</f>
        <v>1</v>
      </c>
      <c r="N11" s="18"/>
      <c r="O11" s="292"/>
      <c r="P11" s="295"/>
      <c r="Q11" s="296"/>
      <c r="R11" s="295"/>
      <c r="T11" s="129" t="s">
        <v>57</v>
      </c>
      <c r="U11" s="130">
        <f>SUM(U6:U10)</f>
        <v>70</v>
      </c>
      <c r="V11" s="131">
        <f>SUM(V6:V10)</f>
        <v>1</v>
      </c>
      <c r="W11" s="294">
        <f>SUM(W6:W10)</f>
        <v>273302092.23999995</v>
      </c>
      <c r="X11" s="131">
        <f ca="1">SUM(X6:X11)</f>
        <v>0</v>
      </c>
    </row>
    <row r="12" spans="2:24" x14ac:dyDescent="0.25">
      <c r="B12" s="326"/>
      <c r="C12" s="327"/>
      <c r="D12" s="328"/>
      <c r="E12"/>
      <c r="F12"/>
    </row>
    <row r="13" spans="2:24" x14ac:dyDescent="0.25">
      <c r="B13" s="326"/>
      <c r="C13" s="327"/>
      <c r="D13" s="328"/>
      <c r="J13"/>
    </row>
    <row r="14" spans="2:24" x14ac:dyDescent="0.25">
      <c r="B14" s="326"/>
      <c r="C14" s="327"/>
      <c r="D14" s="328"/>
      <c r="J14"/>
    </row>
    <row r="15" spans="2:24" x14ac:dyDescent="0.25">
      <c r="B15" s="326"/>
      <c r="C15" s="327"/>
      <c r="D15" s="328"/>
      <c r="J15"/>
    </row>
    <row r="16" spans="2:24" x14ac:dyDescent="0.25">
      <c r="B16" s="326"/>
      <c r="C16" s="327"/>
      <c r="D16" s="328"/>
      <c r="J16"/>
    </row>
    <row r="17" spans="2:10" x14ac:dyDescent="0.25">
      <c r="B17" s="326"/>
      <c r="C17" s="327"/>
      <c r="D17" s="328"/>
      <c r="E17" s="8"/>
      <c r="F17" s="9"/>
      <c r="G17" s="9"/>
      <c r="J17"/>
    </row>
    <row r="18" spans="2:10" x14ac:dyDescent="0.25">
      <c r="B18" s="326"/>
      <c r="C18" s="327"/>
      <c r="D18" s="328"/>
      <c r="E18" s="8"/>
      <c r="F18" s="9"/>
      <c r="G18" s="9"/>
      <c r="J18"/>
    </row>
    <row r="19" spans="2:10" x14ac:dyDescent="0.25">
      <c r="B19" s="326"/>
      <c r="C19" s="327"/>
      <c r="D19" s="328"/>
      <c r="E19" s="8"/>
      <c r="F19" s="9"/>
      <c r="G19" s="9"/>
      <c r="J19"/>
    </row>
    <row r="20" spans="2:10" x14ac:dyDescent="0.25">
      <c r="B20" s="326"/>
      <c r="C20" s="327"/>
      <c r="D20" s="328"/>
      <c r="E20" s="8"/>
      <c r="F20" s="9"/>
      <c r="G20" s="9"/>
      <c r="J20"/>
    </row>
    <row r="21" spans="2:10" x14ac:dyDescent="0.25">
      <c r="B21" s="326"/>
      <c r="C21" s="327"/>
      <c r="D21" s="328"/>
      <c r="E21" s="8"/>
      <c r="F21" s="9"/>
      <c r="G21" s="9"/>
      <c r="J21"/>
    </row>
    <row r="22" spans="2:10" x14ac:dyDescent="0.25">
      <c r="B22" s="329"/>
      <c r="C22" s="330"/>
      <c r="D22" s="331"/>
      <c r="E22" s="8"/>
      <c r="F22" s="9"/>
      <c r="G22" s="9"/>
      <c r="J22"/>
    </row>
    <row r="23" spans="2:10" x14ac:dyDescent="0.25">
      <c r="C23" s="8"/>
      <c r="D23" s="8"/>
      <c r="E23" s="8"/>
      <c r="F23" s="9"/>
      <c r="G23" s="9"/>
      <c r="J23"/>
    </row>
    <row r="24" spans="2:10" x14ac:dyDescent="0.25">
      <c r="C24" s="8"/>
      <c r="D24" s="8"/>
      <c r="E24" s="8"/>
      <c r="F24" s="9"/>
      <c r="G24" s="9"/>
      <c r="J24"/>
    </row>
    <row r="25" spans="2:10" x14ac:dyDescent="0.25">
      <c r="C25" s="8"/>
      <c r="D25" s="8"/>
      <c r="E25" s="8"/>
      <c r="F25" s="9"/>
      <c r="G25" s="9"/>
      <c r="J25"/>
    </row>
    <row r="26" spans="2:10" x14ac:dyDescent="0.25">
      <c r="B26" s="5"/>
      <c r="J26"/>
    </row>
    <row r="27" spans="2:10" x14ac:dyDescent="0.25">
      <c r="J27"/>
    </row>
    <row r="28" spans="2:10" ht="18.75" x14ac:dyDescent="0.25">
      <c r="F28" s="193"/>
      <c r="J28"/>
    </row>
    <row r="29" spans="2:10" x14ac:dyDescent="0.25">
      <c r="J29"/>
    </row>
    <row r="30" spans="2:10" x14ac:dyDescent="0.25">
      <c r="J30"/>
    </row>
    <row r="32" spans="2:10" x14ac:dyDescent="0.25">
      <c r="D32"/>
      <c r="E32"/>
    </row>
    <row r="33" spans="2:9" x14ac:dyDescent="0.25">
      <c r="D33"/>
      <c r="E33"/>
    </row>
    <row r="34" spans="2:9" x14ac:dyDescent="0.25">
      <c r="D34"/>
      <c r="E34"/>
    </row>
    <row r="35" spans="2:9" x14ac:dyDescent="0.25">
      <c r="D35"/>
      <c r="E35"/>
    </row>
    <row r="36" spans="2:9" x14ac:dyDescent="0.25">
      <c r="D36"/>
      <c r="E36"/>
    </row>
    <row r="37" spans="2:9" x14ac:dyDescent="0.25">
      <c r="D37"/>
      <c r="E37"/>
    </row>
    <row r="38" spans="2:9" x14ac:dyDescent="0.25">
      <c r="D38"/>
      <c r="E38"/>
    </row>
    <row r="39" spans="2:9" ht="18.75" x14ac:dyDescent="0.25">
      <c r="D39"/>
      <c r="I39" s="165" t="s">
        <v>1096</v>
      </c>
    </row>
    <row r="40" spans="2:9" x14ac:dyDescent="0.25">
      <c r="D40"/>
      <c r="I40" s="5"/>
    </row>
    <row r="41" spans="2:9" x14ac:dyDescent="0.25">
      <c r="D41"/>
    </row>
    <row r="42" spans="2:9" x14ac:dyDescent="0.25">
      <c r="D42"/>
    </row>
    <row r="43" spans="2:9" x14ac:dyDescent="0.25">
      <c r="D43"/>
    </row>
    <row r="44" spans="2:9" x14ac:dyDescent="0.25">
      <c r="D44"/>
    </row>
    <row r="45" spans="2:9" x14ac:dyDescent="0.25">
      <c r="D45"/>
    </row>
    <row r="46" spans="2:9" ht="18.75" x14ac:dyDescent="0.25">
      <c r="B46" s="193" t="s">
        <v>1095</v>
      </c>
      <c r="D46"/>
    </row>
    <row r="47" spans="2:9" x14ac:dyDescent="0.25">
      <c r="D47"/>
    </row>
    <row r="48" spans="2:9" x14ac:dyDescent="0.25">
      <c r="B48"/>
      <c r="D48"/>
    </row>
    <row r="49" spans="2:14" x14ac:dyDescent="0.25">
      <c r="D49"/>
    </row>
    <row r="50" spans="2:14" x14ac:dyDescent="0.25">
      <c r="B50" s="246" t="s">
        <v>426</v>
      </c>
      <c r="D50"/>
    </row>
    <row r="51" spans="2:14" x14ac:dyDescent="0.25">
      <c r="B51" s="245" t="s">
        <v>56</v>
      </c>
      <c r="D51"/>
    </row>
    <row r="52" spans="2:14" x14ac:dyDescent="0.25">
      <c r="B52" s="245" t="s">
        <v>1716</v>
      </c>
      <c r="D52"/>
    </row>
    <row r="53" spans="2:14" x14ac:dyDescent="0.25">
      <c r="B53" s="245" t="s">
        <v>1717</v>
      </c>
    </row>
    <row r="54" spans="2:14" x14ac:dyDescent="0.25">
      <c r="B54" s="245" t="s">
        <v>1718</v>
      </c>
    </row>
    <row r="55" spans="2:14" x14ac:dyDescent="0.25">
      <c r="B55" s="245" t="s">
        <v>1719</v>
      </c>
    </row>
    <row r="56" spans="2:14" x14ac:dyDescent="0.25">
      <c r="B56" s="245" t="s">
        <v>1720</v>
      </c>
    </row>
    <row r="57" spans="2:14" x14ac:dyDescent="0.25">
      <c r="B57" s="245" t="s">
        <v>1721</v>
      </c>
    </row>
    <row r="58" spans="2:14" x14ac:dyDescent="0.25">
      <c r="B58" s="245" t="s">
        <v>1722</v>
      </c>
    </row>
    <row r="59" spans="2:14" x14ac:dyDescent="0.25">
      <c r="B59" s="245" t="s">
        <v>1723</v>
      </c>
    </row>
    <row r="60" spans="2:14" x14ac:dyDescent="0.25">
      <c r="B60" s="245" t="s">
        <v>1724</v>
      </c>
    </row>
    <row r="61" spans="2:14" ht="18.75" x14ac:dyDescent="0.25">
      <c r="B61" s="245" t="s">
        <v>1725</v>
      </c>
      <c r="I61" s="165" t="s">
        <v>1099</v>
      </c>
      <c r="J61"/>
      <c r="L61" s="5"/>
      <c r="M61" s="5"/>
      <c r="N61" s="5"/>
    </row>
    <row r="62" spans="2:14" x14ac:dyDescent="0.25">
      <c r="B62" s="245" t="s">
        <v>1726</v>
      </c>
      <c r="D62"/>
      <c r="I62" s="5"/>
      <c r="J62"/>
      <c r="L62" s="5"/>
      <c r="M62" s="5"/>
      <c r="N62" s="5"/>
    </row>
    <row r="63" spans="2:14" x14ac:dyDescent="0.25">
      <c r="B63" s="245" t="s">
        <v>1727</v>
      </c>
      <c r="D63"/>
      <c r="J63"/>
      <c r="K63" s="5"/>
      <c r="L63" s="5"/>
      <c r="M63" s="5"/>
      <c r="N63" s="5"/>
    </row>
    <row r="64" spans="2:14" x14ac:dyDescent="0.25">
      <c r="B64" s="245" t="s">
        <v>1728</v>
      </c>
      <c r="D64"/>
      <c r="I64" s="9"/>
      <c r="J64"/>
      <c r="K64" s="5"/>
      <c r="L64" s="5"/>
      <c r="M64" s="5"/>
      <c r="N64" s="5"/>
    </row>
    <row r="65" spans="2:15" x14ac:dyDescent="0.25">
      <c r="B65" s="245" t="s">
        <v>1729</v>
      </c>
      <c r="D65"/>
      <c r="I65" s="192" t="s">
        <v>19</v>
      </c>
      <c r="J65" s="192" t="s">
        <v>1</v>
      </c>
      <c r="K65" s="192" t="s">
        <v>6</v>
      </c>
      <c r="O65"/>
    </row>
    <row r="66" spans="2:15" x14ac:dyDescent="0.25">
      <c r="B66" s="245" t="s">
        <v>1730</v>
      </c>
      <c r="D66"/>
      <c r="I66" t="s">
        <v>56</v>
      </c>
      <c r="J66" t="s">
        <v>56</v>
      </c>
      <c r="K66" t="s">
        <v>56</v>
      </c>
      <c r="O66"/>
    </row>
    <row r="67" spans="2:15" x14ac:dyDescent="0.25">
      <c r="B67" s="245" t="s">
        <v>1731</v>
      </c>
      <c r="I67" t="s">
        <v>111</v>
      </c>
      <c r="J67" t="s">
        <v>114</v>
      </c>
      <c r="K67" t="s">
        <v>115</v>
      </c>
      <c r="O67"/>
    </row>
    <row r="68" spans="2:15" x14ac:dyDescent="0.25">
      <c r="B68" s="245" t="s">
        <v>1732</v>
      </c>
      <c r="I68" t="s">
        <v>103</v>
      </c>
      <c r="J68" t="s">
        <v>106</v>
      </c>
      <c r="K68" t="s">
        <v>107</v>
      </c>
      <c r="O68"/>
    </row>
    <row r="69" spans="2:15" x14ac:dyDescent="0.25">
      <c r="B69" s="245" t="s">
        <v>1733</v>
      </c>
      <c r="I69" t="s">
        <v>120</v>
      </c>
      <c r="J69" t="s">
        <v>122</v>
      </c>
      <c r="K69" t="s">
        <v>123</v>
      </c>
      <c r="O69"/>
    </row>
    <row r="70" spans="2:15" x14ac:dyDescent="0.25">
      <c r="B70" s="245" t="s">
        <v>1734</v>
      </c>
      <c r="I70" t="s">
        <v>134</v>
      </c>
      <c r="J70" t="s">
        <v>137</v>
      </c>
      <c r="K70" t="s">
        <v>138</v>
      </c>
      <c r="O70"/>
    </row>
    <row r="71" spans="2:15" x14ac:dyDescent="0.25">
      <c r="B71" s="245" t="s">
        <v>1735</v>
      </c>
      <c r="I71" t="s">
        <v>145</v>
      </c>
      <c r="J71" t="s">
        <v>144</v>
      </c>
      <c r="K71" t="s">
        <v>141</v>
      </c>
      <c r="O71"/>
    </row>
    <row r="72" spans="2:15" x14ac:dyDescent="0.25">
      <c r="B72" s="245" t="s">
        <v>1736</v>
      </c>
      <c r="I72" t="s">
        <v>156</v>
      </c>
      <c r="J72" t="s">
        <v>158</v>
      </c>
      <c r="K72" t="s">
        <v>159</v>
      </c>
      <c r="O72"/>
    </row>
    <row r="73" spans="2:15" x14ac:dyDescent="0.25">
      <c r="B73" s="245" t="s">
        <v>1737</v>
      </c>
      <c r="I73" t="s">
        <v>185</v>
      </c>
      <c r="J73" t="s">
        <v>165</v>
      </c>
      <c r="K73" t="s">
        <v>167</v>
      </c>
      <c r="O73"/>
    </row>
    <row r="74" spans="2:15" x14ac:dyDescent="0.25">
      <c r="B74" s="245" t="s">
        <v>1738</v>
      </c>
      <c r="I74" t="s">
        <v>186</v>
      </c>
      <c r="J74" t="s">
        <v>166</v>
      </c>
      <c r="K74" t="s">
        <v>169</v>
      </c>
      <c r="O74"/>
    </row>
    <row r="75" spans="2:15" x14ac:dyDescent="0.25">
      <c r="B75" s="245" t="s">
        <v>1739</v>
      </c>
      <c r="I75" t="s">
        <v>187</v>
      </c>
      <c r="J75" t="s">
        <v>175</v>
      </c>
      <c r="K75" t="s">
        <v>176</v>
      </c>
      <c r="O75"/>
    </row>
    <row r="76" spans="2:15" x14ac:dyDescent="0.25">
      <c r="B76" s="245" t="s">
        <v>1740</v>
      </c>
      <c r="I76" t="s">
        <v>188</v>
      </c>
      <c r="J76" t="s">
        <v>182</v>
      </c>
      <c r="K76" t="s">
        <v>183</v>
      </c>
      <c r="O76"/>
    </row>
    <row r="77" spans="2:15" x14ac:dyDescent="0.25">
      <c r="B77" s="245" t="s">
        <v>1741</v>
      </c>
      <c r="I77" t="s">
        <v>252</v>
      </c>
      <c r="J77" t="s">
        <v>199</v>
      </c>
      <c r="K77" t="s">
        <v>195</v>
      </c>
      <c r="O77"/>
    </row>
    <row r="78" spans="2:15" x14ac:dyDescent="0.25">
      <c r="B78" s="245" t="s">
        <v>1757</v>
      </c>
      <c r="I78" t="s">
        <v>214</v>
      </c>
      <c r="J78" t="s">
        <v>215</v>
      </c>
      <c r="K78" t="s">
        <v>216</v>
      </c>
      <c r="O78"/>
    </row>
    <row r="79" spans="2:15" x14ac:dyDescent="0.25">
      <c r="B79" s="245" t="s">
        <v>1819</v>
      </c>
      <c r="I79" t="s">
        <v>222</v>
      </c>
      <c r="J79" t="s">
        <v>223</v>
      </c>
      <c r="K79" t="s">
        <v>224</v>
      </c>
      <c r="O79"/>
    </row>
    <row r="80" spans="2:15" x14ac:dyDescent="0.25">
      <c r="B80" s="245" t="s">
        <v>1820</v>
      </c>
      <c r="I80" t="s">
        <v>226</v>
      </c>
      <c r="J80" t="s">
        <v>223</v>
      </c>
      <c r="K80" t="s">
        <v>227</v>
      </c>
      <c r="O80"/>
    </row>
    <row r="81" spans="2:15" x14ac:dyDescent="0.25">
      <c r="B81" s="245">
        <v>46143</v>
      </c>
      <c r="I81" t="s">
        <v>233</v>
      </c>
      <c r="J81" t="s">
        <v>234</v>
      </c>
      <c r="K81" t="s">
        <v>235</v>
      </c>
      <c r="O81"/>
    </row>
    <row r="82" spans="2:15" x14ac:dyDescent="0.25">
      <c r="B82" s="245">
        <v>46205</v>
      </c>
      <c r="I82" t="s">
        <v>240</v>
      </c>
      <c r="J82" t="s">
        <v>241</v>
      </c>
      <c r="K82" t="s">
        <v>242</v>
      </c>
      <c r="O82"/>
    </row>
    <row r="83" spans="2:15" x14ac:dyDescent="0.25">
      <c r="B83" s="245">
        <v>46219</v>
      </c>
      <c r="I83" t="s">
        <v>247</v>
      </c>
      <c r="J83" t="s">
        <v>248</v>
      </c>
      <c r="K83" t="s">
        <v>249</v>
      </c>
      <c r="O83"/>
    </row>
    <row r="84" spans="2:15" x14ac:dyDescent="0.25">
      <c r="B84" s="245">
        <v>46237</v>
      </c>
      <c r="I84" t="s">
        <v>258</v>
      </c>
      <c r="J84" t="s">
        <v>264</v>
      </c>
      <c r="K84" t="s">
        <v>262</v>
      </c>
    </row>
    <row r="85" spans="2:15" x14ac:dyDescent="0.25">
      <c r="B85" s="245">
        <v>46226</v>
      </c>
      <c r="I85" t="s">
        <v>263</v>
      </c>
      <c r="J85" t="s">
        <v>261</v>
      </c>
      <c r="K85" t="s">
        <v>262</v>
      </c>
    </row>
    <row r="86" spans="2:15" x14ac:dyDescent="0.25">
      <c r="B86" s="245">
        <v>46230</v>
      </c>
      <c r="I86" t="s">
        <v>271</v>
      </c>
      <c r="J86" t="s">
        <v>273</v>
      </c>
      <c r="K86" t="s">
        <v>274</v>
      </c>
    </row>
    <row r="87" spans="2:15" x14ac:dyDescent="0.25">
      <c r="B87" s="245">
        <v>46248</v>
      </c>
      <c r="I87" t="s">
        <v>280</v>
      </c>
      <c r="J87" t="s">
        <v>281</v>
      </c>
      <c r="K87" t="s">
        <v>282</v>
      </c>
    </row>
    <row r="88" spans="2:15" x14ac:dyDescent="0.25">
      <c r="B88" s="245">
        <v>46252</v>
      </c>
      <c r="G88"/>
      <c r="I88" t="s">
        <v>288</v>
      </c>
      <c r="J88" t="s">
        <v>291</v>
      </c>
      <c r="K88" t="s">
        <v>292</v>
      </c>
    </row>
    <row r="89" spans="2:15" x14ac:dyDescent="0.25">
      <c r="B89" s="245">
        <v>46247</v>
      </c>
      <c r="D89"/>
      <c r="E89"/>
      <c r="F89"/>
      <c r="G89"/>
      <c r="I89" t="s">
        <v>298</v>
      </c>
      <c r="J89" t="s">
        <v>299</v>
      </c>
      <c r="K89" t="s">
        <v>300</v>
      </c>
    </row>
    <row r="90" spans="2:15" x14ac:dyDescent="0.25">
      <c r="B90" s="245">
        <v>46260</v>
      </c>
      <c r="G90"/>
      <c r="I90" t="s">
        <v>305</v>
      </c>
      <c r="J90" t="s">
        <v>306</v>
      </c>
      <c r="K90" t="s">
        <v>307</v>
      </c>
    </row>
    <row r="91" spans="2:15" x14ac:dyDescent="0.25">
      <c r="B91" s="5" t="s">
        <v>57</v>
      </c>
      <c r="G91"/>
      <c r="I91" t="s">
        <v>313</v>
      </c>
      <c r="J91" t="s">
        <v>314</v>
      </c>
      <c r="K91" t="s">
        <v>315</v>
      </c>
    </row>
    <row r="92" spans="2:15" x14ac:dyDescent="0.25">
      <c r="B92"/>
      <c r="G92"/>
      <c r="I92" t="s">
        <v>321</v>
      </c>
      <c r="J92" t="s">
        <v>322</v>
      </c>
      <c r="K92" t="s">
        <v>323</v>
      </c>
    </row>
    <row r="93" spans="2:15" x14ac:dyDescent="0.25">
      <c r="B93"/>
      <c r="G93"/>
      <c r="I93" t="s">
        <v>325</v>
      </c>
      <c r="J93" t="s">
        <v>322</v>
      </c>
      <c r="K93" t="s">
        <v>323</v>
      </c>
    </row>
    <row r="94" spans="2:15" x14ac:dyDescent="0.25">
      <c r="B94"/>
      <c r="I94" t="s">
        <v>332</v>
      </c>
      <c r="J94" t="s">
        <v>333</v>
      </c>
      <c r="K94" t="s">
        <v>334</v>
      </c>
    </row>
    <row r="95" spans="2:15" x14ac:dyDescent="0.25">
      <c r="B95"/>
      <c r="I95" t="s">
        <v>341</v>
      </c>
      <c r="J95" t="s">
        <v>337</v>
      </c>
      <c r="K95" t="s">
        <v>338</v>
      </c>
    </row>
    <row r="96" spans="2:15" x14ac:dyDescent="0.25">
      <c r="B96"/>
      <c r="I96" t="s">
        <v>349</v>
      </c>
      <c r="J96" t="s">
        <v>350</v>
      </c>
      <c r="K96" t="s">
        <v>351</v>
      </c>
    </row>
    <row r="97" spans="2:15" x14ac:dyDescent="0.25">
      <c r="B97"/>
      <c r="I97" t="s">
        <v>357</v>
      </c>
      <c r="J97" t="s">
        <v>358</v>
      </c>
      <c r="K97" t="s">
        <v>359</v>
      </c>
    </row>
    <row r="98" spans="2:15" x14ac:dyDescent="0.25">
      <c r="B98"/>
      <c r="I98" t="s">
        <v>427</v>
      </c>
      <c r="J98" t="s">
        <v>199</v>
      </c>
      <c r="K98" t="s">
        <v>195</v>
      </c>
    </row>
    <row r="99" spans="2:15" x14ac:dyDescent="0.25">
      <c r="B99"/>
      <c r="I99" t="s">
        <v>430</v>
      </c>
      <c r="J99" t="s">
        <v>469</v>
      </c>
      <c r="K99" t="s">
        <v>470</v>
      </c>
    </row>
    <row r="100" spans="2:15" x14ac:dyDescent="0.25">
      <c r="B100"/>
      <c r="I100" t="s">
        <v>482</v>
      </c>
      <c r="J100" t="s">
        <v>483</v>
      </c>
      <c r="K100" t="s">
        <v>485</v>
      </c>
    </row>
    <row r="101" spans="2:15" x14ac:dyDescent="0.25">
      <c r="B101"/>
      <c r="I101" t="s">
        <v>488</v>
      </c>
      <c r="J101" t="s">
        <v>1032</v>
      </c>
      <c r="K101" t="s">
        <v>489</v>
      </c>
    </row>
    <row r="102" spans="2:15" x14ac:dyDescent="0.25">
      <c r="B102"/>
      <c r="I102" t="s">
        <v>495</v>
      </c>
      <c r="J102" t="s">
        <v>498</v>
      </c>
      <c r="K102" t="s">
        <v>499</v>
      </c>
    </row>
    <row r="103" spans="2:15" ht="15.75" thickBot="1" x14ac:dyDescent="0.3">
      <c r="B103"/>
      <c r="G103"/>
      <c r="H103" s="20"/>
      <c r="I103" t="s">
        <v>501</v>
      </c>
      <c r="J103" t="s">
        <v>498</v>
      </c>
      <c r="K103" t="s">
        <v>502</v>
      </c>
    </row>
    <row r="104" spans="2:15" ht="60.75" thickBot="1" x14ac:dyDescent="0.3">
      <c r="B104"/>
      <c r="I104" t="s">
        <v>508</v>
      </c>
      <c r="J104" t="s">
        <v>511</v>
      </c>
      <c r="K104" t="s">
        <v>512</v>
      </c>
      <c r="L104" s="65" t="s">
        <v>6</v>
      </c>
      <c r="M104" s="65" t="s">
        <v>23</v>
      </c>
      <c r="N104" s="65" t="s">
        <v>24</v>
      </c>
      <c r="O104" s="65" t="s">
        <v>38</v>
      </c>
    </row>
    <row r="105" spans="2:15" ht="31.5" x14ac:dyDescent="0.25">
      <c r="B105"/>
      <c r="I105" t="s">
        <v>518</v>
      </c>
      <c r="J105" t="s">
        <v>520</v>
      </c>
      <c r="K105" t="s">
        <v>521</v>
      </c>
      <c r="L105" s="194" t="s">
        <v>1031</v>
      </c>
      <c r="M105" s="195" t="s">
        <v>1028</v>
      </c>
      <c r="N105" s="196" t="s">
        <v>1029</v>
      </c>
      <c r="O105" s="132">
        <v>122036510.12</v>
      </c>
    </row>
    <row r="106" spans="2:15" ht="31.5" x14ac:dyDescent="0.25">
      <c r="B106"/>
      <c r="I106" t="s">
        <v>527</v>
      </c>
      <c r="J106" t="s">
        <v>530</v>
      </c>
      <c r="K106" t="s">
        <v>531</v>
      </c>
      <c r="L106" s="194" t="s">
        <v>839</v>
      </c>
      <c r="M106" s="195">
        <v>45840</v>
      </c>
      <c r="N106" s="196">
        <v>47120</v>
      </c>
      <c r="O106" s="132">
        <v>42883891.130000003</v>
      </c>
    </row>
    <row r="107" spans="2:15" ht="78.75" x14ac:dyDescent="0.25">
      <c r="B107"/>
      <c r="I107" t="s">
        <v>536</v>
      </c>
      <c r="J107" t="s">
        <v>533</v>
      </c>
      <c r="K107" t="s">
        <v>538</v>
      </c>
      <c r="L107" s="194" t="s">
        <v>1487</v>
      </c>
      <c r="M107" s="195">
        <v>45940</v>
      </c>
      <c r="N107" s="196">
        <v>47766</v>
      </c>
      <c r="O107" s="132">
        <v>8716646</v>
      </c>
    </row>
    <row r="108" spans="2:15" ht="31.5" x14ac:dyDescent="0.25">
      <c r="I108" t="s">
        <v>552</v>
      </c>
      <c r="J108" t="s">
        <v>555</v>
      </c>
      <c r="K108" t="s">
        <v>556</v>
      </c>
      <c r="L108" s="194" t="s">
        <v>839</v>
      </c>
      <c r="M108" s="195">
        <v>45840</v>
      </c>
      <c r="N108" s="196">
        <v>47120</v>
      </c>
      <c r="O108" s="132">
        <v>9795115.5099999998</v>
      </c>
    </row>
    <row r="109" spans="2:15" ht="78.75" x14ac:dyDescent="0.25">
      <c r="I109" t="s">
        <v>560</v>
      </c>
      <c r="J109" t="s">
        <v>602</v>
      </c>
      <c r="K109" t="s">
        <v>601</v>
      </c>
      <c r="L109" s="194" t="s">
        <v>1487</v>
      </c>
      <c r="M109" s="195">
        <v>45940</v>
      </c>
      <c r="N109" s="196">
        <v>47766</v>
      </c>
      <c r="O109" s="132">
        <v>274978.90000000002</v>
      </c>
    </row>
    <row r="110" spans="2:15" ht="15.75" x14ac:dyDescent="0.25">
      <c r="I110" t="s">
        <v>569</v>
      </c>
      <c r="J110" t="s">
        <v>571</v>
      </c>
      <c r="K110" t="s">
        <v>572</v>
      </c>
      <c r="L110" s="194" t="s">
        <v>1020</v>
      </c>
      <c r="M110" s="195" t="s">
        <v>1017</v>
      </c>
      <c r="N110" s="196" t="s">
        <v>1018</v>
      </c>
      <c r="O110" s="132">
        <v>18918796.23</v>
      </c>
    </row>
    <row r="111" spans="2:15" ht="31.5" x14ac:dyDescent="0.25">
      <c r="I111" t="s">
        <v>578</v>
      </c>
      <c r="J111" t="s">
        <v>581</v>
      </c>
      <c r="K111" t="s">
        <v>582</v>
      </c>
      <c r="L111" s="194" t="s">
        <v>1429</v>
      </c>
      <c r="M111" s="195">
        <v>45929</v>
      </c>
      <c r="N111" s="196">
        <v>46294</v>
      </c>
      <c r="O111" s="132">
        <v>899269.64</v>
      </c>
    </row>
    <row r="112" spans="2:15" ht="79.5" thickBot="1" x14ac:dyDescent="0.3">
      <c r="I112" t="s">
        <v>587</v>
      </c>
      <c r="J112" t="s">
        <v>589</v>
      </c>
      <c r="K112" t="s">
        <v>590</v>
      </c>
      <c r="L112" s="301" t="s">
        <v>300</v>
      </c>
      <c r="M112" s="302">
        <v>45980</v>
      </c>
      <c r="N112" s="303">
        <v>46345</v>
      </c>
      <c r="O112" s="304">
        <v>111460.83</v>
      </c>
    </row>
    <row r="113" spans="2:15" ht="19.5" thickBot="1" x14ac:dyDescent="0.35">
      <c r="I113" t="s">
        <v>595</v>
      </c>
      <c r="J113" t="s">
        <v>598</v>
      </c>
      <c r="K113" t="s">
        <v>599</v>
      </c>
      <c r="L113" s="305"/>
      <c r="M113" s="305"/>
      <c r="N113" s="305"/>
      <c r="O113" s="306">
        <f>SUM(O105:O112)</f>
        <v>203636668.35999998</v>
      </c>
    </row>
    <row r="114" spans="2:15" x14ac:dyDescent="0.25">
      <c r="I114" t="s">
        <v>604</v>
      </c>
      <c r="J114" t="s">
        <v>606</v>
      </c>
      <c r="K114" t="s">
        <v>607</v>
      </c>
    </row>
    <row r="115" spans="2:15" x14ac:dyDescent="0.25">
      <c r="I115" t="s">
        <v>609</v>
      </c>
      <c r="J115" t="s">
        <v>612</v>
      </c>
      <c r="K115" t="s">
        <v>613</v>
      </c>
    </row>
    <row r="116" spans="2:15" x14ac:dyDescent="0.25">
      <c r="I116" t="s">
        <v>645</v>
      </c>
      <c r="J116" t="s">
        <v>656</v>
      </c>
      <c r="K116" t="s">
        <v>657</v>
      </c>
    </row>
    <row r="117" spans="2:15" x14ac:dyDescent="0.25">
      <c r="I117" t="s">
        <v>646</v>
      </c>
      <c r="J117" t="s">
        <v>662</v>
      </c>
      <c r="K117" t="s">
        <v>663</v>
      </c>
    </row>
    <row r="118" spans="2:15" x14ac:dyDescent="0.25">
      <c r="I118" t="s">
        <v>647</v>
      </c>
      <c r="J118" t="s">
        <v>666</v>
      </c>
      <c r="K118" t="s">
        <v>665</v>
      </c>
    </row>
    <row r="119" spans="2:15" x14ac:dyDescent="0.25">
      <c r="I119" t="s">
        <v>648</v>
      </c>
      <c r="J119" t="s">
        <v>688</v>
      </c>
      <c r="K119" t="s">
        <v>670</v>
      </c>
    </row>
    <row r="120" spans="2:15" x14ac:dyDescent="0.25">
      <c r="I120" t="s">
        <v>649</v>
      </c>
      <c r="J120" t="s">
        <v>675</v>
      </c>
      <c r="K120" t="s">
        <v>676</v>
      </c>
    </row>
    <row r="121" spans="2:15" x14ac:dyDescent="0.25">
      <c r="I121" t="s">
        <v>650</v>
      </c>
      <c r="J121" t="s">
        <v>681</v>
      </c>
      <c r="K121" t="s">
        <v>682</v>
      </c>
    </row>
    <row r="122" spans="2:15" x14ac:dyDescent="0.25">
      <c r="I122" t="s">
        <v>651</v>
      </c>
      <c r="J122" t="s">
        <v>687</v>
      </c>
      <c r="K122" t="s">
        <v>689</v>
      </c>
    </row>
    <row r="123" spans="2:15" x14ac:dyDescent="0.25">
      <c r="B123"/>
      <c r="I123" t="s">
        <v>691</v>
      </c>
      <c r="J123" t="s">
        <v>1033</v>
      </c>
      <c r="K123" t="s">
        <v>698</v>
      </c>
    </row>
    <row r="124" spans="2:15" x14ac:dyDescent="0.25">
      <c r="I124" t="s">
        <v>704</v>
      </c>
      <c r="J124" t="s">
        <v>707</v>
      </c>
      <c r="K124" t="s">
        <v>708</v>
      </c>
    </row>
    <row r="125" spans="2:15" x14ac:dyDescent="0.25">
      <c r="B125" s="246" t="s">
        <v>26</v>
      </c>
      <c r="D125"/>
      <c r="E125"/>
      <c r="F125"/>
      <c r="I125" t="s">
        <v>714</v>
      </c>
      <c r="J125" t="s">
        <v>716</v>
      </c>
      <c r="K125" t="s">
        <v>599</v>
      </c>
    </row>
    <row r="126" spans="2:15" x14ac:dyDescent="0.25">
      <c r="B126" s="5" t="s">
        <v>27</v>
      </c>
      <c r="D126"/>
      <c r="E126"/>
      <c r="F126"/>
      <c r="I126" t="s">
        <v>717</v>
      </c>
      <c r="J126" t="s">
        <v>723</v>
      </c>
      <c r="K126" t="s">
        <v>724</v>
      </c>
    </row>
    <row r="127" spans="2:15" x14ac:dyDescent="0.25">
      <c r="B127" s="5" t="s">
        <v>28</v>
      </c>
      <c r="D127"/>
      <c r="E127"/>
      <c r="F127"/>
      <c r="I127" t="s">
        <v>730</v>
      </c>
      <c r="J127" t="s">
        <v>733</v>
      </c>
      <c r="K127" t="s">
        <v>563</v>
      </c>
    </row>
    <row r="128" spans="2:15" x14ac:dyDescent="0.25">
      <c r="B128" s="5" t="s">
        <v>33</v>
      </c>
      <c r="D128"/>
      <c r="E128"/>
      <c r="F128"/>
      <c r="I128" t="s">
        <v>736</v>
      </c>
      <c r="J128" t="s">
        <v>739</v>
      </c>
      <c r="K128" t="s">
        <v>740</v>
      </c>
    </row>
    <row r="129" spans="2:11" x14ac:dyDescent="0.25">
      <c r="B129" t="s">
        <v>56</v>
      </c>
      <c r="D129"/>
      <c r="E129"/>
      <c r="F129"/>
      <c r="I129" t="s">
        <v>762</v>
      </c>
      <c r="J129" t="s">
        <v>769</v>
      </c>
      <c r="K129" t="s">
        <v>770</v>
      </c>
    </row>
    <row r="130" spans="2:11" x14ac:dyDescent="0.25">
      <c r="B130" t="s">
        <v>29</v>
      </c>
      <c r="D130"/>
      <c r="E130"/>
      <c r="F130"/>
      <c r="I130" t="s">
        <v>441</v>
      </c>
      <c r="J130" t="s">
        <v>206</v>
      </c>
      <c r="K130" t="s">
        <v>207</v>
      </c>
    </row>
    <row r="131" spans="2:11" x14ac:dyDescent="0.25">
      <c r="B131" t="s">
        <v>1224</v>
      </c>
      <c r="D131"/>
      <c r="E131"/>
      <c r="F131"/>
      <c r="I131" t="s">
        <v>772</v>
      </c>
      <c r="J131" t="s">
        <v>476</v>
      </c>
      <c r="K131" t="s">
        <v>477</v>
      </c>
    </row>
    <row r="132" spans="2:11" x14ac:dyDescent="0.25">
      <c r="B132" s="5" t="s">
        <v>57</v>
      </c>
      <c r="I132" t="s">
        <v>774</v>
      </c>
      <c r="J132" t="s">
        <v>780</v>
      </c>
      <c r="K132" t="s">
        <v>781</v>
      </c>
    </row>
    <row r="133" spans="2:11" x14ac:dyDescent="0.25">
      <c r="I133" t="s">
        <v>773</v>
      </c>
      <c r="J133" t="s">
        <v>782</v>
      </c>
      <c r="K133" t="s">
        <v>783</v>
      </c>
    </row>
    <row r="134" spans="2:11" x14ac:dyDescent="0.25">
      <c r="I134" t="s">
        <v>790</v>
      </c>
      <c r="J134" t="s">
        <v>798</v>
      </c>
      <c r="K134" t="s">
        <v>799</v>
      </c>
    </row>
    <row r="135" spans="2:11" x14ac:dyDescent="0.25">
      <c r="I135" t="s">
        <v>791</v>
      </c>
      <c r="J135" t="s">
        <v>806</v>
      </c>
      <c r="K135" t="s">
        <v>807</v>
      </c>
    </row>
    <row r="136" spans="2:11" x14ac:dyDescent="0.25">
      <c r="I136" t="s">
        <v>812</v>
      </c>
      <c r="J136" t="s">
        <v>1103</v>
      </c>
      <c r="K136" t="s">
        <v>827</v>
      </c>
    </row>
    <row r="137" spans="2:11" x14ac:dyDescent="0.25">
      <c r="I137" t="s">
        <v>813</v>
      </c>
      <c r="J137" t="s">
        <v>1101</v>
      </c>
      <c r="K137" t="s">
        <v>828</v>
      </c>
    </row>
    <row r="138" spans="2:11" x14ac:dyDescent="0.25">
      <c r="I138" t="s">
        <v>814</v>
      </c>
      <c r="J138" t="s">
        <v>1102</v>
      </c>
      <c r="K138" t="s">
        <v>829</v>
      </c>
    </row>
    <row r="139" spans="2:11" x14ac:dyDescent="0.25">
      <c r="I139" t="s">
        <v>815</v>
      </c>
      <c r="J139" t="s">
        <v>1104</v>
      </c>
      <c r="K139" t="s">
        <v>828</v>
      </c>
    </row>
    <row r="140" spans="2:11" x14ac:dyDescent="0.25">
      <c r="I140" t="s">
        <v>816</v>
      </c>
      <c r="J140" t="s">
        <v>1105</v>
      </c>
      <c r="K140" t="s">
        <v>839</v>
      </c>
    </row>
    <row r="141" spans="2:11" x14ac:dyDescent="0.25">
      <c r="I141" t="s">
        <v>854</v>
      </c>
      <c r="J141" t="s">
        <v>860</v>
      </c>
      <c r="K141" t="s">
        <v>861</v>
      </c>
    </row>
    <row r="142" spans="2:11" x14ac:dyDescent="0.25">
      <c r="I142" t="s">
        <v>879</v>
      </c>
      <c r="J142" t="s">
        <v>895</v>
      </c>
      <c r="K142" t="s">
        <v>928</v>
      </c>
    </row>
    <row r="143" spans="2:11" x14ac:dyDescent="0.25">
      <c r="I143" t="s">
        <v>880</v>
      </c>
      <c r="J143" t="s">
        <v>896</v>
      </c>
      <c r="K143" t="s">
        <v>935</v>
      </c>
    </row>
    <row r="144" spans="2:11" x14ac:dyDescent="0.25">
      <c r="I144" t="s">
        <v>881</v>
      </c>
      <c r="J144" t="s">
        <v>897</v>
      </c>
      <c r="K144" t="s">
        <v>235</v>
      </c>
    </row>
    <row r="145" spans="9:11" x14ac:dyDescent="0.25">
      <c r="I145" t="s">
        <v>882</v>
      </c>
      <c r="J145" t="s">
        <v>898</v>
      </c>
      <c r="K145" t="s">
        <v>946</v>
      </c>
    </row>
    <row r="146" spans="9:11" x14ac:dyDescent="0.25">
      <c r="I146" t="s">
        <v>883</v>
      </c>
      <c r="J146" t="s">
        <v>899</v>
      </c>
      <c r="K146" t="s">
        <v>954</v>
      </c>
    </row>
    <row r="147" spans="9:11" x14ac:dyDescent="0.25">
      <c r="I147" t="s">
        <v>884</v>
      </c>
      <c r="J147" t="s">
        <v>900</v>
      </c>
      <c r="K147" t="s">
        <v>960</v>
      </c>
    </row>
    <row r="148" spans="9:11" x14ac:dyDescent="0.25">
      <c r="I148" t="s">
        <v>885</v>
      </c>
      <c r="J148" t="s">
        <v>901</v>
      </c>
      <c r="K148" t="s">
        <v>966</v>
      </c>
    </row>
    <row r="149" spans="9:11" x14ac:dyDescent="0.25">
      <c r="I149" t="s">
        <v>886</v>
      </c>
      <c r="J149" t="s">
        <v>902</v>
      </c>
      <c r="K149" t="s">
        <v>973</v>
      </c>
    </row>
    <row r="150" spans="9:11" x14ac:dyDescent="0.25">
      <c r="I150" t="s">
        <v>887</v>
      </c>
      <c r="J150" t="s">
        <v>903</v>
      </c>
      <c r="K150" t="s">
        <v>978</v>
      </c>
    </row>
    <row r="151" spans="9:11" x14ac:dyDescent="0.25">
      <c r="I151" t="s">
        <v>888</v>
      </c>
      <c r="J151" t="s">
        <v>904</v>
      </c>
      <c r="K151" t="s">
        <v>984</v>
      </c>
    </row>
    <row r="152" spans="9:11" x14ac:dyDescent="0.25">
      <c r="I152" t="s">
        <v>889</v>
      </c>
      <c r="J152" t="s">
        <v>905</v>
      </c>
      <c r="K152" t="s">
        <v>990</v>
      </c>
    </row>
    <row r="153" spans="9:11" x14ac:dyDescent="0.25">
      <c r="I153" t="s">
        <v>890</v>
      </c>
      <c r="J153" t="s">
        <v>906</v>
      </c>
      <c r="K153" t="s">
        <v>984</v>
      </c>
    </row>
    <row r="154" spans="9:11" x14ac:dyDescent="0.25">
      <c r="I154" t="s">
        <v>891</v>
      </c>
      <c r="J154" t="s">
        <v>907</v>
      </c>
      <c r="K154" t="s">
        <v>984</v>
      </c>
    </row>
    <row r="155" spans="9:11" x14ac:dyDescent="0.25">
      <c r="I155" t="s">
        <v>892</v>
      </c>
      <c r="J155" t="s">
        <v>908</v>
      </c>
      <c r="K155" t="s">
        <v>1002</v>
      </c>
    </row>
    <row r="156" spans="9:11" x14ac:dyDescent="0.25">
      <c r="I156" t="s">
        <v>893</v>
      </c>
      <c r="J156" t="s">
        <v>909</v>
      </c>
      <c r="K156" t="s">
        <v>1006</v>
      </c>
    </row>
    <row r="157" spans="9:11" x14ac:dyDescent="0.25">
      <c r="I157" t="s">
        <v>894</v>
      </c>
      <c r="J157" t="s">
        <v>910</v>
      </c>
      <c r="K157" t="s">
        <v>1012</v>
      </c>
    </row>
    <row r="158" spans="9:11" x14ac:dyDescent="0.25">
      <c r="I158" t="s">
        <v>914</v>
      </c>
      <c r="J158" t="s">
        <v>920</v>
      </c>
      <c r="K158" t="s">
        <v>921</v>
      </c>
    </row>
    <row r="159" spans="9:11" x14ac:dyDescent="0.25">
      <c r="I159" t="s">
        <v>1024</v>
      </c>
      <c r="J159" t="s">
        <v>1030</v>
      </c>
      <c r="K159" t="s">
        <v>1031</v>
      </c>
    </row>
    <row r="160" spans="9:11" x14ac:dyDescent="0.25">
      <c r="I160" t="s">
        <v>1038</v>
      </c>
      <c r="J160" t="s">
        <v>1043</v>
      </c>
      <c r="K160" t="s">
        <v>1044</v>
      </c>
    </row>
    <row r="161" spans="9:11" x14ac:dyDescent="0.25">
      <c r="I161" t="s">
        <v>1049</v>
      </c>
      <c r="J161" t="s">
        <v>1052</v>
      </c>
      <c r="K161" t="s">
        <v>1053</v>
      </c>
    </row>
    <row r="162" spans="9:11" x14ac:dyDescent="0.25">
      <c r="I162" t="s">
        <v>1055</v>
      </c>
      <c r="J162" t="s">
        <v>1061</v>
      </c>
      <c r="K162" t="s">
        <v>1062</v>
      </c>
    </row>
    <row r="163" spans="9:11" x14ac:dyDescent="0.25">
      <c r="I163" t="s">
        <v>1112</v>
      </c>
      <c r="J163" t="s">
        <v>1124</v>
      </c>
      <c r="K163" t="s">
        <v>1125</v>
      </c>
    </row>
    <row r="164" spans="9:11" x14ac:dyDescent="0.25">
      <c r="I164" t="s">
        <v>1113</v>
      </c>
      <c r="J164" t="s">
        <v>1130</v>
      </c>
      <c r="K164" t="s">
        <v>1080</v>
      </c>
    </row>
    <row r="165" spans="9:11" x14ac:dyDescent="0.25">
      <c r="I165" t="s">
        <v>1534</v>
      </c>
      <c r="J165" t="s">
        <v>1542</v>
      </c>
      <c r="K165" t="s">
        <v>1543</v>
      </c>
    </row>
    <row r="166" spans="9:11" x14ac:dyDescent="0.25">
      <c r="I166" t="s">
        <v>1114</v>
      </c>
      <c r="J166" t="s">
        <v>1137</v>
      </c>
      <c r="K166" t="s">
        <v>1138</v>
      </c>
    </row>
    <row r="167" spans="9:11" x14ac:dyDescent="0.25">
      <c r="I167" t="s">
        <v>1115</v>
      </c>
      <c r="J167" t="s">
        <v>1142</v>
      </c>
      <c r="K167" t="s">
        <v>1138</v>
      </c>
    </row>
    <row r="168" spans="9:11" x14ac:dyDescent="0.25">
      <c r="I168" t="s">
        <v>1116</v>
      </c>
      <c r="J168" t="s">
        <v>1143</v>
      </c>
      <c r="K168" t="s">
        <v>1144</v>
      </c>
    </row>
    <row r="169" spans="9:11" x14ac:dyDescent="0.25">
      <c r="I169" t="s">
        <v>1181</v>
      </c>
      <c r="J169" t="s">
        <v>1184</v>
      </c>
      <c r="K169" t="s">
        <v>1185</v>
      </c>
    </row>
    <row r="170" spans="9:11" x14ac:dyDescent="0.25">
      <c r="I170" t="s">
        <v>1215</v>
      </c>
      <c r="J170" t="s">
        <v>1216</v>
      </c>
      <c r="K170" t="s">
        <v>1217</v>
      </c>
    </row>
    <row r="171" spans="9:11" x14ac:dyDescent="0.25">
      <c r="I171" t="s">
        <v>1246</v>
      </c>
      <c r="J171" t="s">
        <v>1252</v>
      </c>
      <c r="K171" t="s">
        <v>1253</v>
      </c>
    </row>
    <row r="172" spans="9:11" x14ac:dyDescent="0.25">
      <c r="I172" t="s">
        <v>1247</v>
      </c>
      <c r="J172" t="s">
        <v>1258</v>
      </c>
      <c r="K172" t="s">
        <v>1259</v>
      </c>
    </row>
    <row r="173" spans="9:11" x14ac:dyDescent="0.25">
      <c r="I173" t="s">
        <v>1248</v>
      </c>
      <c r="J173" t="s">
        <v>1263</v>
      </c>
      <c r="K173" t="s">
        <v>1261</v>
      </c>
    </row>
    <row r="174" spans="9:11" x14ac:dyDescent="0.25">
      <c r="I174" t="s">
        <v>1386</v>
      </c>
      <c r="J174" t="s">
        <v>1388</v>
      </c>
      <c r="K174" t="s">
        <v>839</v>
      </c>
    </row>
    <row r="175" spans="9:11" x14ac:dyDescent="0.25">
      <c r="I175" t="s">
        <v>1385</v>
      </c>
      <c r="J175" t="s">
        <v>1390</v>
      </c>
      <c r="K175" t="s">
        <v>839</v>
      </c>
    </row>
    <row r="176" spans="9:11" x14ac:dyDescent="0.25">
      <c r="I176" t="s">
        <v>1484</v>
      </c>
      <c r="J176" t="s">
        <v>1491</v>
      </c>
      <c r="K176" t="s">
        <v>1487</v>
      </c>
    </row>
    <row r="177" spans="9:11" x14ac:dyDescent="0.25">
      <c r="I177" t="s">
        <v>1483</v>
      </c>
      <c r="J177" t="s">
        <v>1490</v>
      </c>
      <c r="K177" t="s">
        <v>1487</v>
      </c>
    </row>
    <row r="178" spans="9:11" x14ac:dyDescent="0.25">
      <c r="I178" t="s">
        <v>1343</v>
      </c>
      <c r="J178" t="s">
        <v>1348</v>
      </c>
      <c r="K178" t="s">
        <v>1346</v>
      </c>
    </row>
    <row r="179" spans="9:11" x14ac:dyDescent="0.25">
      <c r="I179" t="s">
        <v>1344</v>
      </c>
      <c r="J179" t="s">
        <v>1356</v>
      </c>
      <c r="K179" t="s">
        <v>1357</v>
      </c>
    </row>
    <row r="180" spans="9:11" x14ac:dyDescent="0.25">
      <c r="I180" t="s">
        <v>1345</v>
      </c>
      <c r="J180" t="s">
        <v>1358</v>
      </c>
      <c r="K180" t="s">
        <v>1359</v>
      </c>
    </row>
    <row r="181" spans="9:11" x14ac:dyDescent="0.25">
      <c r="I181" t="s">
        <v>1391</v>
      </c>
      <c r="J181" t="s">
        <v>1395</v>
      </c>
      <c r="K181" t="s">
        <v>1396</v>
      </c>
    </row>
    <row r="182" spans="9:11" x14ac:dyDescent="0.25">
      <c r="I182" t="s">
        <v>1398</v>
      </c>
      <c r="J182" t="s">
        <v>1403</v>
      </c>
      <c r="K182" t="s">
        <v>1404</v>
      </c>
    </row>
    <row r="183" spans="9:11" x14ac:dyDescent="0.25">
      <c r="I183" t="s">
        <v>1399</v>
      </c>
      <c r="J183" t="s">
        <v>1409</v>
      </c>
      <c r="K183" t="s">
        <v>663</v>
      </c>
    </row>
    <row r="184" spans="9:11" x14ac:dyDescent="0.25">
      <c r="I184" t="s">
        <v>1410</v>
      </c>
      <c r="J184" t="s">
        <v>1417</v>
      </c>
      <c r="K184" t="s">
        <v>1418</v>
      </c>
    </row>
    <row r="185" spans="9:11" x14ac:dyDescent="0.25">
      <c r="I185" t="s">
        <v>1411</v>
      </c>
      <c r="J185" t="s">
        <v>1424</v>
      </c>
      <c r="K185" t="s">
        <v>1369</v>
      </c>
    </row>
    <row r="186" spans="9:11" x14ac:dyDescent="0.25">
      <c r="I186" t="s">
        <v>1412</v>
      </c>
      <c r="J186" t="s">
        <v>1428</v>
      </c>
      <c r="K186" t="s">
        <v>1429</v>
      </c>
    </row>
    <row r="187" spans="9:11" x14ac:dyDescent="0.25">
      <c r="I187" t="s">
        <v>1413</v>
      </c>
      <c r="J187" t="s">
        <v>1459</v>
      </c>
      <c r="K187" t="s">
        <v>1460</v>
      </c>
    </row>
    <row r="188" spans="9:11" x14ac:dyDescent="0.25">
      <c r="I188" t="s">
        <v>1470</v>
      </c>
      <c r="J188" t="s">
        <v>1476</v>
      </c>
      <c r="K188" t="s">
        <v>1477</v>
      </c>
    </row>
    <row r="189" spans="9:11" x14ac:dyDescent="0.25">
      <c r="I189" t="s">
        <v>1478</v>
      </c>
      <c r="J189" t="s">
        <v>1482</v>
      </c>
      <c r="K189" t="s">
        <v>1429</v>
      </c>
    </row>
    <row r="190" spans="9:11" x14ac:dyDescent="0.25">
      <c r="I190" t="s">
        <v>1488</v>
      </c>
      <c r="J190" t="s">
        <v>1549</v>
      </c>
      <c r="K190" t="s">
        <v>1550</v>
      </c>
    </row>
    <row r="191" spans="9:11" x14ac:dyDescent="0.25">
      <c r="I191" t="s">
        <v>1489</v>
      </c>
      <c r="J191" t="s">
        <v>1482</v>
      </c>
      <c r="K191" t="s">
        <v>300</v>
      </c>
    </row>
    <row r="192" spans="9:11" x14ac:dyDescent="0.25">
      <c r="I192" t="s">
        <v>1493</v>
      </c>
      <c r="J192" t="s">
        <v>1494</v>
      </c>
      <c r="K192" t="s">
        <v>1495</v>
      </c>
    </row>
    <row r="193" spans="9:11" x14ac:dyDescent="0.25">
      <c r="I193" t="s">
        <v>1517</v>
      </c>
      <c r="J193" t="s">
        <v>1522</v>
      </c>
      <c r="K193" t="s">
        <v>1523</v>
      </c>
    </row>
    <row r="194" spans="9:11" x14ac:dyDescent="0.25">
      <c r="I194" t="s">
        <v>1518</v>
      </c>
      <c r="J194" t="s">
        <v>1604</v>
      </c>
      <c r="K194" t="s">
        <v>1563</v>
      </c>
    </row>
    <row r="195" spans="9:11" x14ac:dyDescent="0.25">
      <c r="I195" t="s">
        <v>1531</v>
      </c>
      <c r="J195" t="s">
        <v>1557</v>
      </c>
      <c r="K195" t="s">
        <v>1558</v>
      </c>
    </row>
    <row r="196" spans="9:11" x14ac:dyDescent="0.25">
      <c r="I196" t="s">
        <v>1532</v>
      </c>
      <c r="J196" t="s">
        <v>1605</v>
      </c>
      <c r="K196" t="s">
        <v>1602</v>
      </c>
    </row>
    <row r="197" spans="9:11" x14ac:dyDescent="0.25">
      <c r="I197" t="s">
        <v>1529</v>
      </c>
      <c r="J197" t="s">
        <v>1565</v>
      </c>
      <c r="K197" t="s">
        <v>1569</v>
      </c>
    </row>
    <row r="198" spans="9:11" x14ac:dyDescent="0.25">
      <c r="I198" t="s">
        <v>1530</v>
      </c>
      <c r="J198" t="s">
        <v>1574</v>
      </c>
      <c r="K198" t="s">
        <v>1468</v>
      </c>
    </row>
    <row r="199" spans="9:11" x14ac:dyDescent="0.25">
      <c r="I199" t="s">
        <v>1533</v>
      </c>
      <c r="J199" t="s">
        <v>1578</v>
      </c>
      <c r="K199" t="s">
        <v>1631</v>
      </c>
    </row>
    <row r="200" spans="9:11" x14ac:dyDescent="0.25">
      <c r="I200" t="s">
        <v>1538</v>
      </c>
      <c r="J200" t="s">
        <v>1585</v>
      </c>
      <c r="K200" t="s">
        <v>1586</v>
      </c>
    </row>
    <row r="201" spans="9:11" x14ac:dyDescent="0.25">
      <c r="I201" t="s">
        <v>1539</v>
      </c>
      <c r="J201" t="s">
        <v>1593</v>
      </c>
      <c r="K201" t="s">
        <v>1594</v>
      </c>
    </row>
    <row r="202" spans="9:11" x14ac:dyDescent="0.25">
      <c r="I202" t="s">
        <v>1540</v>
      </c>
      <c r="J202" t="s">
        <v>1599</v>
      </c>
      <c r="K202" t="s">
        <v>1600</v>
      </c>
    </row>
    <row r="203" spans="9:11" x14ac:dyDescent="0.25">
      <c r="I203" t="s">
        <v>913</v>
      </c>
      <c r="J203" t="s">
        <v>1019</v>
      </c>
      <c r="K203" t="s">
        <v>1020</v>
      </c>
    </row>
    <row r="204" spans="9:11" x14ac:dyDescent="0.25">
      <c r="I204" t="s">
        <v>1626</v>
      </c>
      <c r="J204" t="s">
        <v>920</v>
      </c>
      <c r="K204" t="s">
        <v>1629</v>
      </c>
    </row>
    <row r="205" spans="9:11" x14ac:dyDescent="0.25">
      <c r="I205" t="s">
        <v>1743</v>
      </c>
      <c r="J205" t="s">
        <v>1752</v>
      </c>
      <c r="K205" t="s">
        <v>1747</v>
      </c>
    </row>
    <row r="206" spans="9:11" x14ac:dyDescent="0.25">
      <c r="I206" t="s">
        <v>1744</v>
      </c>
      <c r="J206" t="s">
        <v>1751</v>
      </c>
      <c r="K206" t="s">
        <v>1748</v>
      </c>
    </row>
    <row r="207" spans="9:11" x14ac:dyDescent="0.25">
      <c r="I207" t="s">
        <v>1745</v>
      </c>
      <c r="J207" t="s">
        <v>1753</v>
      </c>
      <c r="K207" t="s">
        <v>1755</v>
      </c>
    </row>
    <row r="208" spans="9:11" x14ac:dyDescent="0.25">
      <c r="I208" t="s">
        <v>1770</v>
      </c>
      <c r="J208" t="s">
        <v>1772</v>
      </c>
      <c r="K208" t="s">
        <v>274</v>
      </c>
    </row>
    <row r="209" spans="9:11" x14ac:dyDescent="0.25">
      <c r="I209" t="s">
        <v>1776</v>
      </c>
      <c r="J209" t="s">
        <v>1869</v>
      </c>
      <c r="K209" t="s">
        <v>1777</v>
      </c>
    </row>
    <row r="210" spans="9:11" x14ac:dyDescent="0.25">
      <c r="I210" t="s">
        <v>1791</v>
      </c>
      <c r="J210" t="s">
        <v>1870</v>
      </c>
      <c r="K210" t="s">
        <v>1797</v>
      </c>
    </row>
    <row r="211" spans="9:11" x14ac:dyDescent="0.25">
      <c r="I211" t="s">
        <v>1792</v>
      </c>
      <c r="J211" t="s">
        <v>1871</v>
      </c>
      <c r="K211" t="s">
        <v>1800</v>
      </c>
    </row>
    <row r="212" spans="9:11" x14ac:dyDescent="0.25">
      <c r="I212" t="s">
        <v>1821</v>
      </c>
      <c r="J212" t="s">
        <v>1823</v>
      </c>
      <c r="K212" t="s">
        <v>1824</v>
      </c>
    </row>
    <row r="213" spans="9:11" x14ac:dyDescent="0.25">
      <c r="I213" t="s">
        <v>1837</v>
      </c>
      <c r="J213" t="s">
        <v>1841</v>
      </c>
      <c r="K213" t="s">
        <v>1866</v>
      </c>
    </row>
    <row r="214" spans="9:11" x14ac:dyDescent="0.25">
      <c r="I214" t="s">
        <v>1845</v>
      </c>
      <c r="J214" t="s">
        <v>1867</v>
      </c>
      <c r="K214" t="s">
        <v>1846</v>
      </c>
    </row>
    <row r="215" spans="9:11" x14ac:dyDescent="0.25">
      <c r="I215" t="s">
        <v>1854</v>
      </c>
      <c r="J215" t="s">
        <v>1868</v>
      </c>
      <c r="K215" t="s">
        <v>1862</v>
      </c>
    </row>
    <row r="216" spans="9:11" x14ac:dyDescent="0.25">
      <c r="I216" t="s">
        <v>1874</v>
      </c>
      <c r="J216" t="s">
        <v>1980</v>
      </c>
      <c r="K216" t="s">
        <v>1981</v>
      </c>
    </row>
    <row r="217" spans="9:11" x14ac:dyDescent="0.25">
      <c r="I217" t="s">
        <v>1965</v>
      </c>
      <c r="J217" t="s">
        <v>1988</v>
      </c>
      <c r="K217" t="s">
        <v>1986</v>
      </c>
    </row>
    <row r="218" spans="9:11" x14ac:dyDescent="0.25">
      <c r="I218" t="s">
        <v>1966</v>
      </c>
      <c r="J218" t="s">
        <v>1994</v>
      </c>
      <c r="K218" t="s">
        <v>1995</v>
      </c>
    </row>
    <row r="219" spans="9:11" x14ac:dyDescent="0.25">
      <c r="I219" t="s">
        <v>1967</v>
      </c>
      <c r="J219" t="s">
        <v>2001</v>
      </c>
      <c r="K219" t="s">
        <v>2002</v>
      </c>
    </row>
    <row r="220" spans="9:11" x14ac:dyDescent="0.25">
      <c r="I220" t="s">
        <v>1968</v>
      </c>
      <c r="J220" t="s">
        <v>2008</v>
      </c>
      <c r="K220" t="s">
        <v>1846</v>
      </c>
    </row>
    <row r="221" spans="9:11" x14ac:dyDescent="0.25">
      <c r="I221" t="s">
        <v>1969</v>
      </c>
      <c r="J221" t="s">
        <v>2011</v>
      </c>
      <c r="K221" t="s">
        <v>1846</v>
      </c>
    </row>
    <row r="222" spans="9:11" x14ac:dyDescent="0.25">
      <c r="I222" t="s">
        <v>1875</v>
      </c>
      <c r="J222" t="s">
        <v>56</v>
      </c>
      <c r="K222" t="s">
        <v>56</v>
      </c>
    </row>
    <row r="223" spans="9:11" x14ac:dyDescent="0.25">
      <c r="I223" t="s">
        <v>1873</v>
      </c>
      <c r="J223" t="s">
        <v>56</v>
      </c>
      <c r="K223" t="s">
        <v>56</v>
      </c>
    </row>
    <row r="224" spans="9:11" x14ac:dyDescent="0.25">
      <c r="I224" t="s">
        <v>1970</v>
      </c>
      <c r="J224" t="s">
        <v>56</v>
      </c>
      <c r="K224" t="s">
        <v>56</v>
      </c>
    </row>
    <row r="225" spans="9:11" x14ac:dyDescent="0.25">
      <c r="I225" s="5" t="s">
        <v>57</v>
      </c>
      <c r="J225" s="5"/>
      <c r="K225" s="5"/>
    </row>
  </sheetData>
  <pageMargins left="0.511811024" right="0.511811024" top="0.78740157499999996" bottom="0.78740157499999996" header="0.31496062000000002" footer="0.31496062000000002"/>
  <pageSetup paperSize="9" orientation="portrait" r:id="rId5"/>
  <ignoredErrors>
    <ignoredError sqref="V7" formula="1"/>
  </ignoredErrors>
  <drawing r:id="rId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sheetPr>
  <dimension ref="B1:G116"/>
  <sheetViews>
    <sheetView showGridLines="0" workbookViewId="0">
      <selection activeCell="B10" sqref="B10"/>
    </sheetView>
  </sheetViews>
  <sheetFormatPr defaultRowHeight="15" x14ac:dyDescent="0.25"/>
  <cols>
    <col min="2" max="2" width="19.140625" style="8" bestFit="1" customWidth="1"/>
    <col min="3" max="3" width="15.140625" bestFit="1" customWidth="1"/>
    <col min="4" max="4" width="15.5703125" style="5" customWidth="1"/>
    <col min="5" max="5" width="5.5703125" style="5" customWidth="1"/>
    <col min="6" max="6" width="5.5703125" customWidth="1"/>
    <col min="7" max="7" width="7.85546875" customWidth="1"/>
  </cols>
  <sheetData>
    <row r="1" spans="2:7" x14ac:dyDescent="0.25">
      <c r="B1"/>
    </row>
    <row r="2" spans="2:7" x14ac:dyDescent="0.25">
      <c r="B2"/>
    </row>
    <row r="3" spans="2:7" x14ac:dyDescent="0.25">
      <c r="B3" s="52" t="s">
        <v>620</v>
      </c>
      <c r="C3" t="s">
        <v>62</v>
      </c>
    </row>
    <row r="5" spans="2:7" s="9" customFormat="1" ht="30" x14ac:dyDescent="0.25">
      <c r="B5" s="52" t="s">
        <v>69</v>
      </c>
      <c r="C5" s="23" t="s">
        <v>1243</v>
      </c>
      <c r="D5"/>
      <c r="E5"/>
      <c r="F5"/>
      <c r="G5"/>
    </row>
    <row r="6" spans="2:7" x14ac:dyDescent="0.25">
      <c r="B6" t="s">
        <v>1731</v>
      </c>
      <c r="C6" s="235">
        <v>50.5</v>
      </c>
      <c r="D6"/>
      <c r="E6"/>
    </row>
    <row r="7" spans="2:7" x14ac:dyDescent="0.25">
      <c r="B7" t="s">
        <v>1735</v>
      </c>
      <c r="C7" s="235">
        <v>96</v>
      </c>
      <c r="D7"/>
      <c r="E7"/>
    </row>
    <row r="8" spans="2:7" x14ac:dyDescent="0.25">
      <c r="B8" t="s">
        <v>1739</v>
      </c>
      <c r="C8" s="235">
        <v>131.16666666666666</v>
      </c>
      <c r="D8"/>
      <c r="E8"/>
    </row>
    <row r="9" spans="2:7" x14ac:dyDescent="0.25">
      <c r="B9" t="s">
        <v>1729</v>
      </c>
      <c r="C9" s="235">
        <v>196</v>
      </c>
      <c r="D9"/>
      <c r="E9"/>
    </row>
    <row r="10" spans="2:7" x14ac:dyDescent="0.25">
      <c r="B10" t="s">
        <v>1741</v>
      </c>
      <c r="C10" s="235">
        <v>83</v>
      </c>
      <c r="D10"/>
      <c r="E10"/>
    </row>
    <row r="11" spans="2:7" x14ac:dyDescent="0.25">
      <c r="B11" t="s">
        <v>1728</v>
      </c>
      <c r="C11" s="235">
        <v>149</v>
      </c>
      <c r="D11"/>
      <c r="E11"/>
    </row>
    <row r="12" spans="2:7" x14ac:dyDescent="0.25">
      <c r="B12" t="s">
        <v>1740</v>
      </c>
      <c r="C12" s="235">
        <v>41.5</v>
      </c>
      <c r="D12"/>
      <c r="E12"/>
    </row>
    <row r="13" spans="2:7" x14ac:dyDescent="0.25">
      <c r="B13" t="s">
        <v>1734</v>
      </c>
      <c r="C13" s="235">
        <v>23.5</v>
      </c>
      <c r="D13"/>
    </row>
    <row r="14" spans="2:7" x14ac:dyDescent="0.25">
      <c r="B14" t="s">
        <v>1733</v>
      </c>
      <c r="C14" s="235">
        <v>91</v>
      </c>
      <c r="D14"/>
    </row>
    <row r="15" spans="2:7" x14ac:dyDescent="0.25">
      <c r="B15" t="s">
        <v>1732</v>
      </c>
      <c r="C15" s="235">
        <v>92</v>
      </c>
      <c r="D15"/>
    </row>
    <row r="16" spans="2:7" x14ac:dyDescent="0.25">
      <c r="B16" t="s">
        <v>1730</v>
      </c>
      <c r="C16" s="235">
        <v>112.16666666666667</v>
      </c>
      <c r="D16"/>
    </row>
    <row r="17" spans="2:4" x14ac:dyDescent="0.25">
      <c r="B17" t="s">
        <v>1738</v>
      </c>
      <c r="C17" s="235">
        <v>52</v>
      </c>
      <c r="D17"/>
    </row>
    <row r="18" spans="2:4" x14ac:dyDescent="0.25">
      <c r="B18" t="s">
        <v>1737</v>
      </c>
      <c r="C18" s="235">
        <v>145.5</v>
      </c>
      <c r="D18"/>
    </row>
    <row r="19" spans="2:4" x14ac:dyDescent="0.25">
      <c r="B19" t="s">
        <v>1736</v>
      </c>
      <c r="C19" s="235">
        <v>93.75</v>
      </c>
      <c r="D19"/>
    </row>
    <row r="20" spans="2:4" x14ac:dyDescent="0.25">
      <c r="B20" t="s">
        <v>57</v>
      </c>
      <c r="C20" s="235">
        <v>97.684210526315795</v>
      </c>
      <c r="D20"/>
    </row>
    <row r="21" spans="2:4" x14ac:dyDescent="0.25">
      <c r="B21"/>
      <c r="D21"/>
    </row>
    <row r="22" spans="2:4" x14ac:dyDescent="0.25">
      <c r="B22"/>
      <c r="D22"/>
    </row>
    <row r="23" spans="2:4" x14ac:dyDescent="0.25">
      <c r="B23"/>
      <c r="D23"/>
    </row>
    <row r="24" spans="2:4" x14ac:dyDescent="0.25">
      <c r="B24"/>
      <c r="D24"/>
    </row>
    <row r="25" spans="2:4" x14ac:dyDescent="0.25">
      <c r="B25"/>
      <c r="D25"/>
    </row>
    <row r="26" spans="2:4" x14ac:dyDescent="0.25">
      <c r="B26"/>
      <c r="D26"/>
    </row>
    <row r="27" spans="2:4" x14ac:dyDescent="0.25">
      <c r="B27"/>
      <c r="D27"/>
    </row>
    <row r="28" spans="2:4" x14ac:dyDescent="0.25">
      <c r="B28"/>
      <c r="D28"/>
    </row>
    <row r="29" spans="2:4" x14ac:dyDescent="0.25">
      <c r="B29"/>
      <c r="D29"/>
    </row>
    <row r="30" spans="2:4" x14ac:dyDescent="0.25">
      <c r="B30"/>
      <c r="D30"/>
    </row>
    <row r="31" spans="2:4" x14ac:dyDescent="0.25">
      <c r="B31"/>
    </row>
    <row r="32" spans="2:4"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row r="115" spans="2:2" x14ac:dyDescent="0.25">
      <c r="B115"/>
    </row>
    <row r="116" spans="2:2" x14ac:dyDescent="0.25">
      <c r="B116"/>
    </row>
  </sheetData>
  <pageMargins left="0.511811024" right="0.511811024" top="0.78740157499999996" bottom="0.78740157499999996" header="0.31496062000000002" footer="0.31496062000000002"/>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6">
    <tabColor rgb="FFFF0000"/>
  </sheetPr>
  <dimension ref="B2:AE534"/>
  <sheetViews>
    <sheetView showGridLines="0" topLeftCell="A3" workbookViewId="0">
      <selection activeCell="D17" sqref="D17"/>
    </sheetView>
  </sheetViews>
  <sheetFormatPr defaultRowHeight="15" x14ac:dyDescent="0.25"/>
  <cols>
    <col min="1" max="1" width="6.140625" customWidth="1"/>
    <col min="2" max="2" width="10.85546875" style="8" customWidth="1"/>
    <col min="3" max="3" width="22.28515625" bestFit="1" customWidth="1"/>
    <col min="4" max="4" width="21.85546875" customWidth="1"/>
    <col min="5" max="5" width="23.140625" style="5" customWidth="1"/>
    <col min="6" max="7" width="21" style="5" customWidth="1"/>
    <col min="8" max="8" width="15.42578125" style="5" customWidth="1"/>
    <col min="9" max="9" width="13.85546875" style="5" customWidth="1"/>
    <col min="10" max="10" width="22" style="20" customWidth="1"/>
    <col min="11" max="11" width="10.140625" style="20" customWidth="1"/>
    <col min="12" max="12" width="10.140625" style="298" customWidth="1"/>
    <col min="13" max="13" width="14" customWidth="1"/>
    <col min="14" max="14" width="19.7109375" customWidth="1"/>
    <col min="15" max="15" width="18.5703125" customWidth="1"/>
    <col min="16" max="16" width="20.140625" customWidth="1"/>
    <col min="17" max="17" width="16.5703125" customWidth="1"/>
    <col min="18" max="18" width="17.28515625" customWidth="1"/>
    <col min="19" max="19" width="19.140625" style="90" bestFit="1" customWidth="1"/>
    <col min="20" max="20" width="10.7109375" style="90" bestFit="1" customWidth="1"/>
    <col min="21" max="21" width="15.140625" bestFit="1" customWidth="1"/>
    <col min="23" max="23" width="14" bestFit="1" customWidth="1"/>
    <col min="24" max="24" width="19.5703125" hidden="1" customWidth="1"/>
    <col min="25" max="25" width="15" style="87" customWidth="1"/>
    <col min="26" max="26" width="20.85546875" customWidth="1"/>
    <col min="27" max="27" width="24" customWidth="1"/>
    <col min="28" max="28" width="55.42578125" customWidth="1"/>
    <col min="29" max="29" width="11.85546875" style="5" customWidth="1"/>
    <col min="30" max="30" width="11.7109375" style="5" customWidth="1"/>
    <col min="31" max="31" width="14.85546875" customWidth="1"/>
  </cols>
  <sheetData>
    <row r="2" spans="2:31" x14ac:dyDescent="0.25">
      <c r="B2"/>
    </row>
    <row r="3" spans="2:31" x14ac:dyDescent="0.25">
      <c r="B3"/>
    </row>
    <row r="4" spans="2:31" ht="18.75" x14ac:dyDescent="0.25">
      <c r="B4" s="52" t="s">
        <v>69</v>
      </c>
      <c r="C4" t="s">
        <v>62</v>
      </c>
      <c r="J4" s="115"/>
      <c r="K4" s="115"/>
      <c r="W4" s="50" t="s">
        <v>1097</v>
      </c>
    </row>
    <row r="5" spans="2:31" ht="15.75" thickBot="1" x14ac:dyDescent="0.3">
      <c r="J5" s="115"/>
      <c r="K5" s="115"/>
    </row>
    <row r="6" spans="2:31" s="9" customFormat="1" ht="52.5" customHeight="1" thickBot="1" x14ac:dyDescent="0.3">
      <c r="B6" s="35" t="s">
        <v>45</v>
      </c>
      <c r="C6" s="52" t="s">
        <v>1637</v>
      </c>
      <c r="D6" s="52" t="s">
        <v>620</v>
      </c>
      <c r="E6" s="36" t="s">
        <v>19</v>
      </c>
      <c r="F6" s="36" t="s">
        <v>6</v>
      </c>
      <c r="G6" s="36" t="s">
        <v>1</v>
      </c>
      <c r="H6" s="52" t="s">
        <v>1642</v>
      </c>
      <c r="I6" s="52" t="s">
        <v>1643</v>
      </c>
      <c r="J6" s="35" t="s">
        <v>1742</v>
      </c>
      <c r="K6" s="115"/>
      <c r="L6" s="298"/>
      <c r="M6" s="65" t="s">
        <v>45</v>
      </c>
      <c r="N6" s="65" t="s">
        <v>0</v>
      </c>
      <c r="O6" s="65" t="s">
        <v>2</v>
      </c>
      <c r="P6" s="65" t="s">
        <v>19</v>
      </c>
      <c r="Q6" s="65" t="s">
        <v>6</v>
      </c>
      <c r="R6" s="65" t="s">
        <v>1</v>
      </c>
      <c r="S6" s="297" t="s">
        <v>70</v>
      </c>
      <c r="T6" s="297" t="s">
        <v>24</v>
      </c>
      <c r="U6" s="65" t="s">
        <v>58</v>
      </c>
      <c r="W6" s="65" t="s">
        <v>45</v>
      </c>
      <c r="X6" s="65" t="s">
        <v>0</v>
      </c>
      <c r="Y6" s="65" t="s">
        <v>2</v>
      </c>
      <c r="Z6" s="65" t="s">
        <v>19</v>
      </c>
      <c r="AA6" s="65" t="s">
        <v>6</v>
      </c>
      <c r="AB6" s="65" t="s">
        <v>1</v>
      </c>
      <c r="AC6" s="65" t="s">
        <v>23</v>
      </c>
      <c r="AD6" s="65" t="s">
        <v>24</v>
      </c>
      <c r="AE6" s="65" t="s">
        <v>58</v>
      </c>
    </row>
    <row r="7" spans="2:31" ht="20.25" customHeight="1" x14ac:dyDescent="0.25">
      <c r="B7" t="s">
        <v>46</v>
      </c>
      <c r="C7" t="s">
        <v>1571</v>
      </c>
      <c r="D7" t="s">
        <v>1083</v>
      </c>
      <c r="E7" t="s">
        <v>1530</v>
      </c>
      <c r="F7" t="s">
        <v>1468</v>
      </c>
      <c r="G7" t="s">
        <v>1574</v>
      </c>
      <c r="H7" s="76">
        <v>46031</v>
      </c>
      <c r="I7" s="76">
        <v>46761</v>
      </c>
      <c r="J7" s="21">
        <v>1123000</v>
      </c>
      <c r="K7" s="115"/>
      <c r="L7" s="298">
        <v>1</v>
      </c>
      <c r="M7" s="166" t="s">
        <v>46</v>
      </c>
      <c r="N7" s="166" t="s">
        <v>1025</v>
      </c>
      <c r="O7" s="166" t="s">
        <v>11</v>
      </c>
      <c r="P7" s="166" t="s">
        <v>1024</v>
      </c>
      <c r="Q7" s="167" t="s">
        <v>1031</v>
      </c>
      <c r="R7" s="166" t="s">
        <v>1030</v>
      </c>
      <c r="S7" s="198" t="s">
        <v>1028</v>
      </c>
      <c r="T7" s="198" t="s">
        <v>1029</v>
      </c>
      <c r="U7" s="168">
        <v>122036510.12</v>
      </c>
      <c r="W7" s="173" t="s">
        <v>46</v>
      </c>
      <c r="X7" s="173" t="s">
        <v>1025</v>
      </c>
      <c r="Y7" s="174" t="s">
        <v>11</v>
      </c>
      <c r="Z7" s="173" t="s">
        <v>1024</v>
      </c>
      <c r="AA7" s="107" t="s">
        <v>1031</v>
      </c>
      <c r="AB7" s="299" t="s">
        <v>1030</v>
      </c>
      <c r="AC7" s="175" t="s">
        <v>1028</v>
      </c>
      <c r="AD7" s="175" t="s">
        <v>1029</v>
      </c>
      <c r="AE7" s="176">
        <v>122036510.12</v>
      </c>
    </row>
    <row r="8" spans="2:31" ht="20.25" customHeight="1" x14ac:dyDescent="0.25">
      <c r="B8" t="s">
        <v>48</v>
      </c>
      <c r="C8" t="s">
        <v>915</v>
      </c>
      <c r="D8" t="s">
        <v>5</v>
      </c>
      <c r="E8" t="s">
        <v>1626</v>
      </c>
      <c r="F8" t="s">
        <v>1629</v>
      </c>
      <c r="G8" t="s">
        <v>920</v>
      </c>
      <c r="H8" s="76">
        <v>46064</v>
      </c>
      <c r="I8" s="76">
        <v>46066</v>
      </c>
      <c r="J8" s="21">
        <v>328899.63</v>
      </c>
      <c r="K8" s="21"/>
      <c r="L8" s="18">
        <v>2</v>
      </c>
      <c r="M8" s="169" t="s">
        <v>46</v>
      </c>
      <c r="N8" s="169" t="s">
        <v>833</v>
      </c>
      <c r="O8" s="169" t="s">
        <v>11</v>
      </c>
      <c r="P8" s="169" t="s">
        <v>1385</v>
      </c>
      <c r="Q8" s="170" t="s">
        <v>839</v>
      </c>
      <c r="R8" s="169" t="s">
        <v>1390</v>
      </c>
      <c r="S8" s="171">
        <v>45840</v>
      </c>
      <c r="T8" s="171">
        <v>47120</v>
      </c>
      <c r="U8" s="172">
        <v>42883891.130000003</v>
      </c>
      <c r="W8" s="177" t="s">
        <v>46</v>
      </c>
      <c r="X8" s="177" t="s">
        <v>833</v>
      </c>
      <c r="Y8" s="178" t="s">
        <v>11</v>
      </c>
      <c r="Z8" s="177" t="s">
        <v>1385</v>
      </c>
      <c r="AA8" s="110" t="s">
        <v>839</v>
      </c>
      <c r="AB8" s="178" t="s">
        <v>1390</v>
      </c>
      <c r="AC8" s="179">
        <v>45840</v>
      </c>
      <c r="AD8" s="179">
        <v>47120</v>
      </c>
      <c r="AE8" s="180">
        <v>42883891.130000003</v>
      </c>
    </row>
    <row r="9" spans="2:31" ht="20.25" customHeight="1" x14ac:dyDescent="0.25">
      <c r="B9" t="s">
        <v>48</v>
      </c>
      <c r="C9" t="s">
        <v>1519</v>
      </c>
      <c r="D9" t="s">
        <v>5</v>
      </c>
      <c r="E9" t="s">
        <v>1540</v>
      </c>
      <c r="F9" t="s">
        <v>1600</v>
      </c>
      <c r="G9" t="s">
        <v>1599</v>
      </c>
      <c r="H9" s="76">
        <v>46054</v>
      </c>
      <c r="I9" s="76">
        <v>47880</v>
      </c>
      <c r="J9" s="21">
        <v>28200</v>
      </c>
      <c r="K9" s="21"/>
      <c r="L9" s="18">
        <v>3</v>
      </c>
      <c r="M9" s="169" t="s">
        <v>46</v>
      </c>
      <c r="N9" s="169" t="s">
        <v>1014</v>
      </c>
      <c r="O9" s="169" t="s">
        <v>11</v>
      </c>
      <c r="P9" s="169" t="s">
        <v>913</v>
      </c>
      <c r="Q9" s="170" t="s">
        <v>1020</v>
      </c>
      <c r="R9" s="169" t="s">
        <v>1019</v>
      </c>
      <c r="S9" s="171" t="s">
        <v>1017</v>
      </c>
      <c r="T9" s="171" t="s">
        <v>1018</v>
      </c>
      <c r="U9" s="172">
        <v>18918796.23</v>
      </c>
      <c r="W9" s="177" t="s">
        <v>46</v>
      </c>
      <c r="X9" s="177" t="s">
        <v>1014</v>
      </c>
      <c r="Y9" s="178" t="s">
        <v>11</v>
      </c>
      <c r="Z9" s="177" t="s">
        <v>913</v>
      </c>
      <c r="AA9" s="110" t="s">
        <v>1020</v>
      </c>
      <c r="AB9" s="178" t="s">
        <v>1019</v>
      </c>
      <c r="AC9" s="181" t="s">
        <v>1017</v>
      </c>
      <c r="AD9" s="181" t="s">
        <v>1018</v>
      </c>
      <c r="AE9" s="180">
        <v>18918796.23</v>
      </c>
    </row>
    <row r="10" spans="2:31" ht="20.25" customHeight="1" x14ac:dyDescent="0.25">
      <c r="B10" t="s">
        <v>48</v>
      </c>
      <c r="C10" t="s">
        <v>1746</v>
      </c>
      <c r="D10" t="s">
        <v>1083</v>
      </c>
      <c r="E10" t="s">
        <v>1743</v>
      </c>
      <c r="F10" t="s">
        <v>1747</v>
      </c>
      <c r="G10" t="s">
        <v>1752</v>
      </c>
      <c r="H10" s="76">
        <v>46098</v>
      </c>
      <c r="I10" s="76">
        <v>46494</v>
      </c>
      <c r="J10" s="21">
        <v>112500</v>
      </c>
      <c r="K10" s="21"/>
      <c r="L10" s="18">
        <v>4</v>
      </c>
      <c r="M10" s="169" t="s">
        <v>73</v>
      </c>
      <c r="N10" s="169" t="s">
        <v>1360</v>
      </c>
      <c r="O10" s="169" t="s">
        <v>5</v>
      </c>
      <c r="P10" s="169" t="s">
        <v>1345</v>
      </c>
      <c r="Q10" s="170" t="s">
        <v>1359</v>
      </c>
      <c r="R10" s="169" t="s">
        <v>1358</v>
      </c>
      <c r="S10" s="171">
        <v>45872</v>
      </c>
      <c r="T10" s="171">
        <v>46237</v>
      </c>
      <c r="U10" s="172">
        <v>13200000</v>
      </c>
      <c r="W10" s="177" t="s">
        <v>73</v>
      </c>
      <c r="X10" s="177" t="s">
        <v>1360</v>
      </c>
      <c r="Y10" s="178" t="s">
        <v>5</v>
      </c>
      <c r="Z10" s="177" t="s">
        <v>1345</v>
      </c>
      <c r="AA10" s="110" t="s">
        <v>1359</v>
      </c>
      <c r="AB10" s="178" t="s">
        <v>1358</v>
      </c>
      <c r="AC10" s="179">
        <v>45872</v>
      </c>
      <c r="AD10" s="179">
        <v>46237</v>
      </c>
      <c r="AE10" s="180">
        <v>13200000</v>
      </c>
    </row>
    <row r="11" spans="2:31" ht="20.25" customHeight="1" x14ac:dyDescent="0.25">
      <c r="B11" t="s">
        <v>48</v>
      </c>
      <c r="C11" t="s">
        <v>1793</v>
      </c>
      <c r="D11" t="s">
        <v>5</v>
      </c>
      <c r="E11" t="s">
        <v>1791</v>
      </c>
      <c r="F11" t="s">
        <v>1797</v>
      </c>
      <c r="G11" t="s">
        <v>1870</v>
      </c>
      <c r="H11" s="76">
        <v>46136</v>
      </c>
      <c r="I11" s="76">
        <v>47962</v>
      </c>
      <c r="J11" s="21">
        <v>788123.45</v>
      </c>
      <c r="K11" s="21"/>
      <c r="L11" s="18">
        <v>5</v>
      </c>
      <c r="M11" s="169" t="s">
        <v>200</v>
      </c>
      <c r="N11" s="169" t="s">
        <v>855</v>
      </c>
      <c r="O11" s="169" t="s">
        <v>5</v>
      </c>
      <c r="P11" s="169" t="s">
        <v>854</v>
      </c>
      <c r="Q11" s="170" t="s">
        <v>861</v>
      </c>
      <c r="R11" s="169" t="s">
        <v>860</v>
      </c>
      <c r="S11" s="171" t="s">
        <v>858</v>
      </c>
      <c r="T11" s="171" t="s">
        <v>859</v>
      </c>
      <c r="U11" s="172">
        <v>10887430.199999999</v>
      </c>
      <c r="W11" s="177" t="s">
        <v>200</v>
      </c>
      <c r="X11" s="177" t="s">
        <v>855</v>
      </c>
      <c r="Y11" s="178" t="s">
        <v>5</v>
      </c>
      <c r="Z11" s="177" t="s">
        <v>854</v>
      </c>
      <c r="AA11" s="110" t="s">
        <v>861</v>
      </c>
      <c r="AB11" s="178" t="s">
        <v>860</v>
      </c>
      <c r="AC11" s="181" t="s">
        <v>858</v>
      </c>
      <c r="AD11" s="181" t="s">
        <v>859</v>
      </c>
      <c r="AE11" s="180">
        <v>10887430.199999999</v>
      </c>
    </row>
    <row r="12" spans="2:31" ht="20.25" customHeight="1" x14ac:dyDescent="0.25">
      <c r="B12" t="s">
        <v>52</v>
      </c>
      <c r="C12" t="s">
        <v>1997</v>
      </c>
      <c r="D12" t="s">
        <v>5</v>
      </c>
      <c r="E12" t="s">
        <v>1967</v>
      </c>
      <c r="F12" t="s">
        <v>2002</v>
      </c>
      <c r="G12" t="s">
        <v>2001</v>
      </c>
      <c r="H12" s="76">
        <v>46252</v>
      </c>
      <c r="I12" s="76">
        <v>48078</v>
      </c>
      <c r="J12" s="21">
        <v>3499355</v>
      </c>
      <c r="K12" s="21"/>
      <c r="L12" s="18">
        <v>6</v>
      </c>
      <c r="M12" s="169" t="s">
        <v>46</v>
      </c>
      <c r="N12" s="169" t="s">
        <v>817</v>
      </c>
      <c r="O12" s="169" t="s">
        <v>11</v>
      </c>
      <c r="P12" s="169" t="s">
        <v>1386</v>
      </c>
      <c r="Q12" s="170" t="s">
        <v>839</v>
      </c>
      <c r="R12" s="169" t="s">
        <v>1388</v>
      </c>
      <c r="S12" s="171">
        <v>45840</v>
      </c>
      <c r="T12" s="171">
        <v>47120</v>
      </c>
      <c r="U12" s="172">
        <v>9795115.5099999998</v>
      </c>
      <c r="W12" s="177" t="s">
        <v>46</v>
      </c>
      <c r="X12" s="177" t="s">
        <v>817</v>
      </c>
      <c r="Y12" s="178" t="s">
        <v>11</v>
      </c>
      <c r="Z12" s="177" t="s">
        <v>1386</v>
      </c>
      <c r="AA12" s="110" t="s">
        <v>839</v>
      </c>
      <c r="AB12" s="178" t="s">
        <v>1388</v>
      </c>
      <c r="AC12" s="181">
        <v>45840</v>
      </c>
      <c r="AD12" s="181">
        <v>47120</v>
      </c>
      <c r="AE12" s="180">
        <v>9795115.5099999998</v>
      </c>
    </row>
    <row r="13" spans="2:31" ht="20.25" customHeight="1" x14ac:dyDescent="0.25">
      <c r="B13" t="s">
        <v>73</v>
      </c>
      <c r="C13" t="s">
        <v>1855</v>
      </c>
      <c r="D13" t="s">
        <v>5</v>
      </c>
      <c r="E13" t="s">
        <v>1854</v>
      </c>
      <c r="F13" t="s">
        <v>1862</v>
      </c>
      <c r="G13" t="s">
        <v>1868</v>
      </c>
      <c r="H13" s="76">
        <v>46237</v>
      </c>
      <c r="I13" s="76">
        <v>46602</v>
      </c>
      <c r="J13" s="21">
        <v>11233661</v>
      </c>
      <c r="K13" s="21"/>
      <c r="L13" s="18">
        <v>7</v>
      </c>
      <c r="M13" s="169" t="s">
        <v>46</v>
      </c>
      <c r="N13" s="169" t="s">
        <v>833</v>
      </c>
      <c r="O13" s="169" t="s">
        <v>11</v>
      </c>
      <c r="P13" s="169" t="s">
        <v>1483</v>
      </c>
      <c r="Q13" s="170" t="s">
        <v>1487</v>
      </c>
      <c r="R13" s="169" t="s">
        <v>1490</v>
      </c>
      <c r="S13" s="171">
        <v>45940</v>
      </c>
      <c r="T13" s="171">
        <v>47766</v>
      </c>
      <c r="U13" s="172">
        <v>8716646</v>
      </c>
      <c r="W13" s="177" t="s">
        <v>46</v>
      </c>
      <c r="X13" s="177" t="s">
        <v>833</v>
      </c>
      <c r="Y13" s="178" t="s">
        <v>11</v>
      </c>
      <c r="Z13" s="177" t="s">
        <v>1483</v>
      </c>
      <c r="AA13" s="110" t="s">
        <v>1487</v>
      </c>
      <c r="AB13" s="178" t="s">
        <v>1490</v>
      </c>
      <c r="AC13" s="181">
        <v>45940</v>
      </c>
      <c r="AD13" s="181">
        <v>47766</v>
      </c>
      <c r="AE13" s="180">
        <v>8716646</v>
      </c>
    </row>
    <row r="14" spans="2:31" ht="20.25" customHeight="1" x14ac:dyDescent="0.25">
      <c r="B14" t="s">
        <v>73</v>
      </c>
      <c r="C14" t="s">
        <v>1989</v>
      </c>
      <c r="D14" t="s">
        <v>5</v>
      </c>
      <c r="E14" t="s">
        <v>1966</v>
      </c>
      <c r="F14" t="s">
        <v>1995</v>
      </c>
      <c r="G14" t="s">
        <v>1994</v>
      </c>
      <c r="H14" s="76">
        <v>46253</v>
      </c>
      <c r="I14" s="76">
        <v>48079</v>
      </c>
      <c r="J14" s="21">
        <v>9396172.9399999995</v>
      </c>
      <c r="K14" s="21"/>
      <c r="L14" s="18">
        <v>8</v>
      </c>
      <c r="M14" s="169" t="s">
        <v>200</v>
      </c>
      <c r="N14" s="169" t="s">
        <v>1454</v>
      </c>
      <c r="O14" s="169" t="s">
        <v>5</v>
      </c>
      <c r="P14" s="169" t="s">
        <v>1413</v>
      </c>
      <c r="Q14" s="170" t="s">
        <v>1460</v>
      </c>
      <c r="R14" s="169" t="s">
        <v>1459</v>
      </c>
      <c r="S14" s="171">
        <v>45940</v>
      </c>
      <c r="T14" s="171">
        <v>47766</v>
      </c>
      <c r="U14" s="172">
        <v>7214400</v>
      </c>
      <c r="W14" s="177" t="s">
        <v>200</v>
      </c>
      <c r="X14" s="177" t="s">
        <v>1454</v>
      </c>
      <c r="Y14" s="178" t="s">
        <v>5</v>
      </c>
      <c r="Z14" s="177" t="s">
        <v>1413</v>
      </c>
      <c r="AA14" s="110" t="s">
        <v>1460</v>
      </c>
      <c r="AB14" s="178" t="s">
        <v>1459</v>
      </c>
      <c r="AC14" s="179">
        <v>45940</v>
      </c>
      <c r="AD14" s="179">
        <v>47766</v>
      </c>
      <c r="AE14" s="180">
        <v>7214400</v>
      </c>
    </row>
    <row r="15" spans="2:31" ht="20.25" customHeight="1" x14ac:dyDescent="0.25">
      <c r="B15" t="s">
        <v>74</v>
      </c>
      <c r="C15" t="s">
        <v>1838</v>
      </c>
      <c r="D15" t="s">
        <v>7</v>
      </c>
      <c r="E15" t="s">
        <v>1837</v>
      </c>
      <c r="F15" t="s">
        <v>1866</v>
      </c>
      <c r="G15" t="s">
        <v>1841</v>
      </c>
      <c r="H15" s="76">
        <v>46205</v>
      </c>
      <c r="I15" s="76">
        <v>46389</v>
      </c>
      <c r="J15" s="21">
        <v>39500</v>
      </c>
      <c r="K15" s="21"/>
      <c r="L15" s="18">
        <v>9</v>
      </c>
      <c r="M15" s="169" t="s">
        <v>200</v>
      </c>
      <c r="N15" s="169" t="s">
        <v>1127</v>
      </c>
      <c r="O15" s="169" t="s">
        <v>1083</v>
      </c>
      <c r="P15" s="169" t="s">
        <v>1113</v>
      </c>
      <c r="Q15" s="170" t="s">
        <v>1080</v>
      </c>
      <c r="R15" s="169" t="s">
        <v>1130</v>
      </c>
      <c r="S15" s="171" t="s">
        <v>1131</v>
      </c>
      <c r="T15" s="171" t="s">
        <v>1132</v>
      </c>
      <c r="U15" s="172">
        <v>6376307.2000000002</v>
      </c>
      <c r="W15" s="177" t="s">
        <v>200</v>
      </c>
      <c r="X15" s="177" t="s">
        <v>1127</v>
      </c>
      <c r="Y15" s="178" t="s">
        <v>1083</v>
      </c>
      <c r="Z15" s="177" t="s">
        <v>1113</v>
      </c>
      <c r="AA15" s="110" t="s">
        <v>1080</v>
      </c>
      <c r="AB15" s="178" t="s">
        <v>1130</v>
      </c>
      <c r="AC15" s="179" t="s">
        <v>1131</v>
      </c>
      <c r="AD15" s="179" t="s">
        <v>1132</v>
      </c>
      <c r="AE15" s="180">
        <v>6376307.2000000002</v>
      </c>
    </row>
    <row r="16" spans="2:31" ht="20.25" customHeight="1" x14ac:dyDescent="0.25">
      <c r="B16" t="s">
        <v>74</v>
      </c>
      <c r="C16" t="s">
        <v>1983</v>
      </c>
      <c r="D16" t="s">
        <v>5</v>
      </c>
      <c r="E16" t="s">
        <v>1965</v>
      </c>
      <c r="F16" t="s">
        <v>1986</v>
      </c>
      <c r="G16" t="s">
        <v>1988</v>
      </c>
      <c r="H16" s="76">
        <v>46230</v>
      </c>
      <c r="I16" s="76">
        <v>46961</v>
      </c>
      <c r="J16" s="21">
        <v>2299498</v>
      </c>
      <c r="K16" s="21"/>
      <c r="L16" s="18">
        <v>10</v>
      </c>
      <c r="M16" s="169" t="s">
        <v>1188</v>
      </c>
      <c r="N16" s="169" t="s">
        <v>1187</v>
      </c>
      <c r="O16" s="169" t="s">
        <v>4</v>
      </c>
      <c r="P16" s="169" t="s">
        <v>1181</v>
      </c>
      <c r="Q16" s="170" t="s">
        <v>1185</v>
      </c>
      <c r="R16" s="169" t="s">
        <v>1184</v>
      </c>
      <c r="S16" s="171">
        <v>45763</v>
      </c>
      <c r="T16" s="171">
        <v>47589</v>
      </c>
      <c r="U16" s="172">
        <v>5900000</v>
      </c>
      <c r="W16" s="177" t="s">
        <v>1188</v>
      </c>
      <c r="X16" s="177" t="s">
        <v>1187</v>
      </c>
      <c r="Y16" s="178" t="s">
        <v>4</v>
      </c>
      <c r="Z16" s="177" t="s">
        <v>1181</v>
      </c>
      <c r="AA16" s="110" t="s">
        <v>1185</v>
      </c>
      <c r="AB16" s="178" t="s">
        <v>1184</v>
      </c>
      <c r="AC16" s="179">
        <v>45763</v>
      </c>
      <c r="AD16" s="179">
        <v>47589</v>
      </c>
      <c r="AE16" s="180">
        <v>5900000</v>
      </c>
    </row>
    <row r="17" spans="2:31" ht="20.25" customHeight="1" x14ac:dyDescent="0.25">
      <c r="B17" t="s">
        <v>78</v>
      </c>
      <c r="C17" t="s">
        <v>1588</v>
      </c>
      <c r="D17" t="s">
        <v>4</v>
      </c>
      <c r="E17" t="s">
        <v>1539</v>
      </c>
      <c r="F17" t="s">
        <v>1594</v>
      </c>
      <c r="G17" t="s">
        <v>1593</v>
      </c>
      <c r="H17" s="76">
        <v>46044</v>
      </c>
      <c r="I17" s="76">
        <v>46409</v>
      </c>
      <c r="J17" s="21">
        <v>762535.47</v>
      </c>
      <c r="K17" s="21"/>
      <c r="L17" s="18"/>
      <c r="M17" s="169" t="s">
        <v>48</v>
      </c>
      <c r="N17" s="169" t="s">
        <v>1046</v>
      </c>
      <c r="O17" s="169" t="s">
        <v>5</v>
      </c>
      <c r="P17" s="169" t="s">
        <v>1049</v>
      </c>
      <c r="Q17" s="170" t="s">
        <v>1053</v>
      </c>
      <c r="R17" s="169" t="s">
        <v>1052</v>
      </c>
      <c r="S17" s="171" t="s">
        <v>1050</v>
      </c>
      <c r="T17" s="171" t="s">
        <v>1051</v>
      </c>
      <c r="U17" s="172">
        <v>5285400</v>
      </c>
      <c r="W17" s="177" t="s">
        <v>48</v>
      </c>
      <c r="X17" s="177" t="s">
        <v>1046</v>
      </c>
      <c r="Y17" s="178" t="s">
        <v>5</v>
      </c>
      <c r="Z17" s="177" t="s">
        <v>1049</v>
      </c>
      <c r="AA17" s="110" t="s">
        <v>1053</v>
      </c>
      <c r="AB17" s="178" t="s">
        <v>1052</v>
      </c>
      <c r="AC17" s="179" t="s">
        <v>1050</v>
      </c>
      <c r="AD17" s="179" t="s">
        <v>1051</v>
      </c>
      <c r="AE17" s="180">
        <v>5285400</v>
      </c>
    </row>
    <row r="18" spans="2:31" ht="20.25" customHeight="1" x14ac:dyDescent="0.25">
      <c r="B18" t="s">
        <v>78</v>
      </c>
      <c r="C18" t="s">
        <v>1771</v>
      </c>
      <c r="D18" t="s">
        <v>11</v>
      </c>
      <c r="E18" t="s">
        <v>1770</v>
      </c>
      <c r="F18" t="s">
        <v>274</v>
      </c>
      <c r="G18" t="s">
        <v>1772</v>
      </c>
      <c r="H18" s="76">
        <v>46112</v>
      </c>
      <c r="I18" s="76">
        <v>46477</v>
      </c>
      <c r="J18" s="21">
        <v>100123.51</v>
      </c>
      <c r="K18" s="21"/>
      <c r="L18" s="18"/>
      <c r="M18" s="169" t="s">
        <v>200</v>
      </c>
      <c r="N18" s="169" t="s">
        <v>1420</v>
      </c>
      <c r="O18" s="169" t="s">
        <v>1083</v>
      </c>
      <c r="P18" s="169" t="s">
        <v>1411</v>
      </c>
      <c r="Q18" s="170" t="s">
        <v>1369</v>
      </c>
      <c r="R18" s="169" t="s">
        <v>1424</v>
      </c>
      <c r="S18" s="171">
        <v>45924</v>
      </c>
      <c r="T18" s="171">
        <v>47841</v>
      </c>
      <c r="U18" s="172">
        <v>5117331.91</v>
      </c>
      <c r="W18" s="177" t="s">
        <v>200</v>
      </c>
      <c r="X18" s="177" t="s">
        <v>1420</v>
      </c>
      <c r="Y18" s="178" t="s">
        <v>1083</v>
      </c>
      <c r="Z18" s="177" t="s">
        <v>1411</v>
      </c>
      <c r="AA18" s="110" t="s">
        <v>1369</v>
      </c>
      <c r="AB18" s="178" t="s">
        <v>1424</v>
      </c>
      <c r="AC18" s="179">
        <v>45924</v>
      </c>
      <c r="AD18" s="179">
        <v>47841</v>
      </c>
      <c r="AE18" s="180">
        <v>5117331.91</v>
      </c>
    </row>
    <row r="19" spans="2:31" ht="20.25" customHeight="1" x14ac:dyDescent="0.25">
      <c r="B19" t="s">
        <v>78</v>
      </c>
      <c r="C19" t="s">
        <v>1801</v>
      </c>
      <c r="D19" t="s">
        <v>11</v>
      </c>
      <c r="E19" t="s">
        <v>1792</v>
      </c>
      <c r="F19" t="s">
        <v>1800</v>
      </c>
      <c r="G19" t="s">
        <v>1871</v>
      </c>
      <c r="H19" s="76">
        <v>46135</v>
      </c>
      <c r="I19" s="76">
        <v>46500</v>
      </c>
      <c r="J19" s="21">
        <v>196076.52</v>
      </c>
      <c r="K19" s="21"/>
      <c r="L19" s="18"/>
      <c r="M19" s="169" t="s">
        <v>90</v>
      </c>
      <c r="N19" s="169" t="s">
        <v>1544</v>
      </c>
      <c r="O19" s="169" t="s">
        <v>4</v>
      </c>
      <c r="P19" s="169" t="s">
        <v>1488</v>
      </c>
      <c r="Q19" s="170" t="s">
        <v>1550</v>
      </c>
      <c r="R19" s="169" t="s">
        <v>1549</v>
      </c>
      <c r="S19" s="171">
        <v>46006</v>
      </c>
      <c r="T19" s="171">
        <v>46736</v>
      </c>
      <c r="U19" s="172">
        <v>4357243.32</v>
      </c>
      <c r="W19" s="177" t="s">
        <v>90</v>
      </c>
      <c r="X19" s="177" t="s">
        <v>1544</v>
      </c>
      <c r="Y19" s="178" t="s">
        <v>4</v>
      </c>
      <c r="Z19" s="177" t="s">
        <v>1488</v>
      </c>
      <c r="AA19" s="110" t="s">
        <v>1550</v>
      </c>
      <c r="AB19" s="178" t="s">
        <v>1549</v>
      </c>
      <c r="AC19" s="179">
        <v>46006</v>
      </c>
      <c r="AD19" s="179">
        <v>46736</v>
      </c>
      <c r="AE19" s="180">
        <v>4357243.32</v>
      </c>
    </row>
    <row r="20" spans="2:31" ht="20.25" customHeight="1" x14ac:dyDescent="0.25">
      <c r="B20" t="s">
        <v>78</v>
      </c>
      <c r="C20" t="s">
        <v>1822</v>
      </c>
      <c r="D20" t="s">
        <v>4</v>
      </c>
      <c r="E20" t="s">
        <v>1821</v>
      </c>
      <c r="F20" t="s">
        <v>1824</v>
      </c>
      <c r="G20" t="s">
        <v>1823</v>
      </c>
      <c r="H20" s="76">
        <v>46160</v>
      </c>
      <c r="I20" s="76">
        <v>47256</v>
      </c>
      <c r="J20" s="21">
        <v>4870422.96</v>
      </c>
      <c r="K20" s="21"/>
      <c r="L20" s="18"/>
      <c r="M20" s="169" t="s">
        <v>447</v>
      </c>
      <c r="N20" s="169" t="s">
        <v>1552</v>
      </c>
      <c r="O20" s="169" t="s">
        <v>5</v>
      </c>
      <c r="P20" s="169" t="s">
        <v>1531</v>
      </c>
      <c r="Q20" s="170" t="s">
        <v>1558</v>
      </c>
      <c r="R20" s="169" t="s">
        <v>1557</v>
      </c>
      <c r="S20" s="171">
        <v>46013</v>
      </c>
      <c r="T20" s="171">
        <v>46926</v>
      </c>
      <c r="U20" s="172">
        <v>3620492.4</v>
      </c>
      <c r="W20" s="177" t="s">
        <v>447</v>
      </c>
      <c r="X20" s="177" t="s">
        <v>1552</v>
      </c>
      <c r="Y20" s="178" t="s">
        <v>5</v>
      </c>
      <c r="Z20" s="177" t="s">
        <v>1531</v>
      </c>
      <c r="AA20" s="110" t="s">
        <v>1558</v>
      </c>
      <c r="AB20" s="178" t="s">
        <v>1557</v>
      </c>
      <c r="AC20" s="181">
        <v>46013</v>
      </c>
      <c r="AD20" s="181">
        <v>46926</v>
      </c>
      <c r="AE20" s="180">
        <v>3620492.4</v>
      </c>
    </row>
    <row r="21" spans="2:31" ht="20.25" customHeight="1" x14ac:dyDescent="0.25">
      <c r="B21" t="s">
        <v>78</v>
      </c>
      <c r="C21" t="s">
        <v>1878</v>
      </c>
      <c r="D21" t="s">
        <v>7</v>
      </c>
      <c r="E21" t="s">
        <v>1874</v>
      </c>
      <c r="F21" t="s">
        <v>1981</v>
      </c>
      <c r="G21" t="s">
        <v>1980</v>
      </c>
      <c r="H21" s="76">
        <v>46226</v>
      </c>
      <c r="I21" s="76">
        <v>46410</v>
      </c>
      <c r="J21" s="21">
        <v>14398</v>
      </c>
      <c r="K21" s="21"/>
      <c r="L21" s="18"/>
      <c r="M21" s="169" t="s">
        <v>52</v>
      </c>
      <c r="N21" s="169" t="s">
        <v>1498</v>
      </c>
      <c r="O21" s="169" t="s">
        <v>7</v>
      </c>
      <c r="P21" s="169" t="s">
        <v>1493</v>
      </c>
      <c r="Q21" s="170" t="s">
        <v>1495</v>
      </c>
      <c r="R21" s="169" t="s">
        <v>1494</v>
      </c>
      <c r="S21" s="171">
        <v>45986</v>
      </c>
      <c r="T21" s="171">
        <v>47812</v>
      </c>
      <c r="U21" s="172">
        <v>1496376.51</v>
      </c>
      <c r="W21" s="177" t="s">
        <v>52</v>
      </c>
      <c r="X21" s="177" t="s">
        <v>1498</v>
      </c>
      <c r="Y21" s="178" t="s">
        <v>7</v>
      </c>
      <c r="Z21" s="177" t="s">
        <v>1493</v>
      </c>
      <c r="AA21" s="110" t="s">
        <v>1495</v>
      </c>
      <c r="AB21" s="178" t="s">
        <v>1494</v>
      </c>
      <c r="AC21" s="179">
        <v>45986</v>
      </c>
      <c r="AD21" s="179">
        <v>47812</v>
      </c>
      <c r="AE21" s="180">
        <v>1496376.51</v>
      </c>
    </row>
    <row r="22" spans="2:31" ht="20.25" customHeight="1" x14ac:dyDescent="0.25">
      <c r="B22" t="s">
        <v>200</v>
      </c>
      <c r="C22" t="s">
        <v>1575</v>
      </c>
      <c r="D22" t="s">
        <v>1083</v>
      </c>
      <c r="E22" t="s">
        <v>1533</v>
      </c>
      <c r="F22" t="s">
        <v>1631</v>
      </c>
      <c r="G22" t="s">
        <v>1578</v>
      </c>
      <c r="H22" s="76">
        <v>46024</v>
      </c>
      <c r="I22" s="76">
        <v>47940</v>
      </c>
      <c r="J22" s="21">
        <v>2631068.09</v>
      </c>
      <c r="K22" s="21"/>
      <c r="L22" s="18"/>
      <c r="M22" s="169" t="s">
        <v>48</v>
      </c>
      <c r="N22" s="169" t="s">
        <v>1519</v>
      </c>
      <c r="O22" s="169" t="s">
        <v>5</v>
      </c>
      <c r="P22" s="169" t="s">
        <v>1517</v>
      </c>
      <c r="Q22" s="170" t="s">
        <v>1523</v>
      </c>
      <c r="R22" s="169" t="s">
        <v>1522</v>
      </c>
      <c r="S22" s="171">
        <v>46010</v>
      </c>
      <c r="T22" s="171">
        <v>47836</v>
      </c>
      <c r="U22" s="172">
        <v>1360196.5</v>
      </c>
      <c r="W22" s="177" t="s">
        <v>48</v>
      </c>
      <c r="X22" s="177" t="s">
        <v>1519</v>
      </c>
      <c r="Y22" s="178" t="s">
        <v>5</v>
      </c>
      <c r="Z22" s="177" t="s">
        <v>1517</v>
      </c>
      <c r="AA22" s="110" t="s">
        <v>1523</v>
      </c>
      <c r="AB22" s="178" t="s">
        <v>1522</v>
      </c>
      <c r="AC22" s="181">
        <v>46010</v>
      </c>
      <c r="AD22" s="181">
        <v>47836</v>
      </c>
      <c r="AE22" s="180">
        <v>1360196.5</v>
      </c>
    </row>
    <row r="23" spans="2:31" ht="20.25" customHeight="1" x14ac:dyDescent="0.25">
      <c r="B23" t="s">
        <v>200</v>
      </c>
      <c r="C23" t="s">
        <v>1754</v>
      </c>
      <c r="D23" t="s">
        <v>4</v>
      </c>
      <c r="E23" t="s">
        <v>1745</v>
      </c>
      <c r="F23" t="s">
        <v>1755</v>
      </c>
      <c r="G23" t="s">
        <v>1753</v>
      </c>
      <c r="H23" s="76">
        <v>46108</v>
      </c>
      <c r="I23" s="76">
        <v>46473</v>
      </c>
      <c r="J23" s="21">
        <v>2855400</v>
      </c>
      <c r="K23" s="21"/>
      <c r="L23" s="18"/>
      <c r="M23" s="169" t="s">
        <v>52</v>
      </c>
      <c r="N23" s="169" t="s">
        <v>1471</v>
      </c>
      <c r="O23" s="169" t="s">
        <v>4</v>
      </c>
      <c r="P23" s="169" t="s">
        <v>1470</v>
      </c>
      <c r="Q23" s="170" t="s">
        <v>1477</v>
      </c>
      <c r="R23" s="169" t="s">
        <v>1476</v>
      </c>
      <c r="S23" s="171">
        <v>45966</v>
      </c>
      <c r="T23" s="171">
        <v>46392</v>
      </c>
      <c r="U23" s="172">
        <v>1252476</v>
      </c>
      <c r="W23" s="177" t="s">
        <v>52</v>
      </c>
      <c r="X23" s="177" t="s">
        <v>1471</v>
      </c>
      <c r="Y23" s="178" t="s">
        <v>4</v>
      </c>
      <c r="Z23" s="177" t="s">
        <v>1470</v>
      </c>
      <c r="AA23" s="110" t="s">
        <v>1477</v>
      </c>
      <c r="AB23" s="178" t="s">
        <v>1476</v>
      </c>
      <c r="AC23" s="179">
        <v>45966</v>
      </c>
      <c r="AD23" s="179">
        <v>46392</v>
      </c>
      <c r="AE23" s="180">
        <v>1252476</v>
      </c>
    </row>
    <row r="24" spans="2:31" ht="20.25" customHeight="1" x14ac:dyDescent="0.25">
      <c r="B24" t="s">
        <v>710</v>
      </c>
      <c r="C24" t="s">
        <v>1848</v>
      </c>
      <c r="D24" t="s">
        <v>1083</v>
      </c>
      <c r="E24" t="s">
        <v>1845</v>
      </c>
      <c r="F24" t="s">
        <v>1846</v>
      </c>
      <c r="G24" t="s">
        <v>1867</v>
      </c>
      <c r="H24" s="76">
        <v>46217</v>
      </c>
      <c r="I24" s="76">
        <v>48043</v>
      </c>
      <c r="J24" s="21">
        <v>581</v>
      </c>
      <c r="K24" s="21"/>
      <c r="L24" s="18"/>
      <c r="M24" s="169" t="s">
        <v>73</v>
      </c>
      <c r="N24" s="169" t="s">
        <v>1425</v>
      </c>
      <c r="O24" s="169" t="s">
        <v>11</v>
      </c>
      <c r="P24" s="169" t="s">
        <v>1412</v>
      </c>
      <c r="Q24" s="170" t="s">
        <v>1429</v>
      </c>
      <c r="R24" s="169" t="s">
        <v>1428</v>
      </c>
      <c r="S24" s="171">
        <v>45929</v>
      </c>
      <c r="T24" s="171">
        <v>46294</v>
      </c>
      <c r="U24" s="172">
        <v>899269.64</v>
      </c>
      <c r="W24" s="177" t="s">
        <v>73</v>
      </c>
      <c r="X24" s="177" t="s">
        <v>1425</v>
      </c>
      <c r="Y24" s="178" t="s">
        <v>11</v>
      </c>
      <c r="Z24" s="177" t="s">
        <v>1412</v>
      </c>
      <c r="AA24" s="110" t="s">
        <v>1429</v>
      </c>
      <c r="AB24" s="178" t="s">
        <v>1428</v>
      </c>
      <c r="AC24" s="179">
        <v>45929</v>
      </c>
      <c r="AD24" s="179">
        <v>46294</v>
      </c>
      <c r="AE24" s="180">
        <v>899269.64</v>
      </c>
    </row>
    <row r="25" spans="2:31" ht="20.25" customHeight="1" x14ac:dyDescent="0.25">
      <c r="B25" t="s">
        <v>710</v>
      </c>
      <c r="C25" t="s">
        <v>2004</v>
      </c>
      <c r="D25" t="s">
        <v>1083</v>
      </c>
      <c r="E25" t="s">
        <v>1968</v>
      </c>
      <c r="F25" t="s">
        <v>1846</v>
      </c>
      <c r="G25" t="s">
        <v>2008</v>
      </c>
      <c r="H25" s="76">
        <v>46247</v>
      </c>
      <c r="I25" s="76">
        <v>48073</v>
      </c>
      <c r="J25" s="21">
        <v>2325</v>
      </c>
      <c r="K25" s="21"/>
      <c r="L25" s="18"/>
      <c r="M25" s="169" t="s">
        <v>48</v>
      </c>
      <c r="N25" s="169" t="s">
        <v>1056</v>
      </c>
      <c r="O25" s="169" t="s">
        <v>5</v>
      </c>
      <c r="P25" s="169" t="s">
        <v>1055</v>
      </c>
      <c r="Q25" s="170" t="s">
        <v>1062</v>
      </c>
      <c r="R25" s="169" t="s">
        <v>1061</v>
      </c>
      <c r="S25" s="171" t="s">
        <v>1059</v>
      </c>
      <c r="T25" s="171" t="s">
        <v>1060</v>
      </c>
      <c r="U25" s="172">
        <v>547999.96</v>
      </c>
      <c r="W25" s="177" t="s">
        <v>48</v>
      </c>
      <c r="X25" s="177" t="s">
        <v>1056</v>
      </c>
      <c r="Y25" s="178" t="s">
        <v>5</v>
      </c>
      <c r="Z25" s="177" t="s">
        <v>1055</v>
      </c>
      <c r="AA25" s="110" t="s">
        <v>1062</v>
      </c>
      <c r="AB25" s="178" t="s">
        <v>1061</v>
      </c>
      <c r="AC25" s="179" t="s">
        <v>1059</v>
      </c>
      <c r="AD25" s="179" t="s">
        <v>1060</v>
      </c>
      <c r="AE25" s="180">
        <v>547999.96</v>
      </c>
    </row>
    <row r="26" spans="2:31" ht="20.25" customHeight="1" thickBot="1" x14ac:dyDescent="0.3">
      <c r="B26" t="s">
        <v>710</v>
      </c>
      <c r="C26" t="s">
        <v>2009</v>
      </c>
      <c r="D26" t="s">
        <v>1083</v>
      </c>
      <c r="E26" t="s">
        <v>1969</v>
      </c>
      <c r="F26" t="s">
        <v>1846</v>
      </c>
      <c r="G26" t="s">
        <v>2011</v>
      </c>
      <c r="H26" s="76">
        <v>46260</v>
      </c>
      <c r="I26" s="76">
        <v>48086</v>
      </c>
      <c r="J26" s="21">
        <v>41860</v>
      </c>
      <c r="K26" s="21"/>
      <c r="L26" s="18"/>
      <c r="M26" s="169" t="s">
        <v>48</v>
      </c>
      <c r="N26" s="169" t="s">
        <v>915</v>
      </c>
      <c r="O26" s="169" t="s">
        <v>5</v>
      </c>
      <c r="P26" s="169" t="s">
        <v>914</v>
      </c>
      <c r="Q26" s="170" t="s">
        <v>921</v>
      </c>
      <c r="R26" s="169" t="s">
        <v>920</v>
      </c>
      <c r="S26" s="171" t="s">
        <v>918</v>
      </c>
      <c r="T26" s="171" t="s">
        <v>919</v>
      </c>
      <c r="U26" s="172">
        <v>520848.72</v>
      </c>
      <c r="W26" s="182" t="s">
        <v>48</v>
      </c>
      <c r="X26" s="182" t="s">
        <v>915</v>
      </c>
      <c r="Y26" s="184" t="s">
        <v>5</v>
      </c>
      <c r="Z26" s="182" t="s">
        <v>914</v>
      </c>
      <c r="AA26" s="183" t="s">
        <v>921</v>
      </c>
      <c r="AB26" s="184" t="s">
        <v>920</v>
      </c>
      <c r="AC26" s="185" t="s">
        <v>918</v>
      </c>
      <c r="AD26" s="185" t="s">
        <v>919</v>
      </c>
      <c r="AE26" s="186">
        <v>520848.72</v>
      </c>
    </row>
    <row r="27" spans="2:31" ht="20.25" customHeight="1" thickBot="1" x14ac:dyDescent="0.3">
      <c r="B27" t="s">
        <v>445</v>
      </c>
      <c r="C27" t="s">
        <v>1750</v>
      </c>
      <c r="D27" t="s">
        <v>7</v>
      </c>
      <c r="E27" t="s">
        <v>1744</v>
      </c>
      <c r="F27" t="s">
        <v>1748</v>
      </c>
      <c r="G27" t="s">
        <v>1751</v>
      </c>
      <c r="H27" s="76">
        <v>46093</v>
      </c>
      <c r="I27" s="76">
        <v>46458</v>
      </c>
      <c r="J27" s="21">
        <v>38004.35</v>
      </c>
      <c r="K27" s="21"/>
      <c r="L27" s="18"/>
      <c r="M27" s="169" t="s">
        <v>48</v>
      </c>
      <c r="N27" s="169" t="s">
        <v>1212</v>
      </c>
      <c r="O27" s="169" t="s">
        <v>5</v>
      </c>
      <c r="P27" s="169" t="s">
        <v>1215</v>
      </c>
      <c r="Q27" s="170" t="s">
        <v>1217</v>
      </c>
      <c r="R27" s="169" t="s">
        <v>1216</v>
      </c>
      <c r="S27" s="171">
        <v>45793</v>
      </c>
      <c r="T27" s="171">
        <v>47619</v>
      </c>
      <c r="U27" s="172">
        <v>458880</v>
      </c>
      <c r="W27" s="191" t="s">
        <v>1098</v>
      </c>
      <c r="X27" s="187"/>
      <c r="Y27" s="189"/>
      <c r="Z27" s="187"/>
      <c r="AA27" s="187"/>
      <c r="AB27" s="187"/>
      <c r="AC27" s="190"/>
      <c r="AD27" s="190"/>
      <c r="AE27" s="188">
        <f>SUM(AE7:AE26)</f>
        <v>270386731.34999996</v>
      </c>
    </row>
    <row r="28" spans="2:31" ht="20.25" customHeight="1" x14ac:dyDescent="0.25">
      <c r="B28" t="s">
        <v>445</v>
      </c>
      <c r="C28" t="s">
        <v>1780</v>
      </c>
      <c r="D28" t="s">
        <v>5</v>
      </c>
      <c r="E28" t="s">
        <v>1776</v>
      </c>
      <c r="F28" t="s">
        <v>1777</v>
      </c>
      <c r="G28" t="s">
        <v>1869</v>
      </c>
      <c r="H28" s="76">
        <v>46143</v>
      </c>
      <c r="I28" s="76">
        <v>47969</v>
      </c>
      <c r="J28" s="21">
        <v>498450</v>
      </c>
      <c r="K28" s="21"/>
      <c r="L28" s="18"/>
      <c r="M28" s="169" t="s">
        <v>51</v>
      </c>
      <c r="N28" s="169" t="s">
        <v>1255</v>
      </c>
      <c r="O28" s="169" t="s">
        <v>5</v>
      </c>
      <c r="P28" s="169" t="s">
        <v>1247</v>
      </c>
      <c r="Q28" s="170" t="s">
        <v>1259</v>
      </c>
      <c r="R28" s="169" t="s">
        <v>1258</v>
      </c>
      <c r="S28" s="171">
        <v>45821</v>
      </c>
      <c r="T28" s="171">
        <v>46917</v>
      </c>
      <c r="U28" s="172">
        <v>449000</v>
      </c>
    </row>
    <row r="29" spans="2:31" ht="20.25" customHeight="1" x14ac:dyDescent="0.25">
      <c r="B29" t="s">
        <v>1758</v>
      </c>
      <c r="C29" t="s">
        <v>1579</v>
      </c>
      <c r="D29" t="s">
        <v>7</v>
      </c>
      <c r="E29" t="s">
        <v>1538</v>
      </c>
      <c r="F29" t="s">
        <v>1586</v>
      </c>
      <c r="G29" t="s">
        <v>1585</v>
      </c>
      <c r="H29" s="76">
        <v>46041</v>
      </c>
      <c r="I29" s="76">
        <v>46056</v>
      </c>
      <c r="J29" s="21">
        <v>6000</v>
      </c>
      <c r="K29" s="21"/>
      <c r="L29" s="18"/>
      <c r="M29" s="169" t="s">
        <v>46</v>
      </c>
      <c r="N29" s="169" t="s">
        <v>817</v>
      </c>
      <c r="O29" s="169" t="s">
        <v>11</v>
      </c>
      <c r="P29" s="169" t="s">
        <v>1484</v>
      </c>
      <c r="Q29" s="170" t="s">
        <v>1487</v>
      </c>
      <c r="R29" s="169" t="s">
        <v>1491</v>
      </c>
      <c r="S29" s="171">
        <v>45940</v>
      </c>
      <c r="T29" s="171">
        <v>47766</v>
      </c>
      <c r="U29" s="172">
        <v>274978.90000000002</v>
      </c>
    </row>
    <row r="30" spans="2:31" ht="20.25" customHeight="1" x14ac:dyDescent="0.25">
      <c r="B30"/>
      <c r="E30"/>
      <c r="F30"/>
      <c r="G30"/>
      <c r="H30"/>
      <c r="I30"/>
      <c r="J30"/>
      <c r="K30" s="21"/>
      <c r="L30" s="18"/>
      <c r="M30" s="169" t="s">
        <v>52</v>
      </c>
      <c r="N30" s="169" t="s">
        <v>1564</v>
      </c>
      <c r="O30" s="169" t="s">
        <v>7</v>
      </c>
      <c r="P30" s="169" t="s">
        <v>1529</v>
      </c>
      <c r="Q30" s="170" t="s">
        <v>1569</v>
      </c>
      <c r="R30" s="169" t="s">
        <v>1565</v>
      </c>
      <c r="S30" s="171">
        <v>46010</v>
      </c>
      <c r="T30" s="171">
        <v>46190</v>
      </c>
      <c r="U30" s="172">
        <v>213535.56</v>
      </c>
    </row>
    <row r="31" spans="2:31" ht="20.25" customHeight="1" x14ac:dyDescent="0.25">
      <c r="B31"/>
      <c r="E31"/>
      <c r="F31"/>
      <c r="G31"/>
      <c r="H31"/>
      <c r="I31"/>
      <c r="J31"/>
      <c r="K31" s="21"/>
      <c r="L31" s="18"/>
      <c r="M31" s="169" t="s">
        <v>73</v>
      </c>
      <c r="N31" s="169" t="s">
        <v>1479</v>
      </c>
      <c r="O31" s="169" t="s">
        <v>7</v>
      </c>
      <c r="P31" s="169" t="s">
        <v>1478</v>
      </c>
      <c r="Q31" s="170" t="s">
        <v>1429</v>
      </c>
      <c r="R31" s="169" t="s">
        <v>1482</v>
      </c>
      <c r="S31" s="171">
        <v>45971</v>
      </c>
      <c r="T31" s="171">
        <v>46336</v>
      </c>
      <c r="U31" s="172">
        <v>195841</v>
      </c>
    </row>
    <row r="32" spans="2:31" ht="20.25" customHeight="1" x14ac:dyDescent="0.25">
      <c r="B32"/>
      <c r="E32"/>
      <c r="F32"/>
      <c r="G32"/>
      <c r="H32"/>
      <c r="I32"/>
      <c r="J32"/>
      <c r="K32" s="21"/>
      <c r="L32" s="18"/>
      <c r="M32" s="169" t="s">
        <v>336</v>
      </c>
      <c r="N32" s="169" t="s">
        <v>1406</v>
      </c>
      <c r="O32" s="169" t="s">
        <v>5</v>
      </c>
      <c r="P32" s="169" t="s">
        <v>1399</v>
      </c>
      <c r="Q32" s="170" t="s">
        <v>663</v>
      </c>
      <c r="R32" s="169" t="s">
        <v>1409</v>
      </c>
      <c r="S32" s="171">
        <v>45915</v>
      </c>
      <c r="T32" s="171">
        <v>46280</v>
      </c>
      <c r="U32" s="172">
        <v>136231.88</v>
      </c>
    </row>
    <row r="33" spans="2:21" ht="20.25" customHeight="1" x14ac:dyDescent="0.25">
      <c r="B33"/>
      <c r="E33"/>
      <c r="F33"/>
      <c r="G33"/>
      <c r="H33"/>
      <c r="I33"/>
      <c r="J33"/>
      <c r="K33" s="21"/>
      <c r="L33" s="18"/>
      <c r="M33" s="169" t="s">
        <v>200</v>
      </c>
      <c r="N33" s="169" t="s">
        <v>1140</v>
      </c>
      <c r="O33" s="169" t="s">
        <v>4</v>
      </c>
      <c r="P33" s="169" t="s">
        <v>1115</v>
      </c>
      <c r="Q33" s="170" t="s">
        <v>1138</v>
      </c>
      <c r="R33" s="169" t="s">
        <v>1142</v>
      </c>
      <c r="S33" s="171" t="s">
        <v>1136</v>
      </c>
      <c r="T33" s="171" t="s">
        <v>1205</v>
      </c>
      <c r="U33" s="172">
        <v>122605</v>
      </c>
    </row>
    <row r="34" spans="2:21" ht="20.25" customHeight="1" x14ac:dyDescent="0.25">
      <c r="B34"/>
      <c r="E34"/>
      <c r="F34"/>
      <c r="G34"/>
      <c r="H34"/>
      <c r="I34"/>
      <c r="J34"/>
      <c r="K34" s="21"/>
      <c r="L34" s="18"/>
      <c r="M34" s="169" t="s">
        <v>73</v>
      </c>
      <c r="N34" s="169" t="s">
        <v>1479</v>
      </c>
      <c r="O34" s="169" t="s">
        <v>11</v>
      </c>
      <c r="P34" s="169" t="s">
        <v>1489</v>
      </c>
      <c r="Q34" s="170" t="s">
        <v>300</v>
      </c>
      <c r="R34" s="169" t="s">
        <v>1482</v>
      </c>
      <c r="S34" s="171">
        <v>45980</v>
      </c>
      <c r="T34" s="171">
        <v>46345</v>
      </c>
      <c r="U34" s="172">
        <v>111460.83</v>
      </c>
    </row>
    <row r="35" spans="2:21" ht="20.25" customHeight="1" x14ac:dyDescent="0.25">
      <c r="B35"/>
      <c r="E35"/>
      <c r="F35"/>
      <c r="G35"/>
      <c r="H35"/>
      <c r="I35"/>
      <c r="J35"/>
      <c r="K35" s="21"/>
      <c r="L35" s="18"/>
      <c r="M35" s="169" t="s">
        <v>67</v>
      </c>
      <c r="N35" s="169" t="s">
        <v>1354</v>
      </c>
      <c r="O35" s="169" t="s">
        <v>4</v>
      </c>
      <c r="P35" s="169" t="s">
        <v>1344</v>
      </c>
      <c r="Q35" s="170" t="s">
        <v>1357</v>
      </c>
      <c r="R35" s="169" t="s">
        <v>1356</v>
      </c>
      <c r="S35" s="171">
        <v>45862</v>
      </c>
      <c r="T35" s="171">
        <v>46022</v>
      </c>
      <c r="U35" s="172">
        <v>109865.44</v>
      </c>
    </row>
    <row r="36" spans="2:21" ht="20.25" customHeight="1" x14ac:dyDescent="0.25">
      <c r="B36"/>
      <c r="E36"/>
      <c r="F36"/>
      <c r="G36"/>
      <c r="H36"/>
      <c r="I36"/>
      <c r="J36"/>
      <c r="K36" s="21"/>
      <c r="L36" s="18"/>
      <c r="M36" s="169" t="s">
        <v>200</v>
      </c>
      <c r="N36" s="169" t="s">
        <v>1525</v>
      </c>
      <c r="O36" s="169" t="s">
        <v>5</v>
      </c>
      <c r="P36" s="169" t="s">
        <v>1518</v>
      </c>
      <c r="Q36" s="170" t="s">
        <v>1563</v>
      </c>
      <c r="R36" s="169" t="s">
        <v>1604</v>
      </c>
      <c r="S36" s="171">
        <v>46008</v>
      </c>
      <c r="T36" s="171">
        <v>47104</v>
      </c>
      <c r="U36" s="172">
        <v>62080</v>
      </c>
    </row>
    <row r="37" spans="2:21" ht="20.25" customHeight="1" x14ac:dyDescent="0.25">
      <c r="B37"/>
      <c r="E37"/>
      <c r="F37"/>
      <c r="G37"/>
      <c r="H37"/>
      <c r="I37"/>
      <c r="J37"/>
      <c r="K37" s="21"/>
      <c r="L37" s="18"/>
      <c r="M37" s="169" t="s">
        <v>200</v>
      </c>
      <c r="N37" s="169" t="s">
        <v>1133</v>
      </c>
      <c r="O37" s="169" t="s">
        <v>4</v>
      </c>
      <c r="P37" s="169" t="s">
        <v>1114</v>
      </c>
      <c r="Q37" s="170" t="s">
        <v>1138</v>
      </c>
      <c r="R37" s="169" t="s">
        <v>1137</v>
      </c>
      <c r="S37" s="171" t="s">
        <v>1136</v>
      </c>
      <c r="T37" s="171" t="s">
        <v>1205</v>
      </c>
      <c r="U37" s="172">
        <v>53604</v>
      </c>
    </row>
    <row r="38" spans="2:21" ht="20.25" customHeight="1" x14ac:dyDescent="0.25">
      <c r="B38"/>
      <c r="E38"/>
      <c r="F38"/>
      <c r="G38"/>
      <c r="H38"/>
      <c r="I38"/>
      <c r="J38"/>
      <c r="K38" s="21"/>
      <c r="L38" s="18"/>
      <c r="M38" s="169" t="s">
        <v>445</v>
      </c>
      <c r="N38" s="169" t="s">
        <v>1400</v>
      </c>
      <c r="O38" s="169" t="s">
        <v>4</v>
      </c>
      <c r="P38" s="169" t="s">
        <v>1398</v>
      </c>
      <c r="Q38" s="170" t="s">
        <v>1404</v>
      </c>
      <c r="R38" s="169" t="s">
        <v>1403</v>
      </c>
      <c r="S38" s="171">
        <v>45909</v>
      </c>
      <c r="T38" s="171">
        <v>47735</v>
      </c>
      <c r="U38" s="172">
        <v>50000</v>
      </c>
    </row>
    <row r="39" spans="2:21" ht="20.25" customHeight="1" x14ac:dyDescent="0.25">
      <c r="B39"/>
      <c r="E39"/>
      <c r="F39"/>
      <c r="G39"/>
      <c r="H39"/>
      <c r="I39"/>
      <c r="J39"/>
      <c r="K39" s="21"/>
      <c r="L39" s="18"/>
      <c r="M39" s="169" t="s">
        <v>74</v>
      </c>
      <c r="N39" s="169" t="s">
        <v>1117</v>
      </c>
      <c r="O39" s="169" t="s">
        <v>7</v>
      </c>
      <c r="P39" s="169" t="s">
        <v>1112</v>
      </c>
      <c r="Q39" s="170" t="s">
        <v>1125</v>
      </c>
      <c r="R39" s="169" t="s">
        <v>1124</v>
      </c>
      <c r="S39" s="171" t="s">
        <v>1122</v>
      </c>
      <c r="T39" s="171" t="s">
        <v>1123</v>
      </c>
      <c r="U39" s="172">
        <v>29500</v>
      </c>
    </row>
    <row r="40" spans="2:21" ht="20.25" customHeight="1" x14ac:dyDescent="0.25">
      <c r="B40"/>
      <c r="E40"/>
      <c r="F40"/>
      <c r="G40"/>
      <c r="H40"/>
      <c r="I40"/>
      <c r="J40"/>
      <c r="K40" s="21"/>
      <c r="L40" s="18"/>
      <c r="M40" s="169" t="s">
        <v>78</v>
      </c>
      <c r="N40" s="169" t="s">
        <v>1249</v>
      </c>
      <c r="O40" s="169" t="s">
        <v>7</v>
      </c>
      <c r="P40" s="169" t="s">
        <v>1246</v>
      </c>
      <c r="Q40" s="170" t="s">
        <v>1253</v>
      </c>
      <c r="R40" s="169" t="s">
        <v>1252</v>
      </c>
      <c r="S40" s="171">
        <v>45828</v>
      </c>
      <c r="T40" s="171">
        <v>46011</v>
      </c>
      <c r="U40" s="172">
        <v>25441</v>
      </c>
    </row>
    <row r="41" spans="2:21" ht="20.25" customHeight="1" x14ac:dyDescent="0.25">
      <c r="B41"/>
      <c r="E41"/>
      <c r="F41"/>
      <c r="G41"/>
      <c r="H41"/>
      <c r="I41"/>
      <c r="J41"/>
      <c r="K41" s="21"/>
      <c r="L41" s="18"/>
      <c r="M41" s="169" t="s">
        <v>89</v>
      </c>
      <c r="N41" s="169" t="s">
        <v>1535</v>
      </c>
      <c r="O41" s="169" t="s">
        <v>4</v>
      </c>
      <c r="P41" s="169" t="s">
        <v>1534</v>
      </c>
      <c r="Q41" s="170" t="s">
        <v>1543</v>
      </c>
      <c r="R41" s="169" t="s">
        <v>1542</v>
      </c>
      <c r="S41" s="171">
        <v>45734</v>
      </c>
      <c r="T41" s="171">
        <v>46099</v>
      </c>
      <c r="U41" s="172">
        <v>23474</v>
      </c>
    </row>
    <row r="42" spans="2:21" ht="20.25" customHeight="1" x14ac:dyDescent="0.25">
      <c r="B42"/>
      <c r="E42"/>
      <c r="F42"/>
      <c r="G42"/>
      <c r="H42"/>
      <c r="I42"/>
      <c r="J42"/>
      <c r="K42" s="21"/>
      <c r="L42" s="18"/>
      <c r="M42" s="169" t="s">
        <v>46</v>
      </c>
      <c r="N42" s="169" t="s">
        <v>1414</v>
      </c>
      <c r="O42" s="169" t="s">
        <v>7</v>
      </c>
      <c r="P42" s="169" t="s">
        <v>1410</v>
      </c>
      <c r="Q42" s="170" t="s">
        <v>1418</v>
      </c>
      <c r="R42" s="169" t="s">
        <v>1417</v>
      </c>
      <c r="S42" s="171">
        <v>45936</v>
      </c>
      <c r="T42" s="171">
        <v>46301</v>
      </c>
      <c r="U42" s="172">
        <v>19500</v>
      </c>
    </row>
    <row r="43" spans="2:21" ht="20.25" customHeight="1" x14ac:dyDescent="0.25">
      <c r="B43"/>
      <c r="E43"/>
      <c r="F43"/>
      <c r="G43"/>
      <c r="H43"/>
      <c r="I43"/>
      <c r="J43"/>
      <c r="K43" s="21"/>
      <c r="L43" s="18"/>
      <c r="M43" s="169" t="s">
        <v>200</v>
      </c>
      <c r="N43" s="169" t="s">
        <v>1525</v>
      </c>
      <c r="O43" s="169" t="s">
        <v>5</v>
      </c>
      <c r="P43" s="169" t="s">
        <v>1532</v>
      </c>
      <c r="Q43" s="170" t="s">
        <v>1602</v>
      </c>
      <c r="R43" s="169" t="s">
        <v>1605</v>
      </c>
      <c r="S43" s="171">
        <v>46015</v>
      </c>
      <c r="T43" s="171">
        <v>47111</v>
      </c>
      <c r="U43" s="172">
        <v>18736</v>
      </c>
    </row>
    <row r="44" spans="2:21" ht="20.25" customHeight="1" x14ac:dyDescent="0.25">
      <c r="B44"/>
      <c r="E44"/>
      <c r="F44"/>
      <c r="G44"/>
      <c r="H44"/>
      <c r="I44"/>
      <c r="J44"/>
      <c r="K44" s="21"/>
      <c r="L44" s="18"/>
      <c r="M44" s="169" t="s">
        <v>48</v>
      </c>
      <c r="N44" s="169" t="s">
        <v>1392</v>
      </c>
      <c r="O44" s="169" t="s">
        <v>7</v>
      </c>
      <c r="P44" s="169" t="s">
        <v>1391</v>
      </c>
      <c r="Q44" s="170" t="s">
        <v>1396</v>
      </c>
      <c r="R44" s="169" t="s">
        <v>1395</v>
      </c>
      <c r="S44" s="171">
        <v>45910</v>
      </c>
      <c r="T44" s="171">
        <v>46275</v>
      </c>
      <c r="U44" s="172">
        <v>14400</v>
      </c>
    </row>
    <row r="45" spans="2:21" ht="20.25" customHeight="1" x14ac:dyDescent="0.25">
      <c r="B45"/>
      <c r="E45"/>
      <c r="F45"/>
      <c r="G45"/>
      <c r="H45"/>
      <c r="I45"/>
      <c r="J45"/>
      <c r="K45" s="21"/>
      <c r="L45" s="18"/>
      <c r="M45" s="169" t="s">
        <v>200</v>
      </c>
      <c r="N45" s="169" t="s">
        <v>1351</v>
      </c>
      <c r="O45" s="169" t="s">
        <v>7</v>
      </c>
      <c r="P45" s="169" t="s">
        <v>1343</v>
      </c>
      <c r="Q45" s="170" t="s">
        <v>1346</v>
      </c>
      <c r="R45" s="169" t="s">
        <v>1348</v>
      </c>
      <c r="S45" s="171">
        <v>45852</v>
      </c>
      <c r="T45" s="171">
        <v>47678</v>
      </c>
      <c r="U45" s="172">
        <v>12440</v>
      </c>
    </row>
    <row r="46" spans="2:21" ht="20.25" customHeight="1" x14ac:dyDescent="0.25">
      <c r="B46"/>
      <c r="E46"/>
      <c r="F46"/>
      <c r="G46"/>
      <c r="H46"/>
      <c r="I46"/>
      <c r="J46"/>
      <c r="K46" s="21"/>
      <c r="L46" s="18"/>
      <c r="M46" s="169" t="s">
        <v>52</v>
      </c>
      <c r="N46" s="169" t="s">
        <v>1146</v>
      </c>
      <c r="O46" s="169" t="s">
        <v>7</v>
      </c>
      <c r="P46" s="169" t="s">
        <v>1116</v>
      </c>
      <c r="Q46" s="170" t="s">
        <v>1144</v>
      </c>
      <c r="R46" s="169" t="s">
        <v>1143</v>
      </c>
      <c r="S46" s="171" t="s">
        <v>1149</v>
      </c>
      <c r="T46" s="171" t="s">
        <v>1150</v>
      </c>
      <c r="U46" s="172">
        <v>6500</v>
      </c>
    </row>
    <row r="47" spans="2:21" ht="20.25" customHeight="1" x14ac:dyDescent="0.25">
      <c r="B47"/>
      <c r="E47"/>
      <c r="F47"/>
      <c r="G47"/>
      <c r="H47"/>
      <c r="I47"/>
      <c r="J47"/>
      <c r="K47" s="21"/>
      <c r="L47" s="18"/>
      <c r="M47" s="169" t="s">
        <v>73</v>
      </c>
      <c r="N47" s="169" t="s">
        <v>1264</v>
      </c>
      <c r="O47" s="169" t="s">
        <v>7</v>
      </c>
      <c r="P47" s="169" t="s">
        <v>1248</v>
      </c>
      <c r="Q47" s="170" t="s">
        <v>1261</v>
      </c>
      <c r="R47" s="169" t="s">
        <v>1263</v>
      </c>
      <c r="S47" s="171">
        <v>45821</v>
      </c>
      <c r="T47" s="171">
        <v>46004</v>
      </c>
      <c r="U47" s="172">
        <v>4050</v>
      </c>
    </row>
    <row r="48" spans="2:21" ht="20.25" customHeight="1" x14ac:dyDescent="0.25">
      <c r="B48"/>
      <c r="E48"/>
      <c r="F48"/>
      <c r="G48"/>
      <c r="H48"/>
      <c r="I48"/>
      <c r="J48"/>
      <c r="K48" s="21"/>
      <c r="L48" s="18"/>
      <c r="M48" s="169"/>
      <c r="N48" s="169"/>
      <c r="O48" s="169"/>
      <c r="P48" s="169"/>
      <c r="Q48" s="170"/>
      <c r="R48" s="169"/>
      <c r="S48" s="171"/>
      <c r="T48" s="171"/>
      <c r="U48" s="172"/>
    </row>
    <row r="49" spans="2:21" ht="20.25" customHeight="1" x14ac:dyDescent="0.25">
      <c r="B49"/>
      <c r="E49"/>
      <c r="F49"/>
      <c r="G49"/>
      <c r="H49"/>
      <c r="I49"/>
      <c r="J49"/>
      <c r="K49" s="21"/>
      <c r="L49" s="18"/>
      <c r="M49" s="169"/>
      <c r="N49" s="169"/>
      <c r="O49" s="169"/>
      <c r="P49" s="169"/>
      <c r="Q49" s="170"/>
      <c r="R49" s="169"/>
      <c r="S49" s="171"/>
      <c r="T49" s="171"/>
      <c r="U49" s="172"/>
    </row>
    <row r="50" spans="2:21" ht="20.25" customHeight="1" x14ac:dyDescent="0.25">
      <c r="B50"/>
      <c r="E50"/>
      <c r="F50"/>
      <c r="G50"/>
      <c r="H50"/>
      <c r="I50"/>
      <c r="J50"/>
      <c r="K50" s="21"/>
      <c r="L50" s="18"/>
      <c r="M50" s="169"/>
      <c r="N50" s="169"/>
      <c r="O50" s="169"/>
      <c r="P50" s="169"/>
      <c r="Q50" s="170"/>
      <c r="R50" s="169"/>
      <c r="S50" s="171"/>
      <c r="T50" s="171"/>
      <c r="U50" s="172"/>
    </row>
    <row r="51" spans="2:21" ht="20.25" customHeight="1" x14ac:dyDescent="0.25">
      <c r="B51"/>
      <c r="E51"/>
      <c r="F51"/>
      <c r="G51"/>
      <c r="H51"/>
      <c r="I51"/>
      <c r="J51"/>
      <c r="K51" s="21"/>
      <c r="L51" s="18"/>
      <c r="M51" s="169"/>
      <c r="N51" s="169"/>
      <c r="O51" s="169"/>
      <c r="P51" s="169"/>
      <c r="Q51" s="170"/>
      <c r="R51" s="169"/>
      <c r="S51" s="171"/>
      <c r="T51" s="171"/>
      <c r="U51" s="172"/>
    </row>
    <row r="52" spans="2:21" ht="20.25" customHeight="1" x14ac:dyDescent="0.25">
      <c r="B52"/>
      <c r="E52"/>
      <c r="F52"/>
      <c r="G52"/>
      <c r="H52"/>
      <c r="I52"/>
      <c r="J52"/>
      <c r="K52" s="21"/>
      <c r="L52" s="18"/>
      <c r="M52" s="169"/>
      <c r="N52" s="169"/>
      <c r="O52" s="169"/>
      <c r="P52" s="169"/>
      <c r="Q52" s="170"/>
      <c r="R52" s="169"/>
      <c r="S52" s="171"/>
      <c r="T52" s="171"/>
      <c r="U52" s="172"/>
    </row>
    <row r="53" spans="2:21" ht="20.25" customHeight="1" x14ac:dyDescent="0.25">
      <c r="B53"/>
      <c r="E53"/>
      <c r="F53"/>
      <c r="G53"/>
      <c r="H53"/>
      <c r="I53"/>
      <c r="J53"/>
      <c r="K53" s="21"/>
      <c r="L53" s="18"/>
      <c r="M53" s="169"/>
      <c r="N53" s="169"/>
      <c r="O53" s="169"/>
      <c r="P53" s="169"/>
      <c r="Q53" s="170"/>
      <c r="R53" s="169"/>
      <c r="S53" s="171"/>
      <c r="T53" s="171"/>
      <c r="U53" s="172"/>
    </row>
    <row r="54" spans="2:21" ht="20.25" customHeight="1" x14ac:dyDescent="0.25">
      <c r="B54"/>
      <c r="E54"/>
      <c r="F54"/>
      <c r="G54"/>
      <c r="H54"/>
      <c r="I54"/>
      <c r="J54"/>
      <c r="K54" s="21"/>
      <c r="L54" s="18"/>
      <c r="M54" s="169"/>
      <c r="N54" s="169"/>
      <c r="O54" s="169"/>
      <c r="P54" s="169"/>
      <c r="Q54" s="170"/>
      <c r="R54" s="169"/>
      <c r="S54" s="171"/>
      <c r="T54" s="171"/>
      <c r="U54" s="172"/>
    </row>
    <row r="55" spans="2:21" ht="20.25" customHeight="1" x14ac:dyDescent="0.25">
      <c r="B55"/>
      <c r="E55"/>
      <c r="F55"/>
      <c r="G55"/>
      <c r="H55"/>
      <c r="I55"/>
      <c r="J55"/>
      <c r="K55" s="21"/>
      <c r="L55" s="18"/>
      <c r="M55" s="169"/>
      <c r="N55" s="169"/>
      <c r="O55" s="169"/>
      <c r="P55" s="169"/>
      <c r="Q55" s="170"/>
      <c r="R55" s="169"/>
      <c r="S55" s="171"/>
      <c r="T55" s="171"/>
      <c r="U55" s="172"/>
    </row>
    <row r="56" spans="2:21" ht="20.25" customHeight="1" x14ac:dyDescent="0.25">
      <c r="B56"/>
      <c r="E56"/>
      <c r="F56"/>
      <c r="G56"/>
      <c r="H56"/>
      <c r="I56"/>
      <c r="J56"/>
      <c r="K56" s="21"/>
      <c r="L56" s="18"/>
      <c r="M56" s="169"/>
      <c r="N56" s="169"/>
      <c r="O56" s="169"/>
      <c r="P56" s="169"/>
      <c r="Q56" s="170"/>
      <c r="R56" s="169"/>
      <c r="S56" s="171"/>
      <c r="T56" s="171"/>
      <c r="U56" s="172"/>
    </row>
    <row r="57" spans="2:21" ht="20.25" customHeight="1" x14ac:dyDescent="0.25">
      <c r="B57"/>
      <c r="E57"/>
      <c r="F57"/>
      <c r="G57"/>
      <c r="H57"/>
      <c r="I57"/>
      <c r="J57"/>
      <c r="K57" s="21"/>
      <c r="L57" s="18"/>
      <c r="M57" s="169"/>
      <c r="N57" s="169"/>
      <c r="O57" s="169"/>
      <c r="P57" s="169"/>
      <c r="Q57" s="170"/>
      <c r="R57" s="169"/>
      <c r="S57" s="171"/>
      <c r="T57" s="171"/>
      <c r="U57" s="172"/>
    </row>
    <row r="58" spans="2:21" ht="20.25" customHeight="1" x14ac:dyDescent="0.25">
      <c r="B58"/>
      <c r="E58"/>
      <c r="F58"/>
      <c r="G58"/>
      <c r="H58"/>
      <c r="I58"/>
      <c r="J58"/>
      <c r="K58" s="21"/>
      <c r="L58" s="18"/>
      <c r="M58" s="169"/>
      <c r="N58" s="169"/>
      <c r="O58" s="169"/>
      <c r="P58" s="169"/>
      <c r="Q58" s="170"/>
      <c r="R58" s="169"/>
      <c r="S58" s="171"/>
      <c r="T58" s="171"/>
      <c r="U58" s="172"/>
    </row>
    <row r="59" spans="2:21" ht="20.25" customHeight="1" x14ac:dyDescent="0.25">
      <c r="B59"/>
      <c r="E59"/>
      <c r="F59"/>
      <c r="G59"/>
      <c r="H59"/>
      <c r="I59"/>
      <c r="J59"/>
      <c r="K59" s="21"/>
      <c r="L59" s="18"/>
      <c r="M59" s="169"/>
      <c r="N59" s="169"/>
      <c r="O59" s="169"/>
      <c r="P59" s="169"/>
      <c r="Q59" s="170"/>
      <c r="R59" s="169"/>
      <c r="S59" s="171"/>
      <c r="T59" s="171"/>
      <c r="U59" s="172"/>
    </row>
    <row r="60" spans="2:21" ht="20.25" customHeight="1" x14ac:dyDescent="0.25">
      <c r="B60"/>
      <c r="E60"/>
      <c r="F60"/>
      <c r="G60"/>
      <c r="H60"/>
      <c r="I60"/>
      <c r="J60"/>
      <c r="K60" s="21"/>
      <c r="L60" s="18"/>
      <c r="M60" s="169"/>
      <c r="N60" s="169"/>
      <c r="O60" s="169"/>
      <c r="P60" s="169"/>
      <c r="Q60" s="170"/>
      <c r="R60" s="169"/>
      <c r="S60" s="171"/>
      <c r="T60" s="171"/>
      <c r="U60" s="172"/>
    </row>
    <row r="61" spans="2:21" ht="20.25" customHeight="1" x14ac:dyDescent="0.25">
      <c r="B61"/>
      <c r="E61"/>
      <c r="F61"/>
      <c r="G61"/>
      <c r="H61"/>
      <c r="I61"/>
      <c r="J61"/>
      <c r="K61" s="21"/>
      <c r="L61" s="18"/>
      <c r="M61" s="169"/>
      <c r="N61" s="169"/>
      <c r="O61" s="169"/>
      <c r="P61" s="169"/>
      <c r="Q61" s="170"/>
      <c r="R61" s="169"/>
      <c r="S61" s="171"/>
      <c r="T61" s="171"/>
      <c r="U61" s="172"/>
    </row>
    <row r="62" spans="2:21" ht="20.25" customHeight="1" x14ac:dyDescent="0.25">
      <c r="B62"/>
      <c r="E62"/>
      <c r="F62"/>
      <c r="G62"/>
      <c r="H62"/>
      <c r="I62"/>
      <c r="J62"/>
      <c r="K62" s="21"/>
      <c r="L62" s="18"/>
      <c r="M62" s="169"/>
      <c r="N62" s="169"/>
      <c r="O62" s="169"/>
      <c r="P62" s="169"/>
      <c r="Q62" s="170"/>
      <c r="R62" s="169"/>
      <c r="S62" s="171"/>
      <c r="T62" s="171"/>
      <c r="U62" s="172"/>
    </row>
    <row r="63" spans="2:21" ht="20.25" customHeight="1" x14ac:dyDescent="0.25">
      <c r="B63"/>
      <c r="E63"/>
      <c r="F63"/>
      <c r="G63"/>
      <c r="H63"/>
      <c r="I63"/>
      <c r="J63"/>
      <c r="K63" s="21"/>
      <c r="L63" s="18"/>
      <c r="M63" s="169"/>
      <c r="N63" s="169"/>
      <c r="O63" s="169"/>
      <c r="P63" s="169"/>
      <c r="Q63" s="170"/>
      <c r="R63" s="169"/>
      <c r="S63" s="171"/>
      <c r="T63" s="171"/>
      <c r="U63" s="172"/>
    </row>
    <row r="64" spans="2:21" ht="20.25" customHeight="1" x14ac:dyDescent="0.25">
      <c r="B64"/>
      <c r="E64"/>
      <c r="F64"/>
      <c r="G64"/>
      <c r="H64"/>
      <c r="I64"/>
      <c r="J64"/>
      <c r="K64" s="21"/>
      <c r="L64" s="18"/>
      <c r="M64" s="169"/>
      <c r="N64" s="169"/>
      <c r="O64" s="169"/>
      <c r="P64" s="169"/>
      <c r="Q64" s="170"/>
      <c r="R64" s="169"/>
      <c r="S64" s="171"/>
      <c r="T64" s="171"/>
      <c r="U64" s="172"/>
    </row>
    <row r="65" spans="2:21" ht="20.25" customHeight="1" x14ac:dyDescent="0.25">
      <c r="B65"/>
      <c r="E65"/>
      <c r="F65"/>
      <c r="G65"/>
      <c r="H65"/>
      <c r="I65"/>
      <c r="J65"/>
      <c r="K65" s="21"/>
      <c r="L65" s="18"/>
      <c r="M65" s="169"/>
      <c r="N65" s="169"/>
      <c r="O65" s="169"/>
      <c r="P65" s="169"/>
      <c r="Q65" s="170"/>
      <c r="R65" s="169"/>
      <c r="S65" s="171"/>
      <c r="T65" s="171"/>
      <c r="U65" s="172"/>
    </row>
    <row r="66" spans="2:21" ht="20.25" customHeight="1" x14ac:dyDescent="0.25">
      <c r="B66"/>
      <c r="E66"/>
      <c r="F66"/>
      <c r="G66"/>
      <c r="H66"/>
      <c r="I66"/>
      <c r="J66"/>
      <c r="K66" s="21"/>
      <c r="L66" s="18"/>
      <c r="M66" s="169"/>
      <c r="N66" s="169"/>
      <c r="O66" s="169"/>
      <c r="P66" s="169"/>
      <c r="Q66" s="170"/>
      <c r="R66" s="169"/>
      <c r="S66" s="171"/>
      <c r="T66" s="171"/>
      <c r="U66" s="172"/>
    </row>
    <row r="67" spans="2:21" ht="20.25" customHeight="1" x14ac:dyDescent="0.25">
      <c r="B67"/>
      <c r="E67"/>
      <c r="F67"/>
      <c r="G67"/>
      <c r="H67"/>
      <c r="I67"/>
      <c r="J67"/>
      <c r="K67" s="21"/>
      <c r="L67" s="18"/>
      <c r="M67" s="169"/>
      <c r="N67" s="169"/>
      <c r="O67" s="169"/>
      <c r="P67" s="169"/>
      <c r="Q67" s="170"/>
      <c r="R67" s="169"/>
      <c r="S67" s="171"/>
      <c r="T67" s="171"/>
      <c r="U67" s="172"/>
    </row>
    <row r="68" spans="2:21" ht="20.25" customHeight="1" x14ac:dyDescent="0.25">
      <c r="B68"/>
      <c r="E68"/>
      <c r="F68"/>
      <c r="G68"/>
      <c r="H68"/>
      <c r="I68"/>
      <c r="J68"/>
      <c r="K68" s="21"/>
      <c r="L68" s="18"/>
      <c r="M68" s="169"/>
      <c r="N68" s="169"/>
      <c r="O68" s="169"/>
      <c r="P68" s="169"/>
      <c r="Q68" s="170"/>
      <c r="R68" s="169"/>
      <c r="S68" s="171"/>
      <c r="T68" s="171"/>
      <c r="U68" s="172"/>
    </row>
    <row r="69" spans="2:21" ht="20.25" customHeight="1" x14ac:dyDescent="0.25">
      <c r="B69"/>
      <c r="E69"/>
      <c r="F69"/>
      <c r="G69"/>
      <c r="H69"/>
      <c r="I69"/>
      <c r="J69"/>
      <c r="K69" s="21"/>
      <c r="L69" s="18"/>
      <c r="M69" s="169"/>
      <c r="N69" s="169"/>
      <c r="O69" s="169"/>
      <c r="P69" s="169"/>
      <c r="Q69" s="170"/>
      <c r="R69" s="169"/>
      <c r="S69" s="171"/>
      <c r="T69" s="171"/>
      <c r="U69" s="172"/>
    </row>
    <row r="70" spans="2:21" ht="20.25" customHeight="1" x14ac:dyDescent="0.25">
      <c r="B70"/>
      <c r="E70"/>
      <c r="F70"/>
      <c r="G70"/>
      <c r="H70"/>
      <c r="I70"/>
      <c r="J70"/>
      <c r="K70" s="21"/>
      <c r="L70" s="18"/>
      <c r="M70" s="169"/>
      <c r="N70" s="169"/>
      <c r="O70" s="169"/>
      <c r="P70" s="169"/>
      <c r="Q70" s="170"/>
      <c r="R70" s="169"/>
      <c r="S70" s="171"/>
      <c r="T70" s="171"/>
      <c r="U70" s="172"/>
    </row>
    <row r="71" spans="2:21" ht="20.25" customHeight="1" x14ac:dyDescent="0.25">
      <c r="B71"/>
      <c r="E71"/>
      <c r="F71"/>
      <c r="G71"/>
      <c r="H71"/>
      <c r="I71"/>
      <c r="J71"/>
      <c r="K71" s="21"/>
      <c r="L71" s="18"/>
      <c r="M71" s="169"/>
      <c r="N71" s="169"/>
      <c r="O71" s="169"/>
      <c r="P71" s="169"/>
      <c r="Q71" s="170"/>
      <c r="R71" s="169"/>
      <c r="S71" s="171"/>
      <c r="T71" s="171"/>
      <c r="U71" s="172"/>
    </row>
    <row r="72" spans="2:21" ht="20.25" customHeight="1" x14ac:dyDescent="0.25">
      <c r="B72"/>
      <c r="E72"/>
      <c r="F72"/>
      <c r="G72"/>
      <c r="H72"/>
      <c r="I72"/>
      <c r="J72"/>
      <c r="K72" s="21"/>
      <c r="L72" s="18"/>
      <c r="M72" s="169"/>
      <c r="N72" s="169"/>
      <c r="O72" s="169"/>
      <c r="P72" s="169"/>
      <c r="Q72" s="170"/>
      <c r="R72" s="169"/>
      <c r="S72" s="171"/>
      <c r="T72" s="171"/>
      <c r="U72" s="172"/>
    </row>
    <row r="73" spans="2:21" ht="20.25" customHeight="1" x14ac:dyDescent="0.25">
      <c r="B73"/>
      <c r="E73"/>
      <c r="F73"/>
      <c r="G73"/>
      <c r="H73"/>
      <c r="I73"/>
      <c r="J73"/>
      <c r="K73" s="21"/>
      <c r="L73" s="18"/>
      <c r="M73" s="169"/>
      <c r="N73" s="169"/>
      <c r="O73" s="169"/>
      <c r="P73" s="169"/>
      <c r="Q73" s="170"/>
      <c r="R73" s="169"/>
      <c r="S73" s="171"/>
      <c r="T73" s="171"/>
      <c r="U73" s="172"/>
    </row>
    <row r="74" spans="2:21" ht="20.25" customHeight="1" x14ac:dyDescent="0.25">
      <c r="B74"/>
      <c r="E74"/>
      <c r="F74"/>
      <c r="G74"/>
      <c r="H74"/>
      <c r="I74"/>
      <c r="J74"/>
      <c r="K74" s="21"/>
      <c r="L74" s="18"/>
      <c r="M74" s="169"/>
      <c r="N74" s="169"/>
      <c r="O74" s="169"/>
      <c r="P74" s="169"/>
      <c r="Q74" s="170"/>
      <c r="R74" s="169"/>
      <c r="S74" s="171"/>
      <c r="T74" s="171"/>
      <c r="U74" s="172"/>
    </row>
    <row r="75" spans="2:21" ht="20.25" customHeight="1" x14ac:dyDescent="0.25">
      <c r="B75"/>
      <c r="E75"/>
      <c r="F75"/>
      <c r="G75"/>
      <c r="H75"/>
      <c r="I75"/>
      <c r="J75"/>
      <c r="K75" s="21"/>
      <c r="L75" s="18"/>
      <c r="M75" s="169"/>
      <c r="N75" s="169"/>
      <c r="O75" s="169"/>
      <c r="P75" s="169"/>
      <c r="Q75" s="170"/>
      <c r="R75" s="169"/>
      <c r="S75" s="171"/>
      <c r="T75" s="171"/>
      <c r="U75" s="172"/>
    </row>
    <row r="76" spans="2:21" ht="20.25" customHeight="1" x14ac:dyDescent="0.25">
      <c r="B76"/>
      <c r="E76"/>
      <c r="F76"/>
      <c r="G76"/>
      <c r="H76"/>
      <c r="I76"/>
      <c r="J76"/>
      <c r="K76" s="21"/>
      <c r="L76" s="18"/>
      <c r="M76" s="169"/>
      <c r="N76" s="169"/>
      <c r="O76" s="169"/>
      <c r="P76" s="169"/>
      <c r="Q76" s="170"/>
      <c r="R76" s="169"/>
      <c r="S76" s="171"/>
      <c r="T76" s="171"/>
      <c r="U76" s="172"/>
    </row>
    <row r="77" spans="2:21" ht="20.25" customHeight="1" x14ac:dyDescent="0.25">
      <c r="B77"/>
      <c r="E77"/>
      <c r="F77"/>
      <c r="G77"/>
      <c r="H77"/>
      <c r="I77"/>
      <c r="J77"/>
      <c r="K77" s="21"/>
      <c r="L77" s="18"/>
      <c r="M77" s="169"/>
      <c r="N77" s="169"/>
      <c r="O77" s="169"/>
      <c r="P77" s="169"/>
      <c r="Q77" s="170"/>
      <c r="R77" s="169"/>
      <c r="S77" s="171"/>
      <c r="T77" s="171"/>
      <c r="U77" s="172"/>
    </row>
    <row r="78" spans="2:21" ht="20.25" customHeight="1" x14ac:dyDescent="0.25">
      <c r="B78"/>
      <c r="E78"/>
      <c r="F78"/>
      <c r="G78"/>
      <c r="H78"/>
      <c r="I78"/>
      <c r="J78"/>
      <c r="K78" s="21"/>
      <c r="L78" s="18"/>
      <c r="M78" s="169"/>
      <c r="N78" s="169"/>
      <c r="O78" s="169"/>
      <c r="P78" s="169"/>
      <c r="Q78" s="170"/>
      <c r="R78" s="169"/>
      <c r="S78" s="171"/>
      <c r="T78" s="171"/>
      <c r="U78" s="172"/>
    </row>
    <row r="79" spans="2:21" ht="20.25" customHeight="1" x14ac:dyDescent="0.25">
      <c r="B79"/>
      <c r="E79"/>
      <c r="F79"/>
      <c r="G79"/>
      <c r="H79"/>
      <c r="I79"/>
      <c r="J79"/>
      <c r="K79" s="21"/>
      <c r="L79" s="18"/>
      <c r="M79" s="169"/>
      <c r="N79" s="169"/>
      <c r="O79" s="169"/>
      <c r="P79" s="169"/>
      <c r="Q79" s="170"/>
      <c r="R79" s="169"/>
      <c r="S79" s="171"/>
      <c r="T79" s="171"/>
      <c r="U79" s="172"/>
    </row>
    <row r="80" spans="2:21" ht="20.25" customHeight="1" x14ac:dyDescent="0.25">
      <c r="B80"/>
      <c r="E80"/>
      <c r="F80"/>
      <c r="G80"/>
      <c r="H80"/>
      <c r="I80"/>
      <c r="J80"/>
      <c r="K80" s="21"/>
      <c r="L80" s="18"/>
      <c r="M80" s="169"/>
      <c r="N80" s="169"/>
      <c r="O80" s="169"/>
      <c r="P80" s="169"/>
      <c r="Q80" s="170"/>
      <c r="R80" s="169"/>
      <c r="S80" s="171"/>
      <c r="T80" s="171"/>
      <c r="U80" s="172"/>
    </row>
    <row r="81" spans="2:21" ht="20.25" customHeight="1" x14ac:dyDescent="0.25">
      <c r="B81"/>
      <c r="E81"/>
      <c r="F81"/>
      <c r="G81"/>
      <c r="H81"/>
      <c r="I81"/>
      <c r="J81"/>
      <c r="K81" s="21"/>
      <c r="L81" s="18"/>
      <c r="M81" s="169"/>
      <c r="N81" s="169"/>
      <c r="O81" s="169"/>
      <c r="P81" s="169"/>
      <c r="Q81" s="170"/>
      <c r="R81" s="169"/>
      <c r="S81" s="171"/>
      <c r="T81" s="171"/>
      <c r="U81" s="172"/>
    </row>
    <row r="82" spans="2:21" ht="20.25" customHeight="1" x14ac:dyDescent="0.25">
      <c r="B82"/>
      <c r="E82"/>
      <c r="F82"/>
      <c r="G82"/>
      <c r="H82"/>
      <c r="I82"/>
      <c r="J82"/>
      <c r="K82" s="21"/>
      <c r="L82" s="18"/>
      <c r="M82" s="169"/>
      <c r="N82" s="169"/>
      <c r="O82" s="169"/>
      <c r="P82" s="169"/>
      <c r="Q82" s="170"/>
      <c r="R82" s="169"/>
      <c r="S82" s="171"/>
      <c r="T82" s="171"/>
      <c r="U82" s="172"/>
    </row>
    <row r="83" spans="2:21" ht="20.25" customHeight="1" x14ac:dyDescent="0.25">
      <c r="B83"/>
      <c r="E83"/>
      <c r="F83"/>
      <c r="G83"/>
      <c r="H83"/>
      <c r="I83"/>
      <c r="J83"/>
      <c r="K83" s="21"/>
      <c r="L83" s="18"/>
      <c r="M83" s="169"/>
      <c r="N83" s="169"/>
      <c r="O83" s="169"/>
      <c r="P83" s="169"/>
      <c r="Q83" s="170"/>
      <c r="R83" s="169"/>
      <c r="S83" s="171"/>
      <c r="T83" s="171"/>
      <c r="U83" s="172"/>
    </row>
    <row r="84" spans="2:21" ht="20.25" customHeight="1" x14ac:dyDescent="0.25">
      <c r="B84"/>
      <c r="E84"/>
      <c r="F84"/>
      <c r="G84"/>
      <c r="H84"/>
      <c r="I84"/>
      <c r="J84"/>
      <c r="K84" s="21"/>
      <c r="L84" s="18"/>
      <c r="M84" s="169"/>
      <c r="N84" s="169"/>
      <c r="O84" s="169"/>
      <c r="P84" s="169"/>
      <c r="Q84" s="170"/>
      <c r="R84" s="169"/>
      <c r="S84" s="171"/>
      <c r="T84" s="171"/>
      <c r="U84" s="172"/>
    </row>
    <row r="85" spans="2:21" ht="20.25" customHeight="1" x14ac:dyDescent="0.25">
      <c r="B85"/>
      <c r="E85"/>
      <c r="F85"/>
      <c r="G85"/>
      <c r="H85"/>
      <c r="I85"/>
      <c r="J85"/>
      <c r="K85" s="21"/>
      <c r="L85" s="18"/>
      <c r="M85" s="169"/>
      <c r="N85" s="169"/>
      <c r="O85" s="169"/>
      <c r="P85" s="169"/>
      <c r="Q85" s="170"/>
      <c r="R85" s="169"/>
      <c r="S85" s="171"/>
      <c r="T85" s="171"/>
      <c r="U85" s="172"/>
    </row>
    <row r="86" spans="2:21" ht="20.25" customHeight="1" x14ac:dyDescent="0.25">
      <c r="B86"/>
      <c r="E86"/>
      <c r="F86"/>
      <c r="G86"/>
      <c r="H86"/>
      <c r="I86"/>
      <c r="J86"/>
      <c r="K86" s="21"/>
      <c r="L86" s="18"/>
      <c r="M86" s="169"/>
      <c r="N86" s="169"/>
      <c r="O86" s="169"/>
      <c r="P86" s="169"/>
      <c r="Q86" s="170"/>
      <c r="R86" s="169"/>
      <c r="S86" s="171"/>
      <c r="T86" s="171"/>
      <c r="U86" s="172"/>
    </row>
    <row r="87" spans="2:21" ht="20.25" customHeight="1" x14ac:dyDescent="0.25">
      <c r="B87"/>
      <c r="E87"/>
      <c r="F87"/>
      <c r="G87"/>
      <c r="H87"/>
      <c r="I87"/>
      <c r="J87"/>
      <c r="K87" s="21"/>
      <c r="L87" s="18"/>
      <c r="M87" s="169"/>
      <c r="N87" s="169"/>
      <c r="O87" s="169"/>
      <c r="P87" s="169"/>
      <c r="Q87" s="170"/>
      <c r="R87" s="169"/>
      <c r="S87" s="171"/>
      <c r="T87" s="171"/>
      <c r="U87" s="172"/>
    </row>
    <row r="88" spans="2:21" ht="20.25" customHeight="1" x14ac:dyDescent="0.25">
      <c r="B88"/>
      <c r="E88"/>
      <c r="F88"/>
      <c r="G88"/>
      <c r="H88"/>
      <c r="I88"/>
      <c r="J88"/>
      <c r="K88" s="21"/>
      <c r="L88" s="18"/>
      <c r="M88" s="169"/>
      <c r="N88" s="169"/>
      <c r="O88" s="169"/>
      <c r="P88" s="169"/>
      <c r="Q88" s="170"/>
      <c r="R88" s="169"/>
      <c r="S88" s="171"/>
      <c r="T88" s="171"/>
      <c r="U88" s="172"/>
    </row>
    <row r="89" spans="2:21" ht="20.25" customHeight="1" x14ac:dyDescent="0.25">
      <c r="B89"/>
      <c r="E89"/>
      <c r="F89"/>
      <c r="G89"/>
      <c r="H89"/>
      <c r="I89"/>
      <c r="J89"/>
      <c r="K89" s="21"/>
      <c r="L89" s="18"/>
      <c r="M89" s="169"/>
      <c r="N89" s="169"/>
      <c r="O89" s="169"/>
      <c r="P89" s="169"/>
      <c r="Q89" s="170"/>
      <c r="R89" s="169"/>
      <c r="S89" s="171"/>
      <c r="T89" s="171"/>
      <c r="U89" s="172"/>
    </row>
    <row r="90" spans="2:21" ht="20.25" customHeight="1" x14ac:dyDescent="0.25">
      <c r="B90"/>
      <c r="E90"/>
      <c r="F90"/>
      <c r="G90"/>
      <c r="H90"/>
      <c r="I90"/>
      <c r="J90"/>
      <c r="K90" s="21"/>
      <c r="L90" s="18"/>
      <c r="M90" s="169"/>
      <c r="N90" s="169"/>
      <c r="O90" s="169"/>
      <c r="P90" s="169"/>
      <c r="Q90" s="170"/>
      <c r="R90" s="169"/>
      <c r="S90" s="171"/>
      <c r="T90" s="171"/>
      <c r="U90" s="172"/>
    </row>
    <row r="91" spans="2:21" ht="20.25" customHeight="1" x14ac:dyDescent="0.25">
      <c r="B91"/>
      <c r="E91"/>
      <c r="F91"/>
      <c r="G91"/>
      <c r="H91"/>
      <c r="I91"/>
      <c r="J91"/>
      <c r="K91" s="21"/>
      <c r="L91" s="18"/>
      <c r="M91" s="169"/>
      <c r="N91" s="169"/>
      <c r="O91" s="169"/>
      <c r="P91" s="169"/>
      <c r="Q91" s="170"/>
      <c r="R91" s="169"/>
      <c r="S91" s="171"/>
      <c r="T91" s="171"/>
      <c r="U91" s="172"/>
    </row>
    <row r="92" spans="2:21" ht="20.25" customHeight="1" x14ac:dyDescent="0.25">
      <c r="B92"/>
      <c r="E92"/>
      <c r="F92"/>
      <c r="G92"/>
      <c r="H92"/>
      <c r="I92"/>
      <c r="J92"/>
      <c r="K92" s="21"/>
      <c r="L92" s="18"/>
      <c r="M92" s="169"/>
      <c r="N92" s="169"/>
      <c r="O92" s="169"/>
      <c r="P92" s="169"/>
      <c r="Q92" s="170"/>
      <c r="R92" s="169"/>
      <c r="S92" s="171"/>
      <c r="T92" s="171"/>
      <c r="U92" s="172"/>
    </row>
    <row r="93" spans="2:21" ht="20.25" customHeight="1" x14ac:dyDescent="0.25">
      <c r="B93"/>
      <c r="E93"/>
      <c r="F93"/>
      <c r="G93"/>
      <c r="H93"/>
      <c r="I93"/>
      <c r="J93"/>
      <c r="K93" s="21"/>
      <c r="L93" s="18"/>
      <c r="M93" s="169"/>
      <c r="N93" s="169"/>
      <c r="O93" s="169"/>
      <c r="P93" s="169"/>
      <c r="Q93" s="170"/>
      <c r="R93" s="169"/>
      <c r="S93" s="171"/>
      <c r="T93" s="171"/>
      <c r="U93" s="172"/>
    </row>
    <row r="94" spans="2:21" ht="20.25" customHeight="1" x14ac:dyDescent="0.25">
      <c r="B94"/>
      <c r="E94"/>
      <c r="F94"/>
      <c r="G94"/>
      <c r="H94"/>
      <c r="I94"/>
      <c r="J94"/>
      <c r="K94" s="21"/>
      <c r="L94" s="18"/>
      <c r="M94" s="169"/>
      <c r="N94" s="169"/>
      <c r="O94" s="169"/>
      <c r="P94" s="169"/>
      <c r="Q94" s="170"/>
      <c r="R94" s="169"/>
      <c r="S94" s="171"/>
      <c r="T94" s="171"/>
      <c r="U94" s="172"/>
    </row>
    <row r="95" spans="2:21" ht="20.25" customHeight="1" x14ac:dyDescent="0.25">
      <c r="B95"/>
      <c r="E95"/>
      <c r="F95"/>
      <c r="G95"/>
      <c r="H95"/>
      <c r="I95"/>
      <c r="J95"/>
      <c r="K95" s="21"/>
      <c r="L95" s="18"/>
      <c r="M95" s="169"/>
      <c r="N95" s="169"/>
      <c r="O95" s="169"/>
      <c r="P95" s="169"/>
      <c r="Q95" s="170"/>
      <c r="R95" s="169"/>
      <c r="S95" s="171"/>
      <c r="T95" s="171"/>
      <c r="U95" s="172"/>
    </row>
    <row r="96" spans="2:21" ht="20.25" customHeight="1" x14ac:dyDescent="0.25">
      <c r="B96"/>
      <c r="E96"/>
      <c r="F96"/>
      <c r="G96"/>
      <c r="H96"/>
      <c r="I96"/>
      <c r="J96"/>
      <c r="K96" s="21"/>
      <c r="L96" s="18"/>
      <c r="M96" s="169"/>
      <c r="N96" s="169"/>
      <c r="O96" s="169"/>
      <c r="P96" s="169"/>
      <c r="Q96" s="170"/>
      <c r="R96" s="169"/>
      <c r="S96" s="171"/>
      <c r="T96" s="171"/>
      <c r="U96" s="172"/>
    </row>
    <row r="97" spans="2:21" ht="20.25" customHeight="1" x14ac:dyDescent="0.25">
      <c r="B97"/>
      <c r="E97"/>
      <c r="F97"/>
      <c r="G97"/>
      <c r="H97"/>
      <c r="I97"/>
      <c r="J97"/>
      <c r="K97" s="21"/>
      <c r="L97" s="18"/>
      <c r="M97" s="169"/>
      <c r="N97" s="169"/>
      <c r="O97" s="169"/>
      <c r="P97" s="169"/>
      <c r="Q97" s="170"/>
      <c r="R97" s="169"/>
      <c r="S97" s="171"/>
      <c r="T97" s="171"/>
      <c r="U97" s="172"/>
    </row>
    <row r="98" spans="2:21" ht="20.25" customHeight="1" x14ac:dyDescent="0.25">
      <c r="B98"/>
      <c r="E98"/>
      <c r="F98"/>
      <c r="G98"/>
      <c r="H98"/>
      <c r="I98"/>
      <c r="J98"/>
      <c r="K98" s="21"/>
      <c r="L98" s="18"/>
      <c r="S98" s="76"/>
      <c r="T98" s="76"/>
    </row>
    <row r="99" spans="2:21" ht="20.25" customHeight="1" x14ac:dyDescent="0.25">
      <c r="B99"/>
      <c r="E99"/>
      <c r="F99"/>
      <c r="G99"/>
      <c r="H99"/>
      <c r="I99"/>
      <c r="J99"/>
      <c r="K99" s="21"/>
      <c r="L99" s="18"/>
      <c r="S99" s="76"/>
      <c r="T99" s="76"/>
    </row>
    <row r="100" spans="2:21" ht="20.25" customHeight="1" x14ac:dyDescent="0.25">
      <c r="B100"/>
      <c r="E100"/>
      <c r="F100"/>
      <c r="G100"/>
      <c r="H100"/>
      <c r="I100"/>
      <c r="J100"/>
      <c r="K100" s="21"/>
      <c r="L100" s="18"/>
      <c r="S100" s="76"/>
      <c r="T100" s="76"/>
    </row>
    <row r="101" spans="2:21" ht="20.25" customHeight="1" x14ac:dyDescent="0.25">
      <c r="B101"/>
      <c r="E101"/>
      <c r="F101"/>
      <c r="G101"/>
      <c r="H101"/>
      <c r="I101"/>
      <c r="J101"/>
      <c r="K101"/>
      <c r="L101" s="18"/>
    </row>
    <row r="102" spans="2:21" ht="20.25" customHeight="1" x14ac:dyDescent="0.25">
      <c r="B102"/>
      <c r="E102"/>
      <c r="F102"/>
      <c r="G102"/>
      <c r="H102"/>
      <c r="I102"/>
      <c r="J102"/>
      <c r="K102"/>
      <c r="L102" s="18"/>
    </row>
    <row r="103" spans="2:21" ht="20.25" customHeight="1" x14ac:dyDescent="0.25">
      <c r="B103"/>
      <c r="E103"/>
      <c r="F103"/>
      <c r="G103"/>
      <c r="H103"/>
      <c r="I103"/>
      <c r="J103"/>
      <c r="K103"/>
      <c r="L103" s="18"/>
    </row>
    <row r="104" spans="2:21" ht="20.25" customHeight="1" x14ac:dyDescent="0.25">
      <c r="B104"/>
      <c r="E104"/>
      <c r="F104"/>
      <c r="G104"/>
      <c r="H104"/>
      <c r="I104"/>
      <c r="J104"/>
      <c r="K104"/>
      <c r="L104" s="18"/>
    </row>
    <row r="105" spans="2:21" ht="20.25" customHeight="1" x14ac:dyDescent="0.25">
      <c r="B105"/>
      <c r="E105"/>
      <c r="F105"/>
      <c r="G105"/>
      <c r="H105"/>
      <c r="I105"/>
      <c r="J105"/>
      <c r="K105"/>
      <c r="L105" s="18"/>
    </row>
    <row r="106" spans="2:21" ht="20.25" customHeight="1" x14ac:dyDescent="0.25">
      <c r="B106"/>
      <c r="E106"/>
      <c r="F106"/>
      <c r="G106"/>
      <c r="H106"/>
      <c r="I106"/>
      <c r="J106"/>
      <c r="K106"/>
      <c r="L106" s="18"/>
    </row>
    <row r="107" spans="2:21" ht="20.25" customHeight="1" x14ac:dyDescent="0.25">
      <c r="B107"/>
      <c r="E107"/>
      <c r="F107"/>
      <c r="G107"/>
      <c r="H107"/>
      <c r="I107"/>
      <c r="J107"/>
      <c r="K107"/>
      <c r="L107" s="18"/>
    </row>
    <row r="108" spans="2:21" ht="20.25" customHeight="1" x14ac:dyDescent="0.25">
      <c r="B108"/>
      <c r="E108"/>
      <c r="F108"/>
      <c r="G108"/>
      <c r="H108"/>
      <c r="I108"/>
      <c r="J108"/>
      <c r="K108"/>
      <c r="L108" s="18"/>
    </row>
    <row r="109" spans="2:21" ht="20.25" customHeight="1" x14ac:dyDescent="0.25">
      <c r="B109"/>
      <c r="E109"/>
      <c r="F109"/>
      <c r="G109"/>
      <c r="H109"/>
      <c r="I109"/>
      <c r="J109"/>
      <c r="K109"/>
      <c r="L109" s="18"/>
    </row>
    <row r="110" spans="2:21" ht="20.25" customHeight="1" x14ac:dyDescent="0.25">
      <c r="B110"/>
      <c r="E110"/>
      <c r="F110"/>
      <c r="G110"/>
      <c r="H110"/>
      <c r="I110"/>
      <c r="J110"/>
      <c r="K110"/>
      <c r="L110" s="18"/>
    </row>
    <row r="111" spans="2:21" ht="20.25" customHeight="1" x14ac:dyDescent="0.25">
      <c r="B111"/>
      <c r="E111"/>
      <c r="F111"/>
      <c r="G111"/>
      <c r="H111"/>
      <c r="I111"/>
      <c r="J111"/>
      <c r="K111"/>
      <c r="L111" s="18"/>
    </row>
    <row r="112" spans="2:21" ht="20.25" customHeight="1" x14ac:dyDescent="0.25">
      <c r="B112"/>
      <c r="E112"/>
      <c r="F112"/>
      <c r="G112"/>
      <c r="H112"/>
      <c r="I112"/>
      <c r="J112"/>
      <c r="K112"/>
      <c r="L112" s="18"/>
    </row>
    <row r="113" spans="2:12" ht="20.25" customHeight="1" x14ac:dyDescent="0.25">
      <c r="B113"/>
      <c r="E113"/>
      <c r="F113"/>
      <c r="G113"/>
      <c r="H113"/>
      <c r="I113"/>
      <c r="J113"/>
      <c r="K113"/>
      <c r="L113" s="18"/>
    </row>
    <row r="114" spans="2:12" ht="20.25" customHeight="1" x14ac:dyDescent="0.25">
      <c r="B114"/>
      <c r="E114"/>
      <c r="F114"/>
      <c r="G114"/>
      <c r="H114"/>
      <c r="I114"/>
      <c r="J114"/>
      <c r="K114"/>
      <c r="L114" s="18"/>
    </row>
    <row r="115" spans="2:12" ht="20.25" customHeight="1" x14ac:dyDescent="0.25">
      <c r="B115"/>
      <c r="E115"/>
      <c r="F115"/>
      <c r="G115"/>
      <c r="H115"/>
      <c r="I115"/>
      <c r="J115"/>
      <c r="K115"/>
      <c r="L115" s="18"/>
    </row>
    <row r="116" spans="2:12" ht="20.25" customHeight="1" x14ac:dyDescent="0.25">
      <c r="B116"/>
      <c r="E116"/>
      <c r="F116"/>
      <c r="G116"/>
      <c r="H116"/>
      <c r="I116"/>
      <c r="J116"/>
      <c r="K116"/>
      <c r="L116" s="18"/>
    </row>
    <row r="117" spans="2:12" ht="20.25" customHeight="1" x14ac:dyDescent="0.25">
      <c r="B117"/>
      <c r="E117"/>
      <c r="F117"/>
      <c r="G117"/>
      <c r="H117"/>
      <c r="I117"/>
      <c r="J117"/>
      <c r="K117"/>
      <c r="L117" s="18"/>
    </row>
    <row r="118" spans="2:12" ht="20.25" customHeight="1" x14ac:dyDescent="0.25">
      <c r="B118"/>
      <c r="E118"/>
      <c r="F118"/>
      <c r="G118"/>
      <c r="H118"/>
      <c r="I118"/>
      <c r="J118"/>
      <c r="K118"/>
      <c r="L118" s="18"/>
    </row>
    <row r="119" spans="2:12" ht="20.25" customHeight="1" x14ac:dyDescent="0.25">
      <c r="B119"/>
      <c r="E119"/>
      <c r="F119"/>
      <c r="G119"/>
      <c r="H119"/>
      <c r="I119"/>
      <c r="J119"/>
      <c r="K119"/>
      <c r="L119" s="18"/>
    </row>
    <row r="120" spans="2:12" ht="20.25" customHeight="1" x14ac:dyDescent="0.25">
      <c r="B120"/>
      <c r="E120"/>
      <c r="F120"/>
      <c r="G120"/>
      <c r="H120"/>
      <c r="I120"/>
      <c r="J120"/>
      <c r="K120"/>
      <c r="L120" s="18"/>
    </row>
    <row r="121" spans="2:12" ht="20.25" customHeight="1" x14ac:dyDescent="0.25">
      <c r="B121"/>
      <c r="E121"/>
      <c r="F121"/>
      <c r="G121"/>
      <c r="H121"/>
      <c r="I121"/>
      <c r="J121"/>
      <c r="K121"/>
      <c r="L121" s="18"/>
    </row>
    <row r="122" spans="2:12" ht="20.25" customHeight="1" x14ac:dyDescent="0.25">
      <c r="B122"/>
      <c r="E122"/>
      <c r="F122"/>
      <c r="G122"/>
      <c r="H122"/>
      <c r="I122"/>
      <c r="J122"/>
      <c r="K122"/>
      <c r="L122" s="18"/>
    </row>
    <row r="123" spans="2:12" ht="20.25" customHeight="1" x14ac:dyDescent="0.25">
      <c r="B123"/>
      <c r="E123"/>
      <c r="F123"/>
      <c r="G123"/>
      <c r="H123"/>
      <c r="I123"/>
      <c r="J123"/>
      <c r="K123"/>
      <c r="L123" s="18"/>
    </row>
    <row r="124" spans="2:12" ht="20.25" customHeight="1" x14ac:dyDescent="0.25">
      <c r="B124"/>
      <c r="E124"/>
      <c r="F124"/>
      <c r="G124"/>
      <c r="H124"/>
      <c r="I124"/>
      <c r="J124"/>
      <c r="K124"/>
      <c r="L124" s="18"/>
    </row>
    <row r="125" spans="2:12" ht="20.25" customHeight="1" x14ac:dyDescent="0.25">
      <c r="B125"/>
      <c r="E125"/>
      <c r="F125"/>
      <c r="G125"/>
      <c r="H125"/>
      <c r="I125"/>
      <c r="J125"/>
      <c r="K125"/>
      <c r="L125" s="18"/>
    </row>
    <row r="126" spans="2:12" ht="20.25" customHeight="1" x14ac:dyDescent="0.25">
      <c r="B126"/>
      <c r="E126"/>
      <c r="F126"/>
      <c r="G126"/>
      <c r="H126"/>
      <c r="I126"/>
      <c r="J126"/>
    </row>
    <row r="127" spans="2:12" ht="20.25" customHeight="1" x14ac:dyDescent="0.25">
      <c r="B127"/>
      <c r="E127"/>
      <c r="F127"/>
      <c r="G127"/>
      <c r="H127"/>
      <c r="I127"/>
      <c r="J127"/>
    </row>
    <row r="128" spans="2:12" ht="20.25" customHeight="1" x14ac:dyDescent="0.25">
      <c r="B128"/>
      <c r="E128"/>
      <c r="F128"/>
      <c r="G128"/>
      <c r="H128"/>
      <c r="I128"/>
      <c r="J128"/>
    </row>
    <row r="129" spans="2:10" ht="20.25" customHeight="1" x14ac:dyDescent="0.25">
      <c r="B129"/>
      <c r="E129"/>
      <c r="F129"/>
      <c r="G129"/>
      <c r="H129"/>
      <c r="I129"/>
      <c r="J129"/>
    </row>
    <row r="130" spans="2:10" ht="20.25" customHeight="1" x14ac:dyDescent="0.25">
      <c r="B130"/>
      <c r="E130"/>
      <c r="F130"/>
      <c r="G130"/>
      <c r="H130"/>
      <c r="I130"/>
      <c r="J130"/>
    </row>
    <row r="131" spans="2:10" ht="20.25" customHeight="1" x14ac:dyDescent="0.25">
      <c r="B131"/>
      <c r="E131"/>
      <c r="F131"/>
      <c r="G131"/>
      <c r="H131"/>
      <c r="I131"/>
      <c r="J131"/>
    </row>
    <row r="132" spans="2:10" ht="20.25" customHeight="1" x14ac:dyDescent="0.25">
      <c r="B132"/>
      <c r="E132"/>
      <c r="F132"/>
      <c r="G132"/>
      <c r="H132"/>
      <c r="I132"/>
      <c r="J132"/>
    </row>
    <row r="133" spans="2:10" ht="20.25" customHeight="1" x14ac:dyDescent="0.25">
      <c r="B133"/>
      <c r="E133"/>
      <c r="F133"/>
      <c r="G133"/>
      <c r="H133"/>
      <c r="I133"/>
      <c r="J133"/>
    </row>
    <row r="134" spans="2:10" ht="20.25" customHeight="1" x14ac:dyDescent="0.25">
      <c r="B134"/>
      <c r="E134"/>
      <c r="F134"/>
      <c r="G134"/>
      <c r="H134"/>
      <c r="I134"/>
      <c r="J134"/>
    </row>
    <row r="135" spans="2:10" ht="20.25" customHeight="1" x14ac:dyDescent="0.25">
      <c r="B135"/>
      <c r="E135"/>
      <c r="F135"/>
      <c r="G135"/>
      <c r="H135"/>
      <c r="I135"/>
      <c r="J135"/>
    </row>
    <row r="136" spans="2:10" ht="20.25" customHeight="1" x14ac:dyDescent="0.25">
      <c r="B136"/>
      <c r="E136"/>
      <c r="F136"/>
      <c r="G136"/>
      <c r="H136"/>
      <c r="I136"/>
      <c r="J136"/>
    </row>
    <row r="137" spans="2:10" ht="20.25" customHeight="1" x14ac:dyDescent="0.25">
      <c r="B137"/>
      <c r="E137"/>
      <c r="F137"/>
      <c r="G137"/>
      <c r="H137"/>
      <c r="I137"/>
      <c r="J137"/>
    </row>
    <row r="138" spans="2:10" ht="20.25" customHeight="1" x14ac:dyDescent="0.25">
      <c r="B138"/>
      <c r="E138"/>
      <c r="F138"/>
      <c r="G138"/>
      <c r="H138"/>
      <c r="I138"/>
      <c r="J138"/>
    </row>
    <row r="139" spans="2:10" ht="20.25" customHeight="1" x14ac:dyDescent="0.25">
      <c r="B139"/>
      <c r="E139"/>
      <c r="F139"/>
      <c r="G139"/>
      <c r="H139"/>
      <c r="I139"/>
      <c r="J139"/>
    </row>
    <row r="140" spans="2:10" ht="20.25" customHeight="1" x14ac:dyDescent="0.25">
      <c r="B140"/>
      <c r="E140"/>
      <c r="F140"/>
      <c r="G140"/>
      <c r="H140"/>
      <c r="I140"/>
      <c r="J140"/>
    </row>
    <row r="141" spans="2:10" ht="20.25" customHeight="1" x14ac:dyDescent="0.25">
      <c r="B141"/>
      <c r="E141"/>
      <c r="F141"/>
      <c r="G141"/>
      <c r="H141"/>
      <c r="I141"/>
      <c r="J141"/>
    </row>
    <row r="142" spans="2:10" ht="20.25" customHeight="1" x14ac:dyDescent="0.25">
      <c r="B142"/>
      <c r="E142"/>
      <c r="F142"/>
      <c r="G142"/>
      <c r="H142"/>
      <c r="I142"/>
      <c r="J142"/>
    </row>
    <row r="143" spans="2:10" ht="20.25" customHeight="1" x14ac:dyDescent="0.25">
      <c r="B143"/>
      <c r="E143"/>
      <c r="F143"/>
      <c r="G143"/>
      <c r="H143"/>
      <c r="I143"/>
      <c r="J143"/>
    </row>
    <row r="144" spans="2:10" ht="20.25" customHeight="1" x14ac:dyDescent="0.25">
      <c r="B144"/>
      <c r="E144"/>
      <c r="F144"/>
      <c r="G144"/>
      <c r="H144"/>
      <c r="I144"/>
      <c r="J144"/>
    </row>
    <row r="145" spans="2:10" ht="20.25" customHeight="1" x14ac:dyDescent="0.25">
      <c r="B145"/>
      <c r="E145"/>
      <c r="F145"/>
      <c r="G145"/>
      <c r="H145"/>
      <c r="I145"/>
      <c r="J145"/>
    </row>
    <row r="146" spans="2:10" ht="20.25" customHeight="1" x14ac:dyDescent="0.25">
      <c r="B146"/>
      <c r="E146"/>
      <c r="F146"/>
      <c r="G146"/>
      <c r="H146"/>
      <c r="I146"/>
      <c r="J146"/>
    </row>
    <row r="147" spans="2:10" ht="20.25" customHeight="1" x14ac:dyDescent="0.25">
      <c r="B147"/>
      <c r="E147"/>
      <c r="F147"/>
      <c r="G147"/>
      <c r="H147"/>
      <c r="I147"/>
      <c r="J147"/>
    </row>
    <row r="148" spans="2:10" ht="20.25" customHeight="1" x14ac:dyDescent="0.25">
      <c r="B148"/>
      <c r="E148"/>
      <c r="F148"/>
      <c r="G148"/>
      <c r="H148"/>
      <c r="I148"/>
      <c r="J148"/>
    </row>
    <row r="149" spans="2:10" ht="20.25" customHeight="1" x14ac:dyDescent="0.25">
      <c r="B149"/>
      <c r="E149"/>
      <c r="F149"/>
      <c r="G149"/>
      <c r="H149"/>
      <c r="I149"/>
      <c r="J149"/>
    </row>
    <row r="150" spans="2:10" ht="20.25" customHeight="1" x14ac:dyDescent="0.25">
      <c r="B150"/>
      <c r="E150"/>
      <c r="F150"/>
      <c r="G150"/>
      <c r="H150"/>
      <c r="I150"/>
      <c r="J150"/>
    </row>
    <row r="151" spans="2:10" ht="20.25" customHeight="1" x14ac:dyDescent="0.25">
      <c r="B151"/>
      <c r="E151"/>
      <c r="F151"/>
      <c r="G151"/>
      <c r="H151"/>
      <c r="I151"/>
      <c r="J151"/>
    </row>
    <row r="152" spans="2:10" ht="20.25" customHeight="1" x14ac:dyDescent="0.25">
      <c r="B152"/>
      <c r="E152"/>
      <c r="F152"/>
      <c r="G152"/>
      <c r="H152"/>
      <c r="I152"/>
      <c r="J152"/>
    </row>
    <row r="153" spans="2:10" ht="20.25" customHeight="1" x14ac:dyDescent="0.25">
      <c r="B153"/>
      <c r="E153"/>
      <c r="F153"/>
      <c r="G153"/>
      <c r="H153"/>
      <c r="I153"/>
      <c r="J153"/>
    </row>
    <row r="154" spans="2:10" ht="20.25" customHeight="1" x14ac:dyDescent="0.25">
      <c r="B154"/>
      <c r="E154"/>
      <c r="F154"/>
      <c r="G154"/>
      <c r="H154"/>
      <c r="I154"/>
      <c r="J154"/>
    </row>
    <row r="155" spans="2:10" ht="20.25" customHeight="1" x14ac:dyDescent="0.25">
      <c r="B155"/>
      <c r="E155"/>
      <c r="F155"/>
      <c r="G155"/>
      <c r="H155"/>
      <c r="I155"/>
      <c r="J155"/>
    </row>
    <row r="156" spans="2:10" ht="20.25" customHeight="1" x14ac:dyDescent="0.25">
      <c r="B156"/>
      <c r="E156"/>
      <c r="F156"/>
      <c r="G156"/>
      <c r="H156"/>
      <c r="I156"/>
      <c r="J156"/>
    </row>
    <row r="157" spans="2:10" ht="20.25" customHeight="1" x14ac:dyDescent="0.25">
      <c r="B157"/>
      <c r="E157"/>
      <c r="F157"/>
      <c r="G157"/>
      <c r="H157"/>
      <c r="I157"/>
      <c r="J157"/>
    </row>
    <row r="158" spans="2:10" ht="20.25" customHeight="1" x14ac:dyDescent="0.25">
      <c r="B158"/>
      <c r="E158"/>
      <c r="F158"/>
      <c r="G158"/>
      <c r="H158"/>
      <c r="I158"/>
      <c r="J158"/>
    </row>
    <row r="159" spans="2:10" ht="20.25" customHeight="1" x14ac:dyDescent="0.25">
      <c r="B159"/>
      <c r="E159"/>
      <c r="F159"/>
      <c r="G159"/>
      <c r="H159"/>
      <c r="I159"/>
      <c r="J159"/>
    </row>
    <row r="160" spans="2:10" ht="20.25" customHeight="1" x14ac:dyDescent="0.25">
      <c r="B160"/>
      <c r="E160"/>
      <c r="F160"/>
      <c r="G160"/>
      <c r="H160"/>
      <c r="I160"/>
      <c r="J160"/>
    </row>
    <row r="161" spans="2:10" ht="20.25" customHeight="1" x14ac:dyDescent="0.25">
      <c r="B161"/>
      <c r="E161"/>
      <c r="F161"/>
      <c r="G161"/>
      <c r="H161"/>
      <c r="I161"/>
      <c r="J161"/>
    </row>
    <row r="162" spans="2:10" ht="20.25" customHeight="1" x14ac:dyDescent="0.25">
      <c r="B162"/>
      <c r="E162"/>
      <c r="F162"/>
      <c r="G162"/>
      <c r="H162"/>
      <c r="I162"/>
      <c r="J162"/>
    </row>
    <row r="163" spans="2:10" ht="20.25" customHeight="1" x14ac:dyDescent="0.25">
      <c r="B163"/>
      <c r="E163"/>
      <c r="F163"/>
      <c r="G163"/>
      <c r="H163"/>
      <c r="I163"/>
      <c r="J163"/>
    </row>
    <row r="164" spans="2:10" ht="20.25" customHeight="1" x14ac:dyDescent="0.25">
      <c r="B164"/>
      <c r="E164"/>
      <c r="F164"/>
      <c r="G164"/>
      <c r="H164"/>
      <c r="I164"/>
      <c r="J164"/>
    </row>
    <row r="165" spans="2:10" ht="20.25" customHeight="1" x14ac:dyDescent="0.25">
      <c r="B165"/>
      <c r="E165"/>
      <c r="F165"/>
      <c r="G165"/>
      <c r="H165"/>
      <c r="I165"/>
      <c r="J165"/>
    </row>
    <row r="166" spans="2:10" ht="20.25" customHeight="1" x14ac:dyDescent="0.25">
      <c r="B166"/>
      <c r="E166"/>
      <c r="F166"/>
      <c r="G166"/>
      <c r="H166"/>
      <c r="I166"/>
      <c r="J166"/>
    </row>
    <row r="167" spans="2:10" ht="20.25" customHeight="1" x14ac:dyDescent="0.25">
      <c r="B167"/>
      <c r="E167"/>
      <c r="F167"/>
      <c r="G167"/>
      <c r="H167"/>
      <c r="I167"/>
      <c r="J167"/>
    </row>
    <row r="168" spans="2:10" ht="20.25" customHeight="1" x14ac:dyDescent="0.25">
      <c r="B168"/>
      <c r="E168"/>
      <c r="F168"/>
      <c r="G168"/>
      <c r="H168"/>
      <c r="I168"/>
      <c r="J168"/>
    </row>
    <row r="169" spans="2:10" ht="20.25" customHeight="1" x14ac:dyDescent="0.25">
      <c r="B169"/>
      <c r="E169"/>
      <c r="F169"/>
      <c r="G169"/>
      <c r="H169"/>
      <c r="I169"/>
      <c r="J169"/>
    </row>
    <row r="170" spans="2:10" ht="20.25" customHeight="1" x14ac:dyDescent="0.25">
      <c r="B170"/>
      <c r="E170"/>
      <c r="F170"/>
      <c r="G170"/>
      <c r="H170"/>
      <c r="I170"/>
      <c r="J170"/>
    </row>
    <row r="171" spans="2:10" ht="20.25" customHeight="1" x14ac:dyDescent="0.25">
      <c r="B171"/>
      <c r="E171"/>
      <c r="F171"/>
      <c r="G171"/>
      <c r="H171"/>
      <c r="I171"/>
      <c r="J171"/>
    </row>
    <row r="172" spans="2:10" ht="20.25" customHeight="1" x14ac:dyDescent="0.25">
      <c r="B172"/>
      <c r="E172"/>
      <c r="F172"/>
      <c r="G172"/>
      <c r="H172"/>
      <c r="I172"/>
      <c r="J172"/>
    </row>
    <row r="173" spans="2:10" ht="20.25" customHeight="1" x14ac:dyDescent="0.25">
      <c r="B173"/>
      <c r="E173"/>
      <c r="F173"/>
      <c r="G173"/>
      <c r="H173"/>
      <c r="I173"/>
      <c r="J173"/>
    </row>
    <row r="174" spans="2:10" ht="20.25" customHeight="1" x14ac:dyDescent="0.25">
      <c r="B174"/>
      <c r="E174"/>
      <c r="F174"/>
      <c r="G174"/>
      <c r="H174"/>
      <c r="I174"/>
      <c r="J174"/>
    </row>
    <row r="175" spans="2:10" ht="20.25" customHeight="1" x14ac:dyDescent="0.25">
      <c r="B175"/>
      <c r="E175"/>
      <c r="F175"/>
      <c r="G175"/>
      <c r="H175"/>
      <c r="I175"/>
      <c r="J175"/>
    </row>
    <row r="176" spans="2:10" ht="20.25" customHeight="1" x14ac:dyDescent="0.25">
      <c r="B176"/>
      <c r="E176"/>
      <c r="F176"/>
      <c r="G176"/>
      <c r="H176"/>
      <c r="I176"/>
      <c r="J176"/>
    </row>
    <row r="177" spans="2:10" ht="20.25" customHeight="1" x14ac:dyDescent="0.25">
      <c r="B177"/>
      <c r="E177"/>
      <c r="F177"/>
      <c r="G177"/>
      <c r="H177"/>
      <c r="I177"/>
      <c r="J177"/>
    </row>
    <row r="178" spans="2:10" ht="20.25" customHeight="1" x14ac:dyDescent="0.25">
      <c r="B178"/>
      <c r="E178"/>
      <c r="F178"/>
      <c r="G178"/>
      <c r="H178"/>
      <c r="I178"/>
      <c r="J178"/>
    </row>
    <row r="179" spans="2:10" ht="20.25" customHeight="1" x14ac:dyDescent="0.25">
      <c r="B179"/>
      <c r="E179"/>
      <c r="F179"/>
      <c r="G179"/>
      <c r="H179"/>
      <c r="I179"/>
      <c r="J179"/>
    </row>
    <row r="180" spans="2:10" ht="20.25" customHeight="1" x14ac:dyDescent="0.25">
      <c r="B180"/>
      <c r="E180"/>
      <c r="F180"/>
      <c r="G180"/>
      <c r="H180"/>
      <c r="I180"/>
      <c r="J180"/>
    </row>
    <row r="181" spans="2:10" ht="20.25" customHeight="1" x14ac:dyDescent="0.25">
      <c r="B181"/>
      <c r="E181"/>
      <c r="F181"/>
      <c r="G181"/>
      <c r="H181"/>
      <c r="I181"/>
      <c r="J181"/>
    </row>
    <row r="182" spans="2:10" ht="20.25" customHeight="1" x14ac:dyDescent="0.25">
      <c r="B182"/>
      <c r="E182"/>
      <c r="F182"/>
      <c r="G182"/>
      <c r="H182"/>
      <c r="I182"/>
      <c r="J182"/>
    </row>
    <row r="183" spans="2:10" ht="20.25" customHeight="1" x14ac:dyDescent="0.25">
      <c r="B183"/>
      <c r="E183"/>
      <c r="F183"/>
      <c r="G183"/>
      <c r="H183"/>
      <c r="I183"/>
      <c r="J183"/>
    </row>
    <row r="184" spans="2:10" ht="20.25" customHeight="1" x14ac:dyDescent="0.25">
      <c r="B184"/>
      <c r="E184"/>
      <c r="F184"/>
      <c r="G184"/>
      <c r="H184"/>
      <c r="I184"/>
      <c r="J184"/>
    </row>
    <row r="185" spans="2:10" ht="20.25" customHeight="1" x14ac:dyDescent="0.25">
      <c r="B185"/>
      <c r="E185"/>
      <c r="F185"/>
      <c r="G185"/>
      <c r="H185"/>
      <c r="I185"/>
      <c r="J185"/>
    </row>
    <row r="186" spans="2:10" ht="20.25" customHeight="1" x14ac:dyDescent="0.25">
      <c r="B186"/>
      <c r="E186"/>
      <c r="F186"/>
      <c r="G186"/>
      <c r="H186"/>
      <c r="I186"/>
      <c r="J186"/>
    </row>
    <row r="187" spans="2:10" ht="20.25" customHeight="1" x14ac:dyDescent="0.25">
      <c r="B187"/>
      <c r="E187"/>
      <c r="F187"/>
      <c r="G187"/>
      <c r="H187"/>
      <c r="I187"/>
      <c r="J187"/>
    </row>
    <row r="188" spans="2:10" ht="20.25" customHeight="1" x14ac:dyDescent="0.25">
      <c r="B188"/>
      <c r="E188"/>
      <c r="F188"/>
      <c r="G188"/>
      <c r="H188"/>
      <c r="I188"/>
      <c r="J188"/>
    </row>
    <row r="189" spans="2:10" ht="20.25" customHeight="1" x14ac:dyDescent="0.25">
      <c r="B189"/>
      <c r="E189"/>
      <c r="F189"/>
      <c r="G189"/>
      <c r="H189"/>
      <c r="I189"/>
      <c r="J189"/>
    </row>
    <row r="190" spans="2:10" ht="20.25" customHeight="1" x14ac:dyDescent="0.25">
      <c r="B190"/>
      <c r="E190"/>
      <c r="F190"/>
      <c r="G190"/>
      <c r="H190"/>
      <c r="I190"/>
      <c r="J190"/>
    </row>
    <row r="191" spans="2:10" ht="20.25" customHeight="1" x14ac:dyDescent="0.25">
      <c r="B191"/>
      <c r="E191"/>
      <c r="F191"/>
      <c r="G191"/>
      <c r="H191"/>
      <c r="I191"/>
      <c r="J191"/>
    </row>
    <row r="192" spans="2:10" ht="20.25" customHeight="1" x14ac:dyDescent="0.25">
      <c r="B192"/>
      <c r="E192"/>
      <c r="F192"/>
      <c r="G192"/>
      <c r="H192"/>
      <c r="I192"/>
      <c r="J192"/>
    </row>
    <row r="193" spans="2:10" ht="20.25" customHeight="1" x14ac:dyDescent="0.25">
      <c r="B193"/>
      <c r="E193"/>
      <c r="F193"/>
      <c r="G193"/>
      <c r="H193"/>
      <c r="I193"/>
      <c r="J193"/>
    </row>
    <row r="194" spans="2:10" ht="20.25" customHeight="1" x14ac:dyDescent="0.25">
      <c r="B194"/>
      <c r="E194"/>
      <c r="F194"/>
      <c r="G194"/>
      <c r="H194"/>
      <c r="I194"/>
      <c r="J194"/>
    </row>
    <row r="195" spans="2:10" ht="20.25" customHeight="1" x14ac:dyDescent="0.25">
      <c r="B195"/>
      <c r="E195"/>
      <c r="F195"/>
      <c r="G195"/>
      <c r="H195"/>
      <c r="I195"/>
      <c r="J195"/>
    </row>
    <row r="196" spans="2:10" ht="20.25" customHeight="1" x14ac:dyDescent="0.25">
      <c r="B196"/>
      <c r="E196"/>
      <c r="F196"/>
      <c r="G196"/>
      <c r="H196"/>
      <c r="I196"/>
      <c r="J196"/>
    </row>
    <row r="197" spans="2:10" ht="20.25" customHeight="1" x14ac:dyDescent="0.25">
      <c r="B197"/>
      <c r="E197"/>
      <c r="F197"/>
      <c r="G197"/>
      <c r="H197"/>
      <c r="I197"/>
      <c r="J197"/>
    </row>
    <row r="198" spans="2:10" ht="20.25" customHeight="1" x14ac:dyDescent="0.25">
      <c r="B198"/>
      <c r="E198"/>
      <c r="F198"/>
      <c r="G198"/>
      <c r="H198"/>
      <c r="I198"/>
      <c r="J198"/>
    </row>
    <row r="199" spans="2:10" ht="20.25" customHeight="1" x14ac:dyDescent="0.25">
      <c r="B199"/>
      <c r="E199"/>
      <c r="F199"/>
      <c r="G199"/>
      <c r="H199"/>
      <c r="I199"/>
      <c r="J199"/>
    </row>
    <row r="200" spans="2:10" ht="20.25" customHeight="1" x14ac:dyDescent="0.25">
      <c r="B200"/>
      <c r="E200"/>
      <c r="F200"/>
      <c r="G200"/>
      <c r="H200"/>
      <c r="I200"/>
      <c r="J200"/>
    </row>
    <row r="201" spans="2:10" ht="20.25" customHeight="1" x14ac:dyDescent="0.25">
      <c r="B201"/>
      <c r="E201"/>
      <c r="F201"/>
      <c r="G201"/>
      <c r="H201"/>
      <c r="I201"/>
      <c r="J201"/>
    </row>
    <row r="202" spans="2:10" ht="20.25" customHeight="1" x14ac:dyDescent="0.25">
      <c r="B202"/>
      <c r="E202"/>
      <c r="F202"/>
      <c r="G202"/>
      <c r="H202"/>
      <c r="I202"/>
      <c r="J202"/>
    </row>
    <row r="203" spans="2:10" ht="20.25" customHeight="1" x14ac:dyDescent="0.25">
      <c r="B203"/>
      <c r="E203"/>
      <c r="F203"/>
      <c r="G203"/>
      <c r="H203"/>
      <c r="I203"/>
      <c r="J203"/>
    </row>
    <row r="204" spans="2:10" ht="20.25" customHeight="1" x14ac:dyDescent="0.25">
      <c r="B204"/>
      <c r="E204"/>
      <c r="F204"/>
      <c r="G204"/>
      <c r="H204"/>
      <c r="I204"/>
      <c r="J204"/>
    </row>
    <row r="205" spans="2:10" ht="20.25" customHeight="1" x14ac:dyDescent="0.25">
      <c r="B205"/>
      <c r="E205"/>
      <c r="F205"/>
      <c r="G205"/>
      <c r="H205"/>
      <c r="I205"/>
      <c r="J205"/>
    </row>
    <row r="206" spans="2:10" ht="20.25" customHeight="1" x14ac:dyDescent="0.25">
      <c r="B206"/>
      <c r="E206"/>
      <c r="F206"/>
      <c r="G206"/>
      <c r="H206"/>
      <c r="I206"/>
      <c r="J206"/>
    </row>
    <row r="207" spans="2:10" ht="20.25" customHeight="1" x14ac:dyDescent="0.25">
      <c r="B207"/>
      <c r="E207"/>
      <c r="F207"/>
      <c r="G207"/>
      <c r="H207"/>
      <c r="I207"/>
      <c r="J207"/>
    </row>
    <row r="208" spans="2:10" ht="20.25" customHeight="1" x14ac:dyDescent="0.25">
      <c r="B208"/>
      <c r="E208"/>
      <c r="F208"/>
      <c r="G208"/>
      <c r="H208"/>
      <c r="I208"/>
      <c r="J208"/>
    </row>
    <row r="209" spans="2:10" ht="20.25" customHeight="1" x14ac:dyDescent="0.25">
      <c r="B209"/>
      <c r="E209"/>
      <c r="F209"/>
      <c r="G209"/>
      <c r="H209"/>
      <c r="I209"/>
      <c r="J209"/>
    </row>
    <row r="210" spans="2:10" ht="20.25" customHeight="1" x14ac:dyDescent="0.25">
      <c r="B210"/>
      <c r="E210"/>
      <c r="F210"/>
      <c r="G210"/>
      <c r="H210"/>
      <c r="I210"/>
      <c r="J210"/>
    </row>
    <row r="211" spans="2:10" ht="20.25" customHeight="1" x14ac:dyDescent="0.25">
      <c r="B211"/>
      <c r="E211"/>
      <c r="F211"/>
      <c r="G211"/>
      <c r="H211"/>
      <c r="I211"/>
      <c r="J211"/>
    </row>
    <row r="212" spans="2:10" ht="20.25" customHeight="1" x14ac:dyDescent="0.25">
      <c r="B212"/>
      <c r="E212"/>
      <c r="F212"/>
      <c r="G212"/>
      <c r="H212"/>
      <c r="I212"/>
      <c r="J212"/>
    </row>
    <row r="213" spans="2:10" ht="20.25" customHeight="1" x14ac:dyDescent="0.25">
      <c r="B213"/>
      <c r="E213"/>
      <c r="F213"/>
      <c r="G213"/>
      <c r="H213"/>
      <c r="I213"/>
      <c r="J213"/>
    </row>
    <row r="214" spans="2:10" ht="20.25" customHeight="1" x14ac:dyDescent="0.25">
      <c r="B214"/>
      <c r="E214"/>
      <c r="F214"/>
      <c r="G214"/>
      <c r="H214"/>
      <c r="I214"/>
      <c r="J214"/>
    </row>
    <row r="215" spans="2:10" ht="20.25" customHeight="1" x14ac:dyDescent="0.25">
      <c r="B215"/>
      <c r="E215"/>
      <c r="F215"/>
      <c r="G215"/>
      <c r="H215"/>
      <c r="I215"/>
      <c r="J215"/>
    </row>
    <row r="216" spans="2:10" ht="20.25" customHeight="1" x14ac:dyDescent="0.25">
      <c r="B216"/>
      <c r="E216"/>
      <c r="F216"/>
      <c r="G216"/>
      <c r="H216"/>
      <c r="I216"/>
      <c r="J216"/>
    </row>
    <row r="217" spans="2:10" ht="20.25" customHeight="1" x14ac:dyDescent="0.25">
      <c r="B217"/>
      <c r="E217"/>
      <c r="F217"/>
      <c r="G217"/>
      <c r="H217"/>
      <c r="I217"/>
      <c r="J217"/>
    </row>
    <row r="218" spans="2:10" ht="20.25" customHeight="1" x14ac:dyDescent="0.25">
      <c r="B218"/>
      <c r="E218"/>
      <c r="F218"/>
      <c r="G218"/>
      <c r="H218"/>
      <c r="I218"/>
      <c r="J218"/>
    </row>
    <row r="219" spans="2:10" ht="20.25" customHeight="1" x14ac:dyDescent="0.25">
      <c r="B219"/>
      <c r="E219"/>
      <c r="F219"/>
      <c r="G219"/>
      <c r="H219"/>
      <c r="I219"/>
      <c r="J219"/>
    </row>
    <row r="220" spans="2:10" ht="20.25" customHeight="1" x14ac:dyDescent="0.25">
      <c r="B220"/>
      <c r="E220"/>
      <c r="F220"/>
      <c r="G220"/>
      <c r="H220"/>
      <c r="I220"/>
      <c r="J220"/>
    </row>
    <row r="221" spans="2:10" ht="20.25" customHeight="1" x14ac:dyDescent="0.25">
      <c r="B221"/>
      <c r="E221"/>
      <c r="F221"/>
      <c r="G221"/>
      <c r="H221"/>
      <c r="I221"/>
      <c r="J221"/>
    </row>
    <row r="222" spans="2:10" ht="20.25" customHeight="1" x14ac:dyDescent="0.25">
      <c r="B222"/>
      <c r="E222"/>
      <c r="F222"/>
      <c r="G222"/>
      <c r="H222"/>
      <c r="I222"/>
      <c r="J222"/>
    </row>
    <row r="223" spans="2:10" ht="20.25" customHeight="1" x14ac:dyDescent="0.25">
      <c r="B223"/>
      <c r="E223"/>
      <c r="F223"/>
      <c r="G223"/>
      <c r="H223"/>
      <c r="I223"/>
      <c r="J223"/>
    </row>
    <row r="224" spans="2:10" ht="20.25" customHeight="1" x14ac:dyDescent="0.25">
      <c r="B224"/>
      <c r="E224"/>
      <c r="F224"/>
      <c r="G224"/>
      <c r="H224"/>
      <c r="I224"/>
      <c r="J224"/>
    </row>
    <row r="225" spans="2:10" ht="20.25" customHeight="1" x14ac:dyDescent="0.25">
      <c r="B225"/>
      <c r="E225"/>
      <c r="F225"/>
      <c r="G225"/>
      <c r="H225"/>
      <c r="I225"/>
      <c r="J225"/>
    </row>
    <row r="226" spans="2:10" ht="20.25" customHeight="1" x14ac:dyDescent="0.25">
      <c r="B226"/>
      <c r="E226"/>
      <c r="F226"/>
      <c r="G226"/>
      <c r="H226"/>
      <c r="I226"/>
      <c r="J226"/>
    </row>
    <row r="227" spans="2:10" ht="20.25" customHeight="1" x14ac:dyDescent="0.25">
      <c r="B227"/>
      <c r="E227"/>
      <c r="F227"/>
      <c r="G227"/>
      <c r="H227"/>
      <c r="I227"/>
      <c r="J227"/>
    </row>
    <row r="228" spans="2:10" ht="20.25" customHeight="1" x14ac:dyDescent="0.25">
      <c r="B228"/>
      <c r="E228"/>
      <c r="F228"/>
      <c r="G228"/>
      <c r="H228"/>
      <c r="I228"/>
      <c r="J228"/>
    </row>
    <row r="229" spans="2:10" ht="20.25" customHeight="1" x14ac:dyDescent="0.25">
      <c r="B229"/>
      <c r="E229"/>
      <c r="F229"/>
      <c r="G229"/>
      <c r="H229"/>
      <c r="I229"/>
      <c r="J229"/>
    </row>
    <row r="230" spans="2:10" ht="20.25" customHeight="1" x14ac:dyDescent="0.25">
      <c r="B230"/>
      <c r="E230"/>
      <c r="F230"/>
      <c r="G230"/>
      <c r="H230"/>
      <c r="I230"/>
      <c r="J230"/>
    </row>
    <row r="231" spans="2:10" ht="20.25" customHeight="1" x14ac:dyDescent="0.25">
      <c r="B231"/>
      <c r="E231"/>
      <c r="F231"/>
      <c r="G231"/>
      <c r="H231"/>
      <c r="I231"/>
      <c r="J231"/>
    </row>
    <row r="232" spans="2:10" ht="20.25" customHeight="1" x14ac:dyDescent="0.25">
      <c r="B232"/>
      <c r="E232"/>
      <c r="F232"/>
      <c r="G232"/>
      <c r="H232"/>
      <c r="I232"/>
      <c r="J232"/>
    </row>
    <row r="233" spans="2:10" ht="20.25" customHeight="1" x14ac:dyDescent="0.25">
      <c r="B233"/>
      <c r="E233"/>
      <c r="F233"/>
      <c r="G233"/>
      <c r="H233"/>
      <c r="I233"/>
      <c r="J233"/>
    </row>
    <row r="234" spans="2:10" ht="20.25" customHeight="1" x14ac:dyDescent="0.25">
      <c r="B234"/>
      <c r="E234"/>
      <c r="F234"/>
      <c r="G234"/>
      <c r="H234"/>
      <c r="I234"/>
      <c r="J234"/>
    </row>
    <row r="235" spans="2:10" ht="20.25" customHeight="1" x14ac:dyDescent="0.25">
      <c r="B235"/>
      <c r="E235"/>
      <c r="F235"/>
      <c r="G235"/>
      <c r="H235"/>
      <c r="I235"/>
      <c r="J235"/>
    </row>
    <row r="236" spans="2:10" ht="20.25" customHeight="1" x14ac:dyDescent="0.25">
      <c r="B236"/>
      <c r="E236"/>
      <c r="F236"/>
      <c r="G236"/>
      <c r="H236"/>
      <c r="I236"/>
      <c r="J236"/>
    </row>
    <row r="237" spans="2:10" ht="20.25" customHeight="1" x14ac:dyDescent="0.25">
      <c r="B237"/>
      <c r="E237"/>
      <c r="F237"/>
      <c r="G237"/>
      <c r="H237"/>
      <c r="I237"/>
      <c r="J237"/>
    </row>
    <row r="238" spans="2:10" ht="20.25" customHeight="1" x14ac:dyDescent="0.25">
      <c r="B238"/>
      <c r="E238"/>
      <c r="F238"/>
      <c r="G238"/>
      <c r="H238"/>
      <c r="I238"/>
      <c r="J238"/>
    </row>
    <row r="239" spans="2:10" ht="20.25" customHeight="1" x14ac:dyDescent="0.25">
      <c r="B239"/>
      <c r="E239"/>
      <c r="F239"/>
      <c r="G239"/>
      <c r="H239"/>
      <c r="I239"/>
      <c r="J239"/>
    </row>
    <row r="240" spans="2:10" ht="20.25" customHeight="1" x14ac:dyDescent="0.25">
      <c r="B240"/>
      <c r="E240"/>
      <c r="F240"/>
      <c r="G240"/>
      <c r="H240"/>
      <c r="I240"/>
      <c r="J240"/>
    </row>
    <row r="241" spans="2:10" ht="20.25" customHeight="1" x14ac:dyDescent="0.25">
      <c r="B241"/>
      <c r="E241"/>
      <c r="F241"/>
      <c r="G241"/>
      <c r="H241"/>
      <c r="I241"/>
      <c r="J241"/>
    </row>
    <row r="242" spans="2:10" ht="20.25" customHeight="1" x14ac:dyDescent="0.25">
      <c r="B242"/>
      <c r="E242"/>
      <c r="F242"/>
      <c r="G242"/>
      <c r="H242"/>
      <c r="I242"/>
      <c r="J242"/>
    </row>
    <row r="243" spans="2:10" ht="20.25" customHeight="1" x14ac:dyDescent="0.25">
      <c r="B243"/>
      <c r="E243"/>
      <c r="F243"/>
      <c r="G243"/>
      <c r="H243"/>
      <c r="I243"/>
      <c r="J243"/>
    </row>
    <row r="244" spans="2:10" ht="20.25" customHeight="1" x14ac:dyDescent="0.25">
      <c r="B244"/>
      <c r="E244"/>
      <c r="F244"/>
      <c r="G244"/>
      <c r="H244"/>
      <c r="I244"/>
      <c r="J244"/>
    </row>
    <row r="245" spans="2:10" ht="20.25" customHeight="1" x14ac:dyDescent="0.25">
      <c r="B245"/>
      <c r="E245"/>
      <c r="F245"/>
      <c r="G245"/>
      <c r="H245"/>
      <c r="I245"/>
      <c r="J245"/>
    </row>
    <row r="246" spans="2:10" ht="20.25" customHeight="1" x14ac:dyDescent="0.25">
      <c r="B246"/>
      <c r="E246"/>
      <c r="F246"/>
      <c r="G246"/>
      <c r="H246"/>
      <c r="I246"/>
      <c r="J246"/>
    </row>
    <row r="247" spans="2:10" ht="20.25" customHeight="1" x14ac:dyDescent="0.25">
      <c r="B247"/>
      <c r="E247"/>
      <c r="F247"/>
      <c r="G247"/>
      <c r="H247"/>
      <c r="I247"/>
      <c r="J247"/>
    </row>
    <row r="248" spans="2:10" ht="20.25" customHeight="1" x14ac:dyDescent="0.25">
      <c r="B248"/>
      <c r="E248"/>
      <c r="F248"/>
      <c r="G248"/>
      <c r="H248"/>
      <c r="I248"/>
      <c r="J248"/>
    </row>
    <row r="249" spans="2:10" ht="20.25" customHeight="1" x14ac:dyDescent="0.25">
      <c r="B249"/>
      <c r="E249"/>
      <c r="F249"/>
      <c r="G249"/>
      <c r="H249"/>
      <c r="I249"/>
      <c r="J249"/>
    </row>
    <row r="250" spans="2:10" ht="20.25" customHeight="1" x14ac:dyDescent="0.25">
      <c r="B250"/>
      <c r="E250"/>
      <c r="F250"/>
      <c r="G250"/>
      <c r="H250"/>
      <c r="I250"/>
      <c r="J250"/>
    </row>
    <row r="251" spans="2:10" ht="20.25" customHeight="1" x14ac:dyDescent="0.25">
      <c r="B251"/>
      <c r="E251"/>
      <c r="F251"/>
      <c r="G251"/>
      <c r="H251"/>
      <c r="I251"/>
      <c r="J251"/>
    </row>
    <row r="252" spans="2:10" ht="20.25" customHeight="1" x14ac:dyDescent="0.25">
      <c r="B252"/>
      <c r="E252"/>
      <c r="F252"/>
      <c r="G252"/>
      <c r="H252"/>
      <c r="I252"/>
      <c r="J252"/>
    </row>
    <row r="253" spans="2:10" ht="20.25" customHeight="1" x14ac:dyDescent="0.25">
      <c r="B253"/>
      <c r="E253"/>
      <c r="F253"/>
      <c r="G253"/>
      <c r="H253"/>
      <c r="I253"/>
      <c r="J253"/>
    </row>
    <row r="254" spans="2:10" ht="20.25" customHeight="1" x14ac:dyDescent="0.25">
      <c r="B254"/>
      <c r="E254"/>
      <c r="F254"/>
      <c r="G254"/>
      <c r="H254"/>
      <c r="I254"/>
      <c r="J254"/>
    </row>
    <row r="255" spans="2:10" ht="20.25" customHeight="1" x14ac:dyDescent="0.25">
      <c r="B255"/>
      <c r="E255"/>
      <c r="F255"/>
      <c r="G255"/>
      <c r="H255"/>
      <c r="I255"/>
      <c r="J255"/>
    </row>
    <row r="256" spans="2:10" ht="20.25" customHeight="1" x14ac:dyDescent="0.25">
      <c r="B256"/>
      <c r="E256"/>
      <c r="F256"/>
      <c r="G256"/>
      <c r="H256"/>
      <c r="I256"/>
      <c r="J256"/>
    </row>
    <row r="257" spans="2:10" ht="20.25" customHeight="1" x14ac:dyDescent="0.25">
      <c r="B257"/>
      <c r="E257"/>
      <c r="F257"/>
      <c r="G257"/>
      <c r="H257"/>
      <c r="I257"/>
      <c r="J257"/>
    </row>
    <row r="258" spans="2:10" ht="20.25" customHeight="1" x14ac:dyDescent="0.25">
      <c r="B258"/>
      <c r="E258"/>
      <c r="F258"/>
      <c r="G258"/>
      <c r="H258"/>
      <c r="I258"/>
      <c r="J258"/>
    </row>
    <row r="259" spans="2:10" ht="20.25" customHeight="1" x14ac:dyDescent="0.25">
      <c r="B259"/>
      <c r="E259"/>
      <c r="F259"/>
      <c r="G259"/>
      <c r="H259"/>
      <c r="I259"/>
      <c r="J259"/>
    </row>
    <row r="260" spans="2:10" ht="20.25" customHeight="1" x14ac:dyDescent="0.25">
      <c r="B260"/>
      <c r="E260"/>
      <c r="F260"/>
      <c r="G260"/>
      <c r="H260"/>
      <c r="I260"/>
      <c r="J260"/>
    </row>
    <row r="261" spans="2:10" ht="20.25" customHeight="1" x14ac:dyDescent="0.25">
      <c r="B261"/>
      <c r="E261"/>
      <c r="F261"/>
      <c r="G261"/>
      <c r="H261"/>
      <c r="I261"/>
      <c r="J261"/>
    </row>
    <row r="262" spans="2:10" ht="20.25" customHeight="1" x14ac:dyDescent="0.25">
      <c r="B262"/>
      <c r="E262"/>
      <c r="F262"/>
      <c r="G262"/>
      <c r="H262"/>
      <c r="I262"/>
      <c r="J262"/>
    </row>
    <row r="263" spans="2:10" ht="20.25" customHeight="1" x14ac:dyDescent="0.25">
      <c r="B263"/>
      <c r="E263"/>
      <c r="F263"/>
      <c r="G263"/>
      <c r="H263"/>
      <c r="I263"/>
      <c r="J263"/>
    </row>
    <row r="264" spans="2:10" ht="20.25" customHeight="1" x14ac:dyDescent="0.25">
      <c r="B264"/>
      <c r="E264"/>
      <c r="F264"/>
      <c r="G264"/>
      <c r="H264"/>
      <c r="I264"/>
      <c r="J264"/>
    </row>
    <row r="265" spans="2:10" ht="20.25" customHeight="1" x14ac:dyDescent="0.25">
      <c r="B265"/>
      <c r="E265"/>
      <c r="F265"/>
      <c r="G265"/>
      <c r="H265"/>
      <c r="I265"/>
      <c r="J265"/>
    </row>
    <row r="266" spans="2:10" ht="20.25" customHeight="1" x14ac:dyDescent="0.25">
      <c r="B266"/>
      <c r="E266"/>
      <c r="F266"/>
      <c r="G266"/>
      <c r="H266"/>
      <c r="I266"/>
      <c r="J266"/>
    </row>
    <row r="267" spans="2:10" ht="20.25" customHeight="1" x14ac:dyDescent="0.25">
      <c r="B267"/>
      <c r="E267"/>
      <c r="F267"/>
      <c r="G267"/>
      <c r="H267"/>
      <c r="I267"/>
      <c r="J267"/>
    </row>
    <row r="268" spans="2:10" ht="20.25" customHeight="1" x14ac:dyDescent="0.25">
      <c r="B268"/>
      <c r="E268"/>
      <c r="F268"/>
      <c r="G268"/>
      <c r="H268"/>
      <c r="I268"/>
      <c r="J268"/>
    </row>
    <row r="269" spans="2:10" ht="20.25" customHeight="1" x14ac:dyDescent="0.25">
      <c r="B269"/>
      <c r="E269"/>
      <c r="F269"/>
      <c r="G269"/>
      <c r="H269"/>
      <c r="I269"/>
      <c r="J269"/>
    </row>
    <row r="270" spans="2:10" ht="20.25" customHeight="1" x14ac:dyDescent="0.25">
      <c r="B270"/>
      <c r="E270"/>
      <c r="F270"/>
      <c r="G270"/>
      <c r="H270"/>
      <c r="I270"/>
      <c r="J270"/>
    </row>
    <row r="271" spans="2:10" ht="20.25" customHeight="1" x14ac:dyDescent="0.25">
      <c r="B271"/>
      <c r="E271"/>
      <c r="F271"/>
      <c r="G271"/>
      <c r="H271"/>
      <c r="I271"/>
      <c r="J271"/>
    </row>
    <row r="272" spans="2:10" ht="20.25" customHeight="1" x14ac:dyDescent="0.25">
      <c r="B272"/>
      <c r="E272"/>
      <c r="F272"/>
      <c r="G272"/>
      <c r="H272"/>
      <c r="I272"/>
      <c r="J272"/>
    </row>
    <row r="273" spans="2:10" ht="20.25" customHeight="1" x14ac:dyDescent="0.25">
      <c r="B273"/>
      <c r="E273"/>
      <c r="F273"/>
      <c r="G273"/>
      <c r="H273"/>
      <c r="I273"/>
      <c r="J273"/>
    </row>
    <row r="274" spans="2:10" ht="20.25" customHeight="1" x14ac:dyDescent="0.25">
      <c r="B274"/>
      <c r="E274"/>
      <c r="F274"/>
      <c r="G274"/>
      <c r="H274"/>
      <c r="I274"/>
      <c r="J274"/>
    </row>
    <row r="275" spans="2:10" ht="20.25" customHeight="1" x14ac:dyDescent="0.25">
      <c r="B275"/>
      <c r="E275"/>
      <c r="F275"/>
      <c r="G275"/>
      <c r="H275"/>
      <c r="I275"/>
      <c r="J275"/>
    </row>
    <row r="276" spans="2:10" ht="20.25" customHeight="1" x14ac:dyDescent="0.25">
      <c r="B276"/>
      <c r="E276"/>
      <c r="F276"/>
      <c r="G276"/>
      <c r="H276"/>
      <c r="I276"/>
      <c r="J276"/>
    </row>
    <row r="277" spans="2:10" ht="20.25" customHeight="1" x14ac:dyDescent="0.25">
      <c r="B277"/>
      <c r="E277"/>
      <c r="F277"/>
      <c r="G277"/>
      <c r="H277"/>
      <c r="I277"/>
      <c r="J277"/>
    </row>
    <row r="278" spans="2:10" ht="20.25" customHeight="1" x14ac:dyDescent="0.25">
      <c r="B278"/>
      <c r="E278"/>
      <c r="F278"/>
      <c r="G278"/>
      <c r="H278"/>
      <c r="I278"/>
      <c r="J278"/>
    </row>
    <row r="279" spans="2:10" ht="20.25" customHeight="1" x14ac:dyDescent="0.25">
      <c r="B279"/>
      <c r="E279"/>
      <c r="F279"/>
      <c r="G279"/>
      <c r="H279"/>
      <c r="I279"/>
      <c r="J279"/>
    </row>
    <row r="280" spans="2:10" ht="20.25" customHeight="1" x14ac:dyDescent="0.25">
      <c r="B280"/>
      <c r="E280"/>
      <c r="F280"/>
      <c r="G280"/>
      <c r="H280"/>
      <c r="I280"/>
      <c r="J280"/>
    </row>
    <row r="281" spans="2:10" ht="20.25" customHeight="1" x14ac:dyDescent="0.25">
      <c r="B281"/>
      <c r="E281"/>
      <c r="F281"/>
      <c r="G281"/>
      <c r="H281"/>
      <c r="I281"/>
      <c r="J281"/>
    </row>
    <row r="282" spans="2:10" ht="20.25" customHeight="1" x14ac:dyDescent="0.25">
      <c r="B282"/>
      <c r="E282"/>
      <c r="F282"/>
      <c r="G282"/>
      <c r="H282"/>
      <c r="I282"/>
      <c r="J282"/>
    </row>
    <row r="283" spans="2:10" ht="20.25" customHeight="1" x14ac:dyDescent="0.25">
      <c r="B283"/>
      <c r="E283"/>
      <c r="F283"/>
      <c r="G283"/>
      <c r="H283"/>
      <c r="I283"/>
      <c r="J283"/>
    </row>
    <row r="284" spans="2:10" ht="20.25" customHeight="1" x14ac:dyDescent="0.25">
      <c r="B284"/>
      <c r="E284"/>
      <c r="F284"/>
      <c r="G284"/>
      <c r="H284"/>
      <c r="I284"/>
      <c r="J284"/>
    </row>
    <row r="285" spans="2:10" ht="20.25" customHeight="1" x14ac:dyDescent="0.25">
      <c r="B285"/>
      <c r="E285"/>
      <c r="F285"/>
      <c r="G285"/>
      <c r="H285"/>
      <c r="I285"/>
      <c r="J285"/>
    </row>
    <row r="286" spans="2:10" ht="20.25" customHeight="1" x14ac:dyDescent="0.25">
      <c r="B286"/>
      <c r="E286"/>
      <c r="F286"/>
      <c r="G286"/>
      <c r="H286"/>
      <c r="I286"/>
      <c r="J286"/>
    </row>
    <row r="287" spans="2:10" ht="20.25" customHeight="1" x14ac:dyDescent="0.25">
      <c r="B287"/>
      <c r="E287"/>
      <c r="F287"/>
      <c r="G287"/>
      <c r="H287"/>
      <c r="I287"/>
      <c r="J287"/>
    </row>
    <row r="288" spans="2:10" ht="20.25" customHeight="1" x14ac:dyDescent="0.25">
      <c r="B288"/>
      <c r="E288"/>
      <c r="F288"/>
      <c r="G288"/>
      <c r="H288"/>
      <c r="I288"/>
      <c r="J288"/>
    </row>
    <row r="289" spans="2:10" ht="20.25" customHeight="1" x14ac:dyDescent="0.25">
      <c r="B289"/>
      <c r="E289"/>
      <c r="F289"/>
      <c r="G289"/>
      <c r="H289"/>
      <c r="I289"/>
      <c r="J289"/>
    </row>
    <row r="290" spans="2:10" ht="20.25" customHeight="1" x14ac:dyDescent="0.25">
      <c r="B290"/>
      <c r="E290"/>
      <c r="F290"/>
      <c r="G290"/>
      <c r="H290"/>
      <c r="I290"/>
      <c r="J290"/>
    </row>
    <row r="291" spans="2:10" ht="20.25" customHeight="1" x14ac:dyDescent="0.25">
      <c r="B291"/>
      <c r="E291"/>
      <c r="F291"/>
      <c r="G291"/>
      <c r="H291"/>
      <c r="I291"/>
      <c r="J291"/>
    </row>
    <row r="292" spans="2:10" ht="20.25" customHeight="1" x14ac:dyDescent="0.25">
      <c r="B292"/>
      <c r="E292"/>
      <c r="F292"/>
      <c r="G292"/>
      <c r="H292"/>
      <c r="I292"/>
      <c r="J292"/>
    </row>
    <row r="293" spans="2:10" ht="20.25" customHeight="1" x14ac:dyDescent="0.25">
      <c r="B293"/>
      <c r="E293"/>
      <c r="F293"/>
      <c r="G293"/>
      <c r="H293"/>
      <c r="I293"/>
      <c r="J293"/>
    </row>
    <row r="294" spans="2:10" ht="20.25" customHeight="1" x14ac:dyDescent="0.25">
      <c r="B294"/>
      <c r="E294"/>
      <c r="F294"/>
      <c r="G294"/>
      <c r="H294"/>
      <c r="I294"/>
      <c r="J294"/>
    </row>
    <row r="295" spans="2:10" ht="20.25" customHeight="1" x14ac:dyDescent="0.25">
      <c r="B295"/>
      <c r="E295"/>
      <c r="F295"/>
      <c r="G295"/>
      <c r="H295"/>
      <c r="I295"/>
      <c r="J295"/>
    </row>
    <row r="296" spans="2:10" ht="20.25" customHeight="1" x14ac:dyDescent="0.25">
      <c r="B296"/>
      <c r="E296"/>
      <c r="F296"/>
      <c r="G296"/>
      <c r="H296"/>
      <c r="I296"/>
      <c r="J296"/>
    </row>
    <row r="297" spans="2:10" ht="20.25" customHeight="1" x14ac:dyDescent="0.25">
      <c r="B297"/>
      <c r="E297"/>
      <c r="F297"/>
      <c r="G297"/>
      <c r="H297"/>
      <c r="I297"/>
      <c r="J297"/>
    </row>
    <row r="298" spans="2:10" ht="20.25" customHeight="1" x14ac:dyDescent="0.25">
      <c r="B298"/>
      <c r="E298"/>
      <c r="F298"/>
      <c r="G298"/>
      <c r="H298"/>
      <c r="I298"/>
      <c r="J298"/>
    </row>
    <row r="299" spans="2:10" ht="20.25" customHeight="1" x14ac:dyDescent="0.25">
      <c r="B299"/>
      <c r="E299"/>
      <c r="F299"/>
      <c r="G299"/>
      <c r="H299"/>
      <c r="I299"/>
      <c r="J299"/>
    </row>
    <row r="300" spans="2:10" ht="20.25" customHeight="1" x14ac:dyDescent="0.25">
      <c r="B300"/>
      <c r="E300"/>
      <c r="F300"/>
      <c r="G300"/>
      <c r="H300"/>
      <c r="I300"/>
      <c r="J300"/>
    </row>
    <row r="301" spans="2:10" ht="20.25" customHeight="1" x14ac:dyDescent="0.25">
      <c r="B301"/>
      <c r="E301"/>
      <c r="F301"/>
      <c r="G301"/>
      <c r="H301"/>
      <c r="I301"/>
      <c r="J301"/>
    </row>
    <row r="302" spans="2:10" ht="20.25" customHeight="1" x14ac:dyDescent="0.25">
      <c r="B302"/>
      <c r="E302"/>
      <c r="F302"/>
      <c r="G302"/>
      <c r="H302"/>
      <c r="I302"/>
      <c r="J302"/>
    </row>
    <row r="303" spans="2:10" ht="20.25" customHeight="1" x14ac:dyDescent="0.25">
      <c r="B303"/>
      <c r="E303"/>
      <c r="F303"/>
      <c r="G303"/>
      <c r="H303"/>
      <c r="I303"/>
      <c r="J303"/>
    </row>
    <row r="304" spans="2:10" ht="20.25" customHeight="1" x14ac:dyDescent="0.25">
      <c r="B304"/>
      <c r="E304"/>
      <c r="F304"/>
      <c r="G304"/>
      <c r="H304"/>
      <c r="I304"/>
      <c r="J304"/>
    </row>
    <row r="305" spans="2:10" ht="20.25" customHeight="1" x14ac:dyDescent="0.25">
      <c r="B305"/>
      <c r="E305"/>
      <c r="F305"/>
      <c r="G305"/>
      <c r="H305"/>
      <c r="I305"/>
      <c r="J305"/>
    </row>
    <row r="306" spans="2:10" ht="20.25" customHeight="1" x14ac:dyDescent="0.25">
      <c r="B306"/>
      <c r="E306"/>
      <c r="F306"/>
      <c r="G306"/>
      <c r="H306"/>
      <c r="I306"/>
      <c r="J306"/>
    </row>
    <row r="307" spans="2:10" ht="20.25" customHeight="1" x14ac:dyDescent="0.25">
      <c r="B307"/>
      <c r="E307"/>
      <c r="F307"/>
      <c r="G307"/>
      <c r="H307"/>
      <c r="I307"/>
      <c r="J307"/>
    </row>
    <row r="308" spans="2:10" ht="20.25" customHeight="1" x14ac:dyDescent="0.25">
      <c r="B308"/>
      <c r="E308"/>
      <c r="F308"/>
      <c r="G308"/>
      <c r="H308"/>
      <c r="I308"/>
      <c r="J308"/>
    </row>
    <row r="309" spans="2:10" ht="20.25" customHeight="1" x14ac:dyDescent="0.25">
      <c r="B309"/>
      <c r="E309"/>
      <c r="F309"/>
      <c r="G309"/>
      <c r="H309"/>
      <c r="I309"/>
      <c r="J309"/>
    </row>
    <row r="310" spans="2:10" ht="20.25" customHeight="1" x14ac:dyDescent="0.25">
      <c r="B310"/>
      <c r="E310"/>
      <c r="F310"/>
      <c r="G310"/>
      <c r="H310"/>
      <c r="I310"/>
      <c r="J310"/>
    </row>
    <row r="311" spans="2:10" ht="20.25" customHeight="1" x14ac:dyDescent="0.25">
      <c r="B311"/>
      <c r="E311"/>
      <c r="F311"/>
      <c r="G311"/>
      <c r="H311"/>
      <c r="I311"/>
      <c r="J311"/>
    </row>
    <row r="312" spans="2:10" ht="20.25" customHeight="1" x14ac:dyDescent="0.25">
      <c r="B312"/>
      <c r="E312"/>
      <c r="F312"/>
      <c r="G312"/>
      <c r="H312"/>
      <c r="I312"/>
      <c r="J312"/>
    </row>
    <row r="313" spans="2:10" ht="20.25" customHeight="1" x14ac:dyDescent="0.25">
      <c r="B313"/>
      <c r="E313"/>
      <c r="F313"/>
      <c r="G313"/>
      <c r="H313"/>
      <c r="I313"/>
      <c r="J313"/>
    </row>
    <row r="314" spans="2:10" ht="20.25" customHeight="1" x14ac:dyDescent="0.25">
      <c r="B314"/>
      <c r="E314"/>
      <c r="F314"/>
      <c r="G314"/>
      <c r="H314"/>
      <c r="I314"/>
      <c r="J314"/>
    </row>
    <row r="315" spans="2:10" ht="20.25" customHeight="1" x14ac:dyDescent="0.25">
      <c r="B315"/>
      <c r="E315"/>
      <c r="F315"/>
      <c r="G315"/>
      <c r="H315"/>
      <c r="I315"/>
      <c r="J315"/>
    </row>
    <row r="316" spans="2:10" ht="20.25" customHeight="1" x14ac:dyDescent="0.25">
      <c r="B316"/>
      <c r="E316"/>
      <c r="F316"/>
      <c r="G316"/>
      <c r="H316"/>
      <c r="I316"/>
      <c r="J316"/>
    </row>
    <row r="317" spans="2:10" ht="20.25" customHeight="1" x14ac:dyDescent="0.25">
      <c r="B317"/>
      <c r="E317"/>
      <c r="F317"/>
      <c r="G317"/>
      <c r="H317"/>
      <c r="I317"/>
      <c r="J317"/>
    </row>
    <row r="318" spans="2:10" ht="20.25" customHeight="1" x14ac:dyDescent="0.25">
      <c r="B318"/>
      <c r="E318"/>
      <c r="F318"/>
      <c r="G318"/>
      <c r="H318"/>
      <c r="I318"/>
      <c r="J318"/>
    </row>
    <row r="319" spans="2:10" ht="20.25" customHeight="1" x14ac:dyDescent="0.25">
      <c r="B319"/>
      <c r="E319"/>
      <c r="F319"/>
      <c r="G319"/>
      <c r="H319"/>
      <c r="I319"/>
      <c r="J319"/>
    </row>
    <row r="320" spans="2:10" ht="20.25" customHeight="1" x14ac:dyDescent="0.25">
      <c r="B320"/>
      <c r="E320"/>
      <c r="F320"/>
      <c r="G320"/>
      <c r="H320"/>
      <c r="I320"/>
      <c r="J320"/>
    </row>
    <row r="321" spans="2:10" ht="20.25" customHeight="1" x14ac:dyDescent="0.25">
      <c r="B321"/>
      <c r="E321"/>
      <c r="F321"/>
      <c r="G321"/>
      <c r="H321"/>
      <c r="I321"/>
      <c r="J321"/>
    </row>
    <row r="322" spans="2:10" ht="20.25" customHeight="1" x14ac:dyDescent="0.25">
      <c r="B322"/>
      <c r="E322"/>
      <c r="F322"/>
      <c r="G322"/>
      <c r="H322"/>
      <c r="I322"/>
      <c r="J322"/>
    </row>
    <row r="323" spans="2:10" ht="20.25" customHeight="1" x14ac:dyDescent="0.25">
      <c r="B323"/>
      <c r="E323"/>
      <c r="F323"/>
      <c r="G323"/>
      <c r="H323"/>
      <c r="I323"/>
      <c r="J323"/>
    </row>
    <row r="324" spans="2:10" ht="20.25" customHeight="1" x14ac:dyDescent="0.25">
      <c r="B324"/>
      <c r="E324"/>
      <c r="F324"/>
      <c r="G324"/>
      <c r="H324"/>
      <c r="I324"/>
      <c r="J324"/>
    </row>
    <row r="325" spans="2:10" ht="20.25" customHeight="1" x14ac:dyDescent="0.25">
      <c r="B325"/>
      <c r="E325"/>
      <c r="F325"/>
      <c r="G325"/>
      <c r="H325"/>
      <c r="I325"/>
      <c r="J325"/>
    </row>
    <row r="326" spans="2:10" ht="20.25" customHeight="1" x14ac:dyDescent="0.25">
      <c r="B326"/>
      <c r="E326"/>
      <c r="F326"/>
      <c r="G326"/>
      <c r="H326"/>
      <c r="I326"/>
      <c r="J326"/>
    </row>
    <row r="327" spans="2:10" ht="20.25" customHeight="1" x14ac:dyDescent="0.25">
      <c r="B327"/>
      <c r="E327"/>
      <c r="F327"/>
      <c r="G327"/>
      <c r="H327"/>
      <c r="I327"/>
      <c r="J327"/>
    </row>
    <row r="328" spans="2:10" ht="20.25" customHeight="1" x14ac:dyDescent="0.25">
      <c r="B328"/>
      <c r="E328"/>
      <c r="F328"/>
      <c r="G328"/>
      <c r="H328"/>
      <c r="I328"/>
      <c r="J328"/>
    </row>
    <row r="329" spans="2:10" ht="20.25" customHeight="1" x14ac:dyDescent="0.25">
      <c r="B329"/>
      <c r="E329"/>
      <c r="F329"/>
      <c r="G329"/>
      <c r="H329"/>
      <c r="I329"/>
      <c r="J329"/>
    </row>
    <row r="330" spans="2:10" ht="20.25" customHeight="1" x14ac:dyDescent="0.25">
      <c r="B330"/>
      <c r="E330"/>
      <c r="F330"/>
      <c r="G330"/>
      <c r="H330"/>
      <c r="I330"/>
      <c r="J330"/>
    </row>
    <row r="331" spans="2:10" ht="20.25" customHeight="1" x14ac:dyDescent="0.25">
      <c r="B331"/>
      <c r="E331"/>
      <c r="F331"/>
      <c r="G331"/>
      <c r="H331"/>
      <c r="I331"/>
      <c r="J331"/>
    </row>
    <row r="332" spans="2:10" ht="20.25" customHeight="1" x14ac:dyDescent="0.25">
      <c r="B332"/>
      <c r="E332"/>
      <c r="F332"/>
      <c r="G332"/>
      <c r="H332"/>
      <c r="I332"/>
      <c r="J332"/>
    </row>
    <row r="333" spans="2:10" ht="20.25" customHeight="1" x14ac:dyDescent="0.25">
      <c r="B333"/>
      <c r="E333"/>
      <c r="F333"/>
      <c r="G333"/>
      <c r="H333"/>
      <c r="I333"/>
      <c r="J333"/>
    </row>
    <row r="334" spans="2:10" ht="20.25" customHeight="1" x14ac:dyDescent="0.25">
      <c r="B334"/>
      <c r="E334"/>
      <c r="F334"/>
      <c r="G334"/>
      <c r="H334"/>
      <c r="I334"/>
      <c r="J334"/>
    </row>
    <row r="335" spans="2:10" ht="20.25" customHeight="1" x14ac:dyDescent="0.25">
      <c r="B335"/>
      <c r="E335"/>
      <c r="F335"/>
      <c r="G335"/>
      <c r="H335"/>
      <c r="I335"/>
      <c r="J335"/>
    </row>
    <row r="336" spans="2:10" ht="20.25" customHeight="1" x14ac:dyDescent="0.25">
      <c r="B336"/>
      <c r="E336"/>
      <c r="F336"/>
      <c r="G336"/>
      <c r="H336"/>
      <c r="I336"/>
      <c r="J336"/>
    </row>
    <row r="337" spans="2:10" ht="20.25" customHeight="1" x14ac:dyDescent="0.25">
      <c r="B337"/>
      <c r="E337"/>
      <c r="F337"/>
      <c r="G337"/>
      <c r="H337"/>
      <c r="I337"/>
      <c r="J337"/>
    </row>
    <row r="338" spans="2:10" ht="20.25" customHeight="1" x14ac:dyDescent="0.25">
      <c r="B338"/>
      <c r="E338"/>
      <c r="F338"/>
      <c r="G338"/>
      <c r="H338"/>
      <c r="I338"/>
      <c r="J338"/>
    </row>
    <row r="339" spans="2:10" ht="20.25" customHeight="1" x14ac:dyDescent="0.25">
      <c r="B339"/>
      <c r="E339"/>
      <c r="F339"/>
      <c r="G339"/>
      <c r="H339"/>
      <c r="I339"/>
      <c r="J339"/>
    </row>
    <row r="340" spans="2:10" ht="20.25" customHeight="1" x14ac:dyDescent="0.25">
      <c r="B340"/>
      <c r="E340"/>
      <c r="F340"/>
      <c r="G340"/>
      <c r="H340"/>
      <c r="I340"/>
      <c r="J340"/>
    </row>
    <row r="341" spans="2:10" ht="20.25" customHeight="1" x14ac:dyDescent="0.25">
      <c r="B341"/>
      <c r="E341"/>
      <c r="F341"/>
      <c r="G341"/>
      <c r="H341"/>
      <c r="I341"/>
      <c r="J341"/>
    </row>
    <row r="342" spans="2:10" ht="20.25" customHeight="1" x14ac:dyDescent="0.25">
      <c r="B342"/>
      <c r="E342"/>
      <c r="F342"/>
      <c r="G342"/>
      <c r="H342"/>
      <c r="I342"/>
      <c r="J342"/>
    </row>
    <row r="343" spans="2:10" ht="20.25" customHeight="1" x14ac:dyDescent="0.25">
      <c r="B343"/>
      <c r="E343"/>
      <c r="F343"/>
      <c r="G343"/>
      <c r="H343"/>
      <c r="I343"/>
      <c r="J343"/>
    </row>
    <row r="344" spans="2:10" ht="20.25" customHeight="1" x14ac:dyDescent="0.25">
      <c r="B344"/>
      <c r="E344"/>
      <c r="F344"/>
      <c r="G344"/>
      <c r="H344"/>
      <c r="I344"/>
      <c r="J344"/>
    </row>
    <row r="345" spans="2:10" ht="20.25" customHeight="1" x14ac:dyDescent="0.25">
      <c r="B345"/>
      <c r="E345"/>
      <c r="F345"/>
      <c r="G345"/>
      <c r="H345"/>
      <c r="I345"/>
      <c r="J345"/>
    </row>
    <row r="346" spans="2:10" ht="20.25" customHeight="1" x14ac:dyDescent="0.25">
      <c r="B346"/>
      <c r="E346"/>
      <c r="F346"/>
      <c r="G346"/>
      <c r="H346"/>
      <c r="I346"/>
      <c r="J346"/>
    </row>
    <row r="347" spans="2:10" ht="20.25" customHeight="1" x14ac:dyDescent="0.25">
      <c r="B347"/>
      <c r="E347"/>
      <c r="F347"/>
      <c r="G347"/>
      <c r="H347"/>
      <c r="I347"/>
      <c r="J347"/>
    </row>
    <row r="348" spans="2:10" ht="20.25" customHeight="1" x14ac:dyDescent="0.25">
      <c r="B348"/>
      <c r="E348"/>
      <c r="F348"/>
      <c r="G348"/>
      <c r="H348"/>
      <c r="I348"/>
      <c r="J348"/>
    </row>
    <row r="349" spans="2:10" ht="20.25" customHeight="1" x14ac:dyDescent="0.25">
      <c r="B349"/>
      <c r="E349"/>
      <c r="F349"/>
      <c r="G349"/>
      <c r="H349"/>
      <c r="I349"/>
      <c r="J349"/>
    </row>
    <row r="350" spans="2:10" ht="20.25" customHeight="1" x14ac:dyDescent="0.25">
      <c r="B350"/>
      <c r="E350"/>
      <c r="F350"/>
      <c r="G350"/>
      <c r="H350"/>
      <c r="I350"/>
      <c r="J350"/>
    </row>
    <row r="351" spans="2:10" ht="20.25" customHeight="1" x14ac:dyDescent="0.25">
      <c r="B351"/>
      <c r="E351"/>
      <c r="F351"/>
      <c r="G351"/>
      <c r="H351"/>
      <c r="I351"/>
      <c r="J351"/>
    </row>
    <row r="352" spans="2:10" ht="20.25" customHeight="1" x14ac:dyDescent="0.25">
      <c r="B352"/>
      <c r="E352"/>
      <c r="F352"/>
      <c r="G352"/>
      <c r="H352"/>
      <c r="I352"/>
      <c r="J352"/>
    </row>
    <row r="353" spans="2:10" ht="20.25" customHeight="1" x14ac:dyDescent="0.25">
      <c r="B353"/>
      <c r="E353"/>
      <c r="F353"/>
      <c r="G353"/>
      <c r="H353"/>
      <c r="I353"/>
      <c r="J353"/>
    </row>
    <row r="354" spans="2:10" ht="20.25" customHeight="1" x14ac:dyDescent="0.25">
      <c r="B354"/>
      <c r="E354"/>
      <c r="F354"/>
      <c r="G354"/>
      <c r="H354"/>
      <c r="I354"/>
      <c r="J354"/>
    </row>
    <row r="355" spans="2:10" ht="20.25" customHeight="1" x14ac:dyDescent="0.25">
      <c r="B355"/>
      <c r="E355"/>
      <c r="F355"/>
      <c r="G355"/>
      <c r="H355"/>
      <c r="I355"/>
      <c r="J355"/>
    </row>
    <row r="356" spans="2:10" ht="20.25" customHeight="1" x14ac:dyDescent="0.25">
      <c r="B356"/>
      <c r="E356"/>
      <c r="F356"/>
      <c r="G356"/>
      <c r="H356"/>
      <c r="I356"/>
      <c r="J356"/>
    </row>
    <row r="357" spans="2:10" ht="20.25" customHeight="1" x14ac:dyDescent="0.25">
      <c r="B357"/>
      <c r="E357"/>
      <c r="F357"/>
      <c r="G357"/>
      <c r="H357"/>
      <c r="I357"/>
      <c r="J357"/>
    </row>
    <row r="358" spans="2:10" ht="20.25" customHeight="1" x14ac:dyDescent="0.25">
      <c r="B358"/>
      <c r="E358"/>
      <c r="F358"/>
      <c r="G358"/>
      <c r="H358"/>
      <c r="I358"/>
      <c r="J358"/>
    </row>
    <row r="359" spans="2:10" ht="20.25" customHeight="1" x14ac:dyDescent="0.25">
      <c r="B359"/>
      <c r="E359"/>
      <c r="F359"/>
      <c r="G359"/>
      <c r="H359"/>
      <c r="I359"/>
      <c r="J359"/>
    </row>
    <row r="360" spans="2:10" ht="20.25" customHeight="1" x14ac:dyDescent="0.25">
      <c r="B360"/>
      <c r="E360"/>
      <c r="F360"/>
      <c r="G360"/>
      <c r="H360"/>
      <c r="I360"/>
      <c r="J360"/>
    </row>
    <row r="361" spans="2:10" ht="20.25" customHeight="1" x14ac:dyDescent="0.25">
      <c r="B361"/>
      <c r="E361"/>
      <c r="F361"/>
      <c r="G361"/>
      <c r="H361"/>
      <c r="I361"/>
      <c r="J361"/>
    </row>
    <row r="362" spans="2:10" ht="20.25" customHeight="1" x14ac:dyDescent="0.25">
      <c r="B362"/>
      <c r="E362"/>
      <c r="F362"/>
      <c r="G362"/>
      <c r="H362"/>
      <c r="I362"/>
      <c r="J362"/>
    </row>
    <row r="363" spans="2:10" ht="20.25" customHeight="1" x14ac:dyDescent="0.25">
      <c r="B363"/>
      <c r="E363"/>
      <c r="F363"/>
      <c r="G363"/>
      <c r="H363"/>
      <c r="I363"/>
      <c r="J363"/>
    </row>
    <row r="364" spans="2:10" ht="20.25" customHeight="1" x14ac:dyDescent="0.25">
      <c r="B364"/>
      <c r="E364"/>
      <c r="F364"/>
      <c r="G364"/>
      <c r="H364"/>
      <c r="I364"/>
      <c r="J364"/>
    </row>
    <row r="365" spans="2:10" ht="20.25" customHeight="1" x14ac:dyDescent="0.25">
      <c r="B365"/>
      <c r="E365"/>
      <c r="F365"/>
      <c r="G365"/>
      <c r="H365"/>
      <c r="I365"/>
      <c r="J365"/>
    </row>
    <row r="366" spans="2:10" ht="20.25" customHeight="1" x14ac:dyDescent="0.25">
      <c r="B366"/>
      <c r="E366"/>
      <c r="F366"/>
      <c r="G366"/>
      <c r="H366"/>
      <c r="I366"/>
      <c r="J366"/>
    </row>
    <row r="367" spans="2:10" ht="20.25" customHeight="1" x14ac:dyDescent="0.25">
      <c r="B367"/>
      <c r="E367"/>
      <c r="F367"/>
      <c r="G367"/>
      <c r="H367"/>
      <c r="I367"/>
      <c r="J367"/>
    </row>
    <row r="368" spans="2:10" ht="20.25" customHeight="1" x14ac:dyDescent="0.25">
      <c r="B368"/>
      <c r="E368"/>
      <c r="F368"/>
      <c r="G368"/>
      <c r="H368"/>
      <c r="I368"/>
      <c r="J368"/>
    </row>
    <row r="369" spans="2:10" ht="20.25" customHeight="1" x14ac:dyDescent="0.25">
      <c r="B369"/>
      <c r="E369"/>
      <c r="F369"/>
      <c r="G369"/>
      <c r="H369"/>
      <c r="I369"/>
      <c r="J369"/>
    </row>
    <row r="370" spans="2:10" ht="20.25" customHeight="1" x14ac:dyDescent="0.25">
      <c r="B370"/>
      <c r="E370"/>
      <c r="F370"/>
      <c r="G370"/>
      <c r="H370"/>
      <c r="I370"/>
      <c r="J370"/>
    </row>
    <row r="371" spans="2:10" ht="20.25" customHeight="1" x14ac:dyDescent="0.25">
      <c r="B371"/>
      <c r="E371"/>
      <c r="F371"/>
      <c r="G371"/>
      <c r="H371"/>
      <c r="I371"/>
      <c r="J371"/>
    </row>
    <row r="372" spans="2:10" ht="20.25" customHeight="1" x14ac:dyDescent="0.25">
      <c r="B372"/>
      <c r="E372"/>
      <c r="F372"/>
      <c r="G372"/>
      <c r="H372"/>
      <c r="I372"/>
      <c r="J372"/>
    </row>
    <row r="373" spans="2:10" ht="20.25" customHeight="1" x14ac:dyDescent="0.25">
      <c r="B373"/>
      <c r="E373"/>
      <c r="F373"/>
      <c r="G373"/>
      <c r="H373"/>
      <c r="I373"/>
      <c r="J373"/>
    </row>
    <row r="374" spans="2:10" ht="20.25" customHeight="1" x14ac:dyDescent="0.25">
      <c r="B374"/>
      <c r="E374"/>
      <c r="F374"/>
      <c r="G374"/>
      <c r="H374"/>
      <c r="I374"/>
      <c r="J374"/>
    </row>
    <row r="375" spans="2:10" ht="20.25" customHeight="1" x14ac:dyDescent="0.25">
      <c r="B375"/>
      <c r="E375"/>
      <c r="F375"/>
      <c r="G375"/>
      <c r="H375"/>
      <c r="I375"/>
      <c r="J375"/>
    </row>
    <row r="376" spans="2:10" ht="20.25" customHeight="1" x14ac:dyDescent="0.25">
      <c r="B376"/>
      <c r="E376"/>
      <c r="F376"/>
      <c r="G376"/>
      <c r="H376"/>
      <c r="I376"/>
      <c r="J376"/>
    </row>
    <row r="377" spans="2:10" ht="20.25" customHeight="1" x14ac:dyDescent="0.25">
      <c r="B377"/>
      <c r="E377"/>
      <c r="F377"/>
      <c r="G377"/>
      <c r="H377"/>
      <c r="I377"/>
      <c r="J377"/>
    </row>
    <row r="378" spans="2:10" ht="20.25" customHeight="1" x14ac:dyDescent="0.25">
      <c r="B378"/>
      <c r="E378"/>
      <c r="F378"/>
      <c r="G378"/>
      <c r="H378"/>
      <c r="I378"/>
      <c r="J378"/>
    </row>
    <row r="379" spans="2:10" ht="20.25" customHeight="1" x14ac:dyDescent="0.25">
      <c r="B379"/>
      <c r="E379"/>
      <c r="F379"/>
      <c r="G379"/>
      <c r="H379"/>
      <c r="I379"/>
      <c r="J379"/>
    </row>
    <row r="380" spans="2:10" ht="20.25" customHeight="1" x14ac:dyDescent="0.25">
      <c r="B380"/>
      <c r="E380"/>
      <c r="F380"/>
      <c r="G380"/>
      <c r="H380"/>
      <c r="I380"/>
      <c r="J380"/>
    </row>
    <row r="381" spans="2:10" ht="20.25" customHeight="1" x14ac:dyDescent="0.25">
      <c r="B381"/>
      <c r="E381"/>
      <c r="F381"/>
      <c r="G381"/>
      <c r="H381"/>
      <c r="I381"/>
      <c r="J381"/>
    </row>
    <row r="382" spans="2:10" ht="20.25" customHeight="1" x14ac:dyDescent="0.25">
      <c r="B382"/>
      <c r="E382"/>
      <c r="F382"/>
      <c r="G382"/>
      <c r="H382"/>
      <c r="I382"/>
      <c r="J382"/>
    </row>
    <row r="383" spans="2:10" ht="20.25" customHeight="1" x14ac:dyDescent="0.25">
      <c r="B383"/>
      <c r="E383"/>
      <c r="F383"/>
      <c r="G383"/>
      <c r="H383"/>
      <c r="I383"/>
      <c r="J383"/>
    </row>
    <row r="384" spans="2:10" ht="20.25" customHeight="1" x14ac:dyDescent="0.25">
      <c r="B384"/>
      <c r="E384"/>
      <c r="F384"/>
      <c r="G384"/>
      <c r="H384"/>
      <c r="I384"/>
      <c r="J384"/>
    </row>
    <row r="385" spans="2:10" ht="20.25" customHeight="1" x14ac:dyDescent="0.25">
      <c r="B385"/>
      <c r="E385"/>
      <c r="F385"/>
      <c r="G385"/>
      <c r="H385"/>
      <c r="I385"/>
      <c r="J385"/>
    </row>
    <row r="386" spans="2:10" ht="20.25" customHeight="1" x14ac:dyDescent="0.25">
      <c r="B386"/>
      <c r="E386"/>
      <c r="F386"/>
      <c r="G386"/>
      <c r="H386"/>
      <c r="I386"/>
      <c r="J386"/>
    </row>
    <row r="387" spans="2:10" ht="20.25" customHeight="1" x14ac:dyDescent="0.25">
      <c r="B387"/>
      <c r="E387"/>
      <c r="F387"/>
      <c r="G387"/>
      <c r="H387"/>
      <c r="I387"/>
      <c r="J387"/>
    </row>
    <row r="388" spans="2:10" ht="20.25" customHeight="1" x14ac:dyDescent="0.25">
      <c r="B388"/>
      <c r="E388"/>
      <c r="F388"/>
      <c r="G388"/>
      <c r="H388"/>
      <c r="I388"/>
      <c r="J388"/>
    </row>
    <row r="389" spans="2:10" ht="20.25" customHeight="1" x14ac:dyDescent="0.25">
      <c r="B389"/>
      <c r="E389"/>
      <c r="F389"/>
      <c r="G389"/>
      <c r="H389"/>
      <c r="I389"/>
      <c r="J389"/>
    </row>
    <row r="390" spans="2:10" ht="20.25" customHeight="1" x14ac:dyDescent="0.25">
      <c r="B390"/>
      <c r="E390"/>
      <c r="F390"/>
      <c r="G390"/>
      <c r="H390"/>
      <c r="I390"/>
      <c r="J390"/>
    </row>
    <row r="391" spans="2:10" ht="20.25" customHeight="1" x14ac:dyDescent="0.25">
      <c r="B391"/>
      <c r="E391"/>
      <c r="F391"/>
      <c r="G391"/>
      <c r="H391"/>
      <c r="I391"/>
      <c r="J391"/>
    </row>
    <row r="392" spans="2:10" ht="20.25" customHeight="1" x14ac:dyDescent="0.25">
      <c r="B392"/>
      <c r="E392"/>
      <c r="F392"/>
      <c r="G392"/>
      <c r="H392"/>
      <c r="I392"/>
      <c r="J392"/>
    </row>
    <row r="393" spans="2:10" ht="20.25" customHeight="1" x14ac:dyDescent="0.25">
      <c r="B393"/>
      <c r="E393"/>
      <c r="F393"/>
      <c r="G393"/>
      <c r="H393"/>
      <c r="I393"/>
      <c r="J393"/>
    </row>
    <row r="394" spans="2:10" ht="20.25" customHeight="1" x14ac:dyDescent="0.25">
      <c r="B394"/>
      <c r="E394"/>
      <c r="F394"/>
      <c r="G394"/>
      <c r="H394"/>
      <c r="I394"/>
      <c r="J394"/>
    </row>
    <row r="395" spans="2:10" ht="20.25" customHeight="1" x14ac:dyDescent="0.25">
      <c r="B395"/>
      <c r="E395"/>
      <c r="F395"/>
      <c r="G395"/>
      <c r="H395"/>
      <c r="I395"/>
      <c r="J395"/>
    </row>
    <row r="396" spans="2:10" ht="20.25" customHeight="1" x14ac:dyDescent="0.25">
      <c r="B396"/>
      <c r="E396"/>
      <c r="F396"/>
      <c r="G396"/>
      <c r="H396"/>
      <c r="I396"/>
      <c r="J396"/>
    </row>
    <row r="397" spans="2:10" ht="20.25" customHeight="1" x14ac:dyDescent="0.25">
      <c r="B397"/>
      <c r="E397"/>
      <c r="F397"/>
      <c r="G397"/>
      <c r="H397"/>
      <c r="I397"/>
      <c r="J397"/>
    </row>
    <row r="398" spans="2:10" ht="20.25" customHeight="1" x14ac:dyDescent="0.25">
      <c r="B398"/>
      <c r="E398"/>
      <c r="F398"/>
      <c r="G398"/>
      <c r="H398"/>
      <c r="I398"/>
      <c r="J398"/>
    </row>
    <row r="399" spans="2:10" ht="20.25" customHeight="1" x14ac:dyDescent="0.25">
      <c r="B399"/>
      <c r="E399"/>
      <c r="F399"/>
      <c r="G399"/>
      <c r="H399"/>
      <c r="I399"/>
      <c r="J399"/>
    </row>
    <row r="400" spans="2:10" ht="20.25" customHeight="1" x14ac:dyDescent="0.25">
      <c r="B400"/>
      <c r="E400"/>
      <c r="F400"/>
      <c r="G400"/>
      <c r="H400"/>
      <c r="I400"/>
      <c r="J400"/>
    </row>
    <row r="401" spans="2:10" ht="20.25" customHeight="1" x14ac:dyDescent="0.25">
      <c r="B401"/>
      <c r="E401"/>
      <c r="F401"/>
      <c r="G401"/>
      <c r="H401"/>
      <c r="I401"/>
      <c r="J401"/>
    </row>
    <row r="402" spans="2:10" ht="20.25" customHeight="1" x14ac:dyDescent="0.25">
      <c r="B402"/>
      <c r="E402"/>
      <c r="F402"/>
      <c r="G402"/>
      <c r="H402"/>
      <c r="I402"/>
      <c r="J402"/>
    </row>
    <row r="403" spans="2:10" ht="20.25" customHeight="1" x14ac:dyDescent="0.25">
      <c r="B403"/>
      <c r="E403"/>
      <c r="F403"/>
      <c r="G403"/>
      <c r="H403"/>
      <c r="I403"/>
      <c r="J403"/>
    </row>
    <row r="404" spans="2:10" ht="20.25" customHeight="1" x14ac:dyDescent="0.25">
      <c r="B404"/>
      <c r="E404"/>
      <c r="F404"/>
      <c r="G404"/>
      <c r="H404"/>
      <c r="I404"/>
      <c r="J404"/>
    </row>
    <row r="405" spans="2:10" ht="20.25" customHeight="1" x14ac:dyDescent="0.25">
      <c r="B405"/>
      <c r="E405"/>
      <c r="F405"/>
      <c r="G405"/>
      <c r="H405"/>
      <c r="I405"/>
      <c r="J405"/>
    </row>
    <row r="406" spans="2:10" ht="20.25" customHeight="1" x14ac:dyDescent="0.25">
      <c r="B406"/>
      <c r="E406"/>
      <c r="F406"/>
      <c r="G406"/>
      <c r="H406"/>
      <c r="I406"/>
      <c r="J406"/>
    </row>
    <row r="407" spans="2:10" ht="20.25" customHeight="1" x14ac:dyDescent="0.25">
      <c r="B407"/>
      <c r="E407"/>
      <c r="F407"/>
      <c r="G407"/>
      <c r="H407"/>
      <c r="I407"/>
      <c r="J407"/>
    </row>
    <row r="408" spans="2:10" ht="20.25" customHeight="1" x14ac:dyDescent="0.25">
      <c r="B408"/>
      <c r="E408"/>
      <c r="F408"/>
      <c r="G408"/>
      <c r="H408"/>
      <c r="I408"/>
      <c r="J408"/>
    </row>
    <row r="409" spans="2:10" ht="20.25" customHeight="1" x14ac:dyDescent="0.25">
      <c r="B409"/>
      <c r="E409"/>
      <c r="F409"/>
      <c r="G409"/>
      <c r="H409"/>
      <c r="I409"/>
      <c r="J409"/>
    </row>
    <row r="410" spans="2:10" ht="20.25" customHeight="1" x14ac:dyDescent="0.25">
      <c r="B410"/>
      <c r="E410"/>
      <c r="F410"/>
      <c r="G410"/>
      <c r="H410"/>
      <c r="I410"/>
      <c r="J410"/>
    </row>
    <row r="411" spans="2:10" ht="20.25" customHeight="1" x14ac:dyDescent="0.25">
      <c r="B411"/>
      <c r="E411"/>
      <c r="F411"/>
      <c r="G411"/>
      <c r="H411"/>
      <c r="I411"/>
      <c r="J411"/>
    </row>
    <row r="412" spans="2:10" ht="20.25" customHeight="1" x14ac:dyDescent="0.25">
      <c r="B412"/>
      <c r="E412"/>
      <c r="F412"/>
      <c r="G412"/>
      <c r="H412"/>
      <c r="I412"/>
      <c r="J412"/>
    </row>
    <row r="413" spans="2:10" ht="20.25" customHeight="1" x14ac:dyDescent="0.25">
      <c r="B413"/>
      <c r="E413"/>
      <c r="F413"/>
      <c r="G413"/>
      <c r="H413"/>
      <c r="I413"/>
      <c r="J413"/>
    </row>
    <row r="414" spans="2:10" ht="20.25" customHeight="1" x14ac:dyDescent="0.25">
      <c r="B414"/>
      <c r="E414"/>
      <c r="F414"/>
      <c r="G414"/>
      <c r="H414"/>
      <c r="I414"/>
      <c r="J414"/>
    </row>
    <row r="415" spans="2:10" ht="20.25" customHeight="1" x14ac:dyDescent="0.25">
      <c r="B415"/>
      <c r="E415"/>
      <c r="F415"/>
      <c r="G415"/>
      <c r="H415"/>
      <c r="I415"/>
      <c r="J415"/>
    </row>
    <row r="416" spans="2:10" ht="20.25" customHeight="1" x14ac:dyDescent="0.25">
      <c r="B416"/>
      <c r="E416"/>
      <c r="F416"/>
      <c r="G416"/>
      <c r="H416"/>
      <c r="I416"/>
      <c r="J416"/>
    </row>
    <row r="417" spans="2:10" ht="20.25" customHeight="1" x14ac:dyDescent="0.25">
      <c r="B417"/>
      <c r="E417"/>
      <c r="F417"/>
      <c r="G417"/>
      <c r="H417"/>
      <c r="I417"/>
      <c r="J417"/>
    </row>
    <row r="418" spans="2:10" ht="20.25" customHeight="1" x14ac:dyDescent="0.25">
      <c r="B418"/>
      <c r="E418"/>
      <c r="F418"/>
      <c r="G418"/>
      <c r="H418"/>
      <c r="I418"/>
      <c r="J418"/>
    </row>
    <row r="419" spans="2:10" ht="20.25" customHeight="1" x14ac:dyDescent="0.25">
      <c r="B419"/>
      <c r="E419"/>
      <c r="F419"/>
      <c r="G419"/>
      <c r="H419"/>
      <c r="I419"/>
      <c r="J419"/>
    </row>
    <row r="420" spans="2:10" ht="20.25" customHeight="1" x14ac:dyDescent="0.25">
      <c r="B420"/>
      <c r="E420"/>
      <c r="F420"/>
      <c r="G420"/>
      <c r="H420"/>
      <c r="I420"/>
      <c r="J420"/>
    </row>
    <row r="421" spans="2:10" ht="20.25" customHeight="1" x14ac:dyDescent="0.25">
      <c r="B421"/>
      <c r="E421"/>
      <c r="F421"/>
      <c r="G421"/>
      <c r="H421"/>
      <c r="I421"/>
      <c r="J421"/>
    </row>
    <row r="422" spans="2:10" ht="20.25" customHeight="1" x14ac:dyDescent="0.25">
      <c r="B422"/>
      <c r="E422"/>
      <c r="F422"/>
      <c r="G422"/>
      <c r="H422"/>
      <c r="I422"/>
      <c r="J422"/>
    </row>
    <row r="423" spans="2:10" ht="20.25" customHeight="1" x14ac:dyDescent="0.25">
      <c r="B423"/>
      <c r="E423"/>
      <c r="F423"/>
      <c r="G423"/>
      <c r="H423"/>
      <c r="I423"/>
      <c r="J423"/>
    </row>
    <row r="424" spans="2:10" ht="20.25" customHeight="1" x14ac:dyDescent="0.25">
      <c r="B424"/>
      <c r="E424"/>
      <c r="F424"/>
      <c r="G424"/>
      <c r="H424"/>
      <c r="I424"/>
      <c r="J424"/>
    </row>
    <row r="425" spans="2:10" ht="20.25" customHeight="1" x14ac:dyDescent="0.25">
      <c r="B425"/>
      <c r="E425"/>
      <c r="F425"/>
      <c r="G425"/>
      <c r="H425"/>
      <c r="I425"/>
      <c r="J425"/>
    </row>
    <row r="426" spans="2:10" ht="20.25" customHeight="1" x14ac:dyDescent="0.25">
      <c r="B426"/>
      <c r="E426"/>
      <c r="F426"/>
      <c r="G426"/>
      <c r="H426"/>
      <c r="I426"/>
      <c r="J426"/>
    </row>
    <row r="427" spans="2:10" ht="20.25" customHeight="1" x14ac:dyDescent="0.25">
      <c r="B427"/>
      <c r="E427"/>
      <c r="F427"/>
      <c r="G427"/>
      <c r="H427"/>
      <c r="I427"/>
      <c r="J427"/>
    </row>
    <row r="428" spans="2:10" ht="20.25" customHeight="1" x14ac:dyDescent="0.25">
      <c r="B428"/>
      <c r="E428"/>
      <c r="F428"/>
      <c r="G428"/>
      <c r="H428"/>
      <c r="I428"/>
      <c r="J428"/>
    </row>
    <row r="429" spans="2:10" ht="20.25" customHeight="1" x14ac:dyDescent="0.25">
      <c r="B429"/>
      <c r="E429"/>
      <c r="F429"/>
      <c r="G429"/>
      <c r="H429"/>
      <c r="I429"/>
      <c r="J429"/>
    </row>
    <row r="430" spans="2:10" ht="20.25" customHeight="1" x14ac:dyDescent="0.25">
      <c r="B430"/>
      <c r="E430"/>
      <c r="F430"/>
      <c r="G430"/>
      <c r="H430"/>
      <c r="I430"/>
      <c r="J430"/>
    </row>
    <row r="431" spans="2:10" ht="20.25" customHeight="1" x14ac:dyDescent="0.25">
      <c r="B431"/>
      <c r="E431"/>
      <c r="F431"/>
      <c r="G431"/>
      <c r="H431"/>
      <c r="I431"/>
      <c r="J431"/>
    </row>
    <row r="432" spans="2:10" ht="20.25" customHeight="1" x14ac:dyDescent="0.25">
      <c r="B432"/>
      <c r="E432"/>
      <c r="F432"/>
      <c r="G432"/>
      <c r="H432"/>
      <c r="I432"/>
      <c r="J432"/>
    </row>
    <row r="433" spans="2:10" ht="20.25" customHeight="1" x14ac:dyDescent="0.25">
      <c r="B433"/>
      <c r="E433"/>
      <c r="F433"/>
      <c r="G433"/>
      <c r="H433"/>
      <c r="I433"/>
      <c r="J433"/>
    </row>
    <row r="434" spans="2:10" ht="20.25" customHeight="1" x14ac:dyDescent="0.25">
      <c r="B434"/>
      <c r="E434"/>
      <c r="F434"/>
      <c r="G434"/>
      <c r="H434"/>
      <c r="I434"/>
      <c r="J434"/>
    </row>
    <row r="435" spans="2:10" ht="20.25" customHeight="1" x14ac:dyDescent="0.25">
      <c r="B435"/>
      <c r="E435"/>
      <c r="F435"/>
      <c r="G435"/>
      <c r="H435"/>
      <c r="I435"/>
      <c r="J435"/>
    </row>
    <row r="436" spans="2:10" ht="20.25" customHeight="1" x14ac:dyDescent="0.25">
      <c r="B436"/>
      <c r="E436"/>
      <c r="F436"/>
      <c r="G436"/>
      <c r="H436"/>
      <c r="I436"/>
      <c r="J436"/>
    </row>
    <row r="437" spans="2:10" ht="20.25" customHeight="1" x14ac:dyDescent="0.25">
      <c r="B437"/>
      <c r="E437"/>
      <c r="F437"/>
      <c r="G437"/>
      <c r="H437"/>
      <c r="I437"/>
      <c r="J437"/>
    </row>
    <row r="438" spans="2:10" ht="20.25" customHeight="1" x14ac:dyDescent="0.25">
      <c r="B438"/>
      <c r="E438"/>
      <c r="F438"/>
      <c r="G438"/>
      <c r="H438"/>
      <c r="I438"/>
      <c r="J438"/>
    </row>
    <row r="439" spans="2:10" ht="20.25" customHeight="1" x14ac:dyDescent="0.25">
      <c r="B439"/>
      <c r="E439"/>
      <c r="F439"/>
      <c r="G439"/>
      <c r="H439"/>
      <c r="I439"/>
      <c r="J439"/>
    </row>
    <row r="440" spans="2:10" ht="20.25" customHeight="1" x14ac:dyDescent="0.25">
      <c r="B440"/>
      <c r="E440"/>
      <c r="F440"/>
      <c r="G440"/>
      <c r="H440"/>
      <c r="I440"/>
      <c r="J440"/>
    </row>
    <row r="441" spans="2:10" ht="20.25" customHeight="1" x14ac:dyDescent="0.25">
      <c r="B441"/>
      <c r="E441"/>
      <c r="F441"/>
      <c r="G441"/>
      <c r="H441"/>
      <c r="I441"/>
      <c r="J441"/>
    </row>
    <row r="442" spans="2:10" ht="20.25" customHeight="1" x14ac:dyDescent="0.25">
      <c r="B442"/>
      <c r="E442"/>
      <c r="F442"/>
      <c r="G442"/>
      <c r="H442"/>
      <c r="I442"/>
      <c r="J442"/>
    </row>
    <row r="443" spans="2:10" ht="20.25" customHeight="1" x14ac:dyDescent="0.25">
      <c r="B443"/>
      <c r="E443"/>
      <c r="F443"/>
      <c r="G443"/>
      <c r="H443"/>
      <c r="I443"/>
      <c r="J443"/>
    </row>
    <row r="444" spans="2:10" ht="20.25" customHeight="1" x14ac:dyDescent="0.25">
      <c r="B444"/>
      <c r="E444"/>
      <c r="F444"/>
      <c r="G444"/>
      <c r="H444"/>
      <c r="I444"/>
      <c r="J444"/>
    </row>
    <row r="445" spans="2:10" ht="20.25" customHeight="1" x14ac:dyDescent="0.25">
      <c r="B445"/>
      <c r="E445"/>
      <c r="F445"/>
      <c r="G445"/>
      <c r="H445"/>
      <c r="I445"/>
      <c r="J445"/>
    </row>
    <row r="446" spans="2:10" ht="20.25" customHeight="1" x14ac:dyDescent="0.25">
      <c r="B446"/>
      <c r="E446"/>
      <c r="F446"/>
      <c r="G446"/>
      <c r="H446"/>
      <c r="I446"/>
      <c r="J446"/>
    </row>
    <row r="447" spans="2:10" ht="20.25" customHeight="1" x14ac:dyDescent="0.25">
      <c r="B447"/>
      <c r="E447"/>
      <c r="F447"/>
      <c r="G447"/>
      <c r="H447"/>
      <c r="I447"/>
      <c r="J447"/>
    </row>
    <row r="448" spans="2:10" ht="20.25" customHeight="1" x14ac:dyDescent="0.25">
      <c r="B448"/>
      <c r="E448"/>
      <c r="F448"/>
      <c r="G448"/>
      <c r="H448"/>
      <c r="I448"/>
      <c r="J448"/>
    </row>
    <row r="449" spans="2:10" ht="20.25" customHeight="1" x14ac:dyDescent="0.25">
      <c r="B449"/>
      <c r="E449"/>
      <c r="F449"/>
      <c r="G449"/>
      <c r="H449"/>
      <c r="I449"/>
      <c r="J449"/>
    </row>
    <row r="450" spans="2:10" ht="20.25" customHeight="1" x14ac:dyDescent="0.25">
      <c r="B450"/>
      <c r="E450"/>
      <c r="F450"/>
      <c r="G450"/>
      <c r="H450"/>
      <c r="I450"/>
      <c r="J450"/>
    </row>
    <row r="451" spans="2:10" ht="20.25" customHeight="1" x14ac:dyDescent="0.25">
      <c r="B451"/>
      <c r="E451"/>
      <c r="F451"/>
      <c r="G451"/>
      <c r="H451"/>
      <c r="I451"/>
      <c r="J451"/>
    </row>
    <row r="452" spans="2:10" ht="20.25" customHeight="1" x14ac:dyDescent="0.25">
      <c r="B452"/>
      <c r="E452"/>
      <c r="F452"/>
      <c r="G452"/>
      <c r="H452"/>
      <c r="I452"/>
      <c r="J452"/>
    </row>
    <row r="453" spans="2:10" ht="20.25" customHeight="1" x14ac:dyDescent="0.25">
      <c r="B453"/>
      <c r="E453"/>
      <c r="F453"/>
      <c r="G453"/>
      <c r="H453"/>
      <c r="I453"/>
      <c r="J453"/>
    </row>
    <row r="454" spans="2:10" ht="20.25" customHeight="1" x14ac:dyDescent="0.25">
      <c r="B454"/>
      <c r="E454"/>
      <c r="F454"/>
      <c r="G454"/>
      <c r="H454"/>
      <c r="I454"/>
      <c r="J454"/>
    </row>
    <row r="455" spans="2:10" ht="20.25" customHeight="1" x14ac:dyDescent="0.25">
      <c r="B455"/>
      <c r="E455"/>
      <c r="F455"/>
      <c r="G455"/>
      <c r="H455"/>
      <c r="I455"/>
      <c r="J455"/>
    </row>
    <row r="456" spans="2:10" ht="20.25" customHeight="1" x14ac:dyDescent="0.25">
      <c r="B456"/>
      <c r="E456"/>
      <c r="F456"/>
      <c r="G456"/>
      <c r="H456"/>
      <c r="I456"/>
      <c r="J456"/>
    </row>
    <row r="457" spans="2:10" ht="20.25" customHeight="1" x14ac:dyDescent="0.25">
      <c r="B457"/>
      <c r="E457"/>
      <c r="F457"/>
      <c r="G457"/>
      <c r="H457"/>
      <c r="I457"/>
      <c r="J457"/>
    </row>
    <row r="458" spans="2:10" ht="20.25" customHeight="1" x14ac:dyDescent="0.25">
      <c r="B458"/>
      <c r="E458"/>
      <c r="F458"/>
      <c r="G458"/>
      <c r="H458"/>
      <c r="I458"/>
      <c r="J458"/>
    </row>
    <row r="459" spans="2:10" ht="20.25" customHeight="1" x14ac:dyDescent="0.25">
      <c r="B459"/>
      <c r="E459"/>
      <c r="F459"/>
      <c r="G459"/>
      <c r="H459"/>
      <c r="I459"/>
      <c r="J459"/>
    </row>
    <row r="460" spans="2:10" ht="20.25" customHeight="1" x14ac:dyDescent="0.25">
      <c r="B460"/>
      <c r="E460"/>
      <c r="F460"/>
      <c r="G460"/>
      <c r="H460"/>
      <c r="I460"/>
      <c r="J460"/>
    </row>
    <row r="461" spans="2:10" ht="20.25" customHeight="1" x14ac:dyDescent="0.25">
      <c r="B461"/>
      <c r="E461"/>
      <c r="F461"/>
      <c r="G461"/>
      <c r="H461"/>
      <c r="I461"/>
      <c r="J461"/>
    </row>
    <row r="462" spans="2:10" ht="20.25" customHeight="1" x14ac:dyDescent="0.25">
      <c r="B462"/>
      <c r="E462"/>
      <c r="F462"/>
      <c r="G462"/>
      <c r="H462"/>
      <c r="I462"/>
      <c r="J462"/>
    </row>
    <row r="463" spans="2:10" ht="20.25" customHeight="1" x14ac:dyDescent="0.25">
      <c r="B463"/>
      <c r="E463"/>
      <c r="F463"/>
      <c r="G463"/>
      <c r="H463"/>
      <c r="I463"/>
      <c r="J463"/>
    </row>
    <row r="464" spans="2:10" ht="20.25" customHeight="1" x14ac:dyDescent="0.25">
      <c r="B464"/>
      <c r="E464"/>
      <c r="F464"/>
      <c r="G464"/>
      <c r="H464"/>
      <c r="I464"/>
      <c r="J464"/>
    </row>
    <row r="465" spans="2:10" ht="20.25" customHeight="1" x14ac:dyDescent="0.25">
      <c r="B465"/>
      <c r="E465"/>
      <c r="F465"/>
      <c r="G465"/>
      <c r="H465"/>
      <c r="I465"/>
      <c r="J465"/>
    </row>
    <row r="466" spans="2:10" ht="20.25" customHeight="1" x14ac:dyDescent="0.25">
      <c r="B466"/>
      <c r="E466"/>
      <c r="F466"/>
      <c r="G466"/>
      <c r="H466"/>
      <c r="I466"/>
      <c r="J466"/>
    </row>
    <row r="467" spans="2:10" ht="20.25" customHeight="1" x14ac:dyDescent="0.25">
      <c r="B467"/>
      <c r="E467"/>
      <c r="F467"/>
      <c r="G467"/>
      <c r="H467"/>
      <c r="I467"/>
      <c r="J467"/>
    </row>
    <row r="468" spans="2:10" ht="20.25" customHeight="1" x14ac:dyDescent="0.25">
      <c r="B468"/>
      <c r="E468"/>
      <c r="F468"/>
      <c r="G468"/>
      <c r="H468"/>
      <c r="I468"/>
      <c r="J468"/>
    </row>
    <row r="469" spans="2:10" ht="20.25" customHeight="1" x14ac:dyDescent="0.25">
      <c r="B469"/>
      <c r="E469"/>
      <c r="F469"/>
      <c r="G469"/>
      <c r="H469"/>
      <c r="I469"/>
      <c r="J469"/>
    </row>
    <row r="470" spans="2:10" ht="20.25" customHeight="1" x14ac:dyDescent="0.25">
      <c r="B470"/>
      <c r="E470"/>
      <c r="F470"/>
      <c r="G470"/>
      <c r="H470"/>
      <c r="I470"/>
      <c r="J470"/>
    </row>
    <row r="471" spans="2:10" ht="20.25" customHeight="1" x14ac:dyDescent="0.25">
      <c r="B471"/>
      <c r="E471"/>
      <c r="F471"/>
      <c r="G471"/>
      <c r="H471"/>
      <c r="I471"/>
      <c r="J471"/>
    </row>
    <row r="472" spans="2:10" ht="20.25" customHeight="1" x14ac:dyDescent="0.25">
      <c r="B472"/>
      <c r="E472"/>
      <c r="F472"/>
      <c r="G472"/>
      <c r="H472"/>
      <c r="I472"/>
      <c r="J472"/>
    </row>
    <row r="473" spans="2:10" ht="20.25" customHeight="1" x14ac:dyDescent="0.25">
      <c r="B473"/>
      <c r="E473"/>
      <c r="F473"/>
      <c r="G473"/>
      <c r="H473"/>
      <c r="I473"/>
      <c r="J473"/>
    </row>
    <row r="474" spans="2:10" ht="20.25" customHeight="1" x14ac:dyDescent="0.25">
      <c r="B474"/>
      <c r="E474"/>
      <c r="F474"/>
      <c r="G474"/>
      <c r="H474"/>
      <c r="I474"/>
      <c r="J474"/>
    </row>
    <row r="475" spans="2:10" ht="20.25" customHeight="1" x14ac:dyDescent="0.25">
      <c r="B475"/>
      <c r="E475"/>
      <c r="F475"/>
      <c r="G475"/>
      <c r="H475"/>
      <c r="I475"/>
      <c r="J475"/>
    </row>
    <row r="476" spans="2:10" ht="20.25" customHeight="1" x14ac:dyDescent="0.25">
      <c r="B476"/>
      <c r="E476"/>
      <c r="F476"/>
      <c r="G476"/>
      <c r="H476"/>
      <c r="I476"/>
      <c r="J476"/>
    </row>
    <row r="477" spans="2:10" ht="20.25" customHeight="1" x14ac:dyDescent="0.25">
      <c r="B477"/>
      <c r="E477"/>
      <c r="F477"/>
      <c r="G477"/>
      <c r="H477"/>
      <c r="I477"/>
      <c r="J477"/>
    </row>
    <row r="478" spans="2:10" ht="20.25" customHeight="1" x14ac:dyDescent="0.25">
      <c r="B478"/>
      <c r="E478"/>
      <c r="F478"/>
      <c r="G478"/>
      <c r="H478"/>
      <c r="I478"/>
      <c r="J478"/>
    </row>
    <row r="479" spans="2:10" ht="20.25" customHeight="1" x14ac:dyDescent="0.25">
      <c r="B479"/>
      <c r="E479"/>
      <c r="F479"/>
      <c r="G479"/>
      <c r="H479"/>
      <c r="I479"/>
      <c r="J479"/>
    </row>
    <row r="480" spans="2:10" ht="20.25" customHeight="1" x14ac:dyDescent="0.25">
      <c r="B480"/>
      <c r="E480"/>
      <c r="F480"/>
      <c r="G480"/>
      <c r="H480"/>
      <c r="I480"/>
      <c r="J480"/>
    </row>
    <row r="481" spans="2:10" ht="20.25" customHeight="1" x14ac:dyDescent="0.25">
      <c r="B481"/>
      <c r="E481"/>
      <c r="F481"/>
      <c r="G481"/>
      <c r="H481"/>
      <c r="I481"/>
      <c r="J481"/>
    </row>
    <row r="482" spans="2:10" ht="20.25" customHeight="1" x14ac:dyDescent="0.25">
      <c r="B482"/>
      <c r="E482"/>
      <c r="F482"/>
      <c r="G482"/>
      <c r="H482"/>
      <c r="I482"/>
      <c r="J482"/>
    </row>
    <row r="483" spans="2:10" ht="20.25" customHeight="1" x14ac:dyDescent="0.25">
      <c r="B483"/>
      <c r="E483"/>
      <c r="F483"/>
      <c r="G483"/>
      <c r="H483"/>
      <c r="I483"/>
      <c r="J483"/>
    </row>
    <row r="484" spans="2:10" ht="20.25" customHeight="1" x14ac:dyDescent="0.25">
      <c r="B484"/>
      <c r="E484"/>
      <c r="F484"/>
      <c r="G484"/>
      <c r="H484"/>
      <c r="I484"/>
      <c r="J484"/>
    </row>
    <row r="485" spans="2:10" ht="20.25" customHeight="1" x14ac:dyDescent="0.25">
      <c r="B485"/>
      <c r="E485"/>
      <c r="F485"/>
      <c r="G485"/>
      <c r="H485"/>
      <c r="I485"/>
      <c r="J485"/>
    </row>
    <row r="486" spans="2:10" ht="20.25" customHeight="1" x14ac:dyDescent="0.25">
      <c r="B486"/>
      <c r="E486"/>
      <c r="F486"/>
      <c r="G486"/>
      <c r="H486"/>
      <c r="I486"/>
      <c r="J486"/>
    </row>
    <row r="487" spans="2:10" ht="20.25" customHeight="1" x14ac:dyDescent="0.25">
      <c r="B487"/>
      <c r="E487"/>
      <c r="F487"/>
      <c r="G487"/>
      <c r="H487"/>
      <c r="I487"/>
      <c r="J487"/>
    </row>
    <row r="488" spans="2:10" ht="20.25" customHeight="1" x14ac:dyDescent="0.25">
      <c r="B488"/>
      <c r="E488"/>
      <c r="F488"/>
      <c r="G488"/>
      <c r="H488"/>
      <c r="I488"/>
      <c r="J488"/>
    </row>
    <row r="489" spans="2:10" ht="20.25" customHeight="1" x14ac:dyDescent="0.25">
      <c r="B489"/>
      <c r="E489"/>
      <c r="F489"/>
      <c r="G489"/>
      <c r="H489"/>
      <c r="I489"/>
      <c r="J489"/>
    </row>
    <row r="490" spans="2:10" ht="20.25" customHeight="1" x14ac:dyDescent="0.25">
      <c r="B490"/>
      <c r="E490"/>
      <c r="F490"/>
      <c r="G490"/>
      <c r="H490"/>
      <c r="I490"/>
      <c r="J490"/>
    </row>
    <row r="491" spans="2:10" ht="20.25" customHeight="1" x14ac:dyDescent="0.25">
      <c r="B491"/>
      <c r="E491"/>
      <c r="F491"/>
      <c r="G491"/>
      <c r="H491"/>
      <c r="I491"/>
      <c r="J491"/>
    </row>
    <row r="492" spans="2:10" ht="20.25" customHeight="1" x14ac:dyDescent="0.25">
      <c r="B492"/>
      <c r="E492"/>
      <c r="F492"/>
      <c r="G492"/>
      <c r="H492"/>
      <c r="I492"/>
      <c r="J492"/>
    </row>
    <row r="493" spans="2:10" ht="20.25" customHeight="1" x14ac:dyDescent="0.25">
      <c r="B493"/>
      <c r="E493"/>
      <c r="F493"/>
      <c r="G493"/>
      <c r="H493"/>
      <c r="I493"/>
      <c r="J493"/>
    </row>
    <row r="494" spans="2:10" ht="20.25" customHeight="1" x14ac:dyDescent="0.25">
      <c r="B494"/>
      <c r="E494"/>
      <c r="F494"/>
      <c r="G494"/>
      <c r="H494"/>
      <c r="I494"/>
      <c r="J494"/>
    </row>
    <row r="495" spans="2:10" ht="20.25" customHeight="1" x14ac:dyDescent="0.25">
      <c r="B495"/>
      <c r="E495"/>
      <c r="F495"/>
      <c r="G495"/>
      <c r="H495"/>
      <c r="I495"/>
      <c r="J495"/>
    </row>
    <row r="496" spans="2:10" ht="20.25" customHeight="1" x14ac:dyDescent="0.25">
      <c r="B496"/>
      <c r="E496"/>
      <c r="F496"/>
      <c r="G496"/>
      <c r="H496"/>
      <c r="I496"/>
      <c r="J496"/>
    </row>
    <row r="497" spans="2:10" ht="20.25" customHeight="1" x14ac:dyDescent="0.25">
      <c r="B497"/>
      <c r="E497"/>
      <c r="F497"/>
      <c r="G497"/>
      <c r="H497"/>
      <c r="I497"/>
      <c r="J497"/>
    </row>
    <row r="498" spans="2:10" ht="20.25" customHeight="1" x14ac:dyDescent="0.25">
      <c r="B498"/>
      <c r="E498"/>
      <c r="F498"/>
      <c r="G498"/>
      <c r="H498"/>
      <c r="I498"/>
      <c r="J498"/>
    </row>
    <row r="499" spans="2:10" ht="20.25" customHeight="1" x14ac:dyDescent="0.25">
      <c r="B499"/>
      <c r="E499"/>
      <c r="F499"/>
      <c r="G499"/>
      <c r="H499"/>
      <c r="I499"/>
      <c r="J499"/>
    </row>
    <row r="500" spans="2:10" ht="20.25" customHeight="1" x14ac:dyDescent="0.25">
      <c r="B500"/>
      <c r="E500"/>
      <c r="F500"/>
      <c r="G500"/>
      <c r="H500"/>
      <c r="I500"/>
      <c r="J500"/>
    </row>
    <row r="501" spans="2:10" ht="20.25" customHeight="1" x14ac:dyDescent="0.25">
      <c r="B501"/>
      <c r="E501"/>
      <c r="F501"/>
      <c r="G501"/>
      <c r="H501"/>
      <c r="I501"/>
      <c r="J501"/>
    </row>
    <row r="502" spans="2:10" ht="20.25" customHeight="1" x14ac:dyDescent="0.25">
      <c r="B502"/>
      <c r="E502"/>
      <c r="F502"/>
      <c r="G502"/>
      <c r="H502"/>
      <c r="I502"/>
      <c r="J502"/>
    </row>
    <row r="503" spans="2:10" ht="20.25" customHeight="1" x14ac:dyDescent="0.25">
      <c r="B503"/>
      <c r="E503"/>
      <c r="F503"/>
      <c r="G503"/>
      <c r="H503"/>
      <c r="I503"/>
      <c r="J503"/>
    </row>
    <row r="504" spans="2:10" ht="20.25" customHeight="1" x14ac:dyDescent="0.25">
      <c r="B504"/>
      <c r="E504"/>
      <c r="F504"/>
      <c r="G504"/>
      <c r="H504"/>
      <c r="I504"/>
      <c r="J504"/>
    </row>
    <row r="505" spans="2:10" ht="20.25" customHeight="1" x14ac:dyDescent="0.25">
      <c r="B505"/>
      <c r="E505"/>
      <c r="F505"/>
      <c r="G505"/>
      <c r="H505"/>
      <c r="I505"/>
      <c r="J505"/>
    </row>
    <row r="506" spans="2:10" ht="20.25" customHeight="1" x14ac:dyDescent="0.25">
      <c r="B506"/>
      <c r="E506"/>
      <c r="F506"/>
      <c r="G506"/>
      <c r="H506"/>
      <c r="I506"/>
      <c r="J506"/>
    </row>
    <row r="507" spans="2:10" ht="20.25" customHeight="1" x14ac:dyDescent="0.25">
      <c r="B507"/>
      <c r="E507"/>
      <c r="F507"/>
      <c r="G507"/>
      <c r="H507"/>
      <c r="I507"/>
      <c r="J507"/>
    </row>
    <row r="508" spans="2:10" ht="20.25" customHeight="1" x14ac:dyDescent="0.25">
      <c r="B508"/>
      <c r="E508"/>
      <c r="F508"/>
      <c r="G508"/>
      <c r="H508"/>
      <c r="I508"/>
      <c r="J508"/>
    </row>
    <row r="509" spans="2:10" ht="20.25" customHeight="1" x14ac:dyDescent="0.25">
      <c r="B509"/>
      <c r="E509"/>
      <c r="F509"/>
      <c r="G509"/>
      <c r="H509"/>
      <c r="I509"/>
      <c r="J509"/>
    </row>
    <row r="510" spans="2:10" ht="20.25" customHeight="1" x14ac:dyDescent="0.25">
      <c r="B510"/>
      <c r="E510"/>
      <c r="F510"/>
      <c r="G510"/>
      <c r="H510"/>
      <c r="I510"/>
      <c r="J510"/>
    </row>
    <row r="511" spans="2:10" ht="20.25" customHeight="1" x14ac:dyDescent="0.25">
      <c r="B511"/>
      <c r="E511"/>
      <c r="F511"/>
      <c r="G511"/>
      <c r="H511"/>
      <c r="I511"/>
      <c r="J511"/>
    </row>
    <row r="512" spans="2:10" ht="20.25" customHeight="1" x14ac:dyDescent="0.25">
      <c r="B512"/>
      <c r="E512"/>
      <c r="F512"/>
      <c r="G512"/>
      <c r="H512"/>
      <c r="I512"/>
      <c r="J512"/>
    </row>
    <row r="513" spans="2:10" ht="20.25" customHeight="1" x14ac:dyDescent="0.25">
      <c r="B513"/>
      <c r="E513"/>
      <c r="F513"/>
      <c r="G513"/>
      <c r="H513"/>
      <c r="I513"/>
      <c r="J513"/>
    </row>
    <row r="514" spans="2:10" ht="20.25" customHeight="1" x14ac:dyDescent="0.25">
      <c r="B514"/>
      <c r="E514"/>
      <c r="F514"/>
      <c r="G514"/>
      <c r="H514"/>
      <c r="I514"/>
      <c r="J514"/>
    </row>
    <row r="515" spans="2:10" ht="20.25" customHeight="1" x14ac:dyDescent="0.25">
      <c r="B515"/>
      <c r="E515"/>
      <c r="F515"/>
      <c r="G515"/>
      <c r="H515"/>
      <c r="I515"/>
      <c r="J515"/>
    </row>
    <row r="516" spans="2:10" ht="20.25" customHeight="1" x14ac:dyDescent="0.25">
      <c r="B516"/>
      <c r="E516"/>
      <c r="F516"/>
      <c r="G516"/>
      <c r="H516"/>
      <c r="I516"/>
      <c r="J516"/>
    </row>
    <row r="517" spans="2:10" ht="20.25" customHeight="1" x14ac:dyDescent="0.25">
      <c r="B517"/>
      <c r="E517"/>
      <c r="F517"/>
      <c r="G517"/>
      <c r="H517"/>
      <c r="I517"/>
      <c r="J517"/>
    </row>
    <row r="518" spans="2:10" ht="20.25" customHeight="1" x14ac:dyDescent="0.25">
      <c r="B518"/>
      <c r="E518"/>
      <c r="F518"/>
      <c r="G518"/>
      <c r="H518"/>
      <c r="I518"/>
      <c r="J518"/>
    </row>
    <row r="519" spans="2:10" ht="20.25" customHeight="1" x14ac:dyDescent="0.25">
      <c r="B519"/>
      <c r="E519"/>
      <c r="F519"/>
      <c r="G519"/>
      <c r="H519"/>
      <c r="I519"/>
      <c r="J519"/>
    </row>
    <row r="520" spans="2:10" ht="20.25" customHeight="1" x14ac:dyDescent="0.25">
      <c r="B520"/>
      <c r="E520"/>
      <c r="F520"/>
      <c r="G520"/>
      <c r="H520"/>
      <c r="I520"/>
      <c r="J520"/>
    </row>
    <row r="521" spans="2:10" ht="20.25" customHeight="1" x14ac:dyDescent="0.25">
      <c r="B521"/>
      <c r="E521"/>
      <c r="F521"/>
      <c r="G521"/>
      <c r="H521"/>
      <c r="I521"/>
      <c r="J521"/>
    </row>
    <row r="522" spans="2:10" ht="20.25" customHeight="1" x14ac:dyDescent="0.25">
      <c r="B522"/>
      <c r="E522"/>
      <c r="F522"/>
      <c r="G522"/>
      <c r="H522"/>
      <c r="I522"/>
      <c r="J522"/>
    </row>
    <row r="523" spans="2:10" ht="20.25" customHeight="1" x14ac:dyDescent="0.25">
      <c r="B523"/>
      <c r="E523"/>
      <c r="F523"/>
      <c r="G523"/>
      <c r="H523"/>
      <c r="I523"/>
      <c r="J523"/>
    </row>
    <row r="524" spans="2:10" ht="20.25" customHeight="1" x14ac:dyDescent="0.25">
      <c r="B524"/>
      <c r="E524"/>
      <c r="F524"/>
      <c r="G524"/>
      <c r="H524"/>
      <c r="I524"/>
      <c r="J524"/>
    </row>
    <row r="525" spans="2:10" ht="20.25" customHeight="1" x14ac:dyDescent="0.25">
      <c r="B525"/>
      <c r="E525"/>
      <c r="F525"/>
      <c r="G525"/>
      <c r="H525"/>
      <c r="I525"/>
      <c r="J525"/>
    </row>
    <row r="526" spans="2:10" ht="20.25" customHeight="1" x14ac:dyDescent="0.25">
      <c r="B526"/>
      <c r="E526"/>
      <c r="F526"/>
      <c r="G526"/>
      <c r="H526"/>
      <c r="I526"/>
      <c r="J526"/>
    </row>
    <row r="527" spans="2:10" ht="20.25" customHeight="1" x14ac:dyDescent="0.25">
      <c r="B527"/>
      <c r="E527"/>
      <c r="F527"/>
      <c r="G527"/>
      <c r="H527"/>
      <c r="I527"/>
      <c r="J527"/>
    </row>
    <row r="528" spans="2:10" ht="20.25" customHeight="1" x14ac:dyDescent="0.25">
      <c r="B528"/>
      <c r="E528"/>
      <c r="F528"/>
      <c r="G528"/>
      <c r="H528"/>
      <c r="I528"/>
      <c r="J528"/>
    </row>
    <row r="529" spans="2:10" ht="20.25" customHeight="1" x14ac:dyDescent="0.25">
      <c r="B529"/>
      <c r="E529"/>
      <c r="F529"/>
      <c r="G529"/>
      <c r="H529"/>
      <c r="I529"/>
      <c r="J529"/>
    </row>
    <row r="530" spans="2:10" ht="20.25" customHeight="1" x14ac:dyDescent="0.25">
      <c r="B530"/>
      <c r="E530"/>
      <c r="F530"/>
      <c r="G530"/>
      <c r="H530"/>
      <c r="I530"/>
      <c r="J530"/>
    </row>
    <row r="531" spans="2:10" ht="20.25" customHeight="1" x14ac:dyDescent="0.25">
      <c r="B531"/>
      <c r="E531"/>
      <c r="F531"/>
      <c r="G531"/>
      <c r="H531"/>
      <c r="I531"/>
      <c r="J531"/>
    </row>
    <row r="532" spans="2:10" ht="20.25" customHeight="1" x14ac:dyDescent="0.25">
      <c r="B532"/>
      <c r="E532"/>
      <c r="F532"/>
      <c r="G532"/>
      <c r="H532"/>
      <c r="I532"/>
      <c r="J532"/>
    </row>
    <row r="533" spans="2:10" ht="20.25" customHeight="1" x14ac:dyDescent="0.25">
      <c r="B533"/>
      <c r="E533"/>
      <c r="F533"/>
      <c r="G533"/>
      <c r="H533"/>
      <c r="I533"/>
      <c r="J533"/>
    </row>
    <row r="534" spans="2:10" x14ac:dyDescent="0.25">
      <c r="B534"/>
      <c r="E534"/>
      <c r="F534"/>
      <c r="G534"/>
      <c r="H534"/>
      <c r="I534"/>
      <c r="J534"/>
    </row>
  </sheetData>
  <autoFilter ref="M6:U100" xr:uid="{00000000-0009-0000-0000-000005000000}">
    <sortState xmlns:xlrd2="http://schemas.microsoft.com/office/spreadsheetml/2017/richdata2" ref="M7:U100">
      <sortCondition descending="1" ref="U6:U100"/>
    </sortState>
  </autoFilter>
  <pageMargins left="0.511811024" right="0.511811024" top="0.78740157499999996" bottom="0.78740157499999996" header="0.31496062000000002" footer="0.31496062000000002"/>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3">
    <tabColor rgb="FFFF0000"/>
  </sheetPr>
  <dimension ref="A2:M39"/>
  <sheetViews>
    <sheetView showGridLines="0" workbookViewId="0">
      <selection activeCell="B6" sqref="B6:F11"/>
    </sheetView>
  </sheetViews>
  <sheetFormatPr defaultRowHeight="15" x14ac:dyDescent="0.25"/>
  <cols>
    <col min="2" max="2" width="16.5703125" style="8" bestFit="1" customWidth="1"/>
    <col min="3" max="3" width="15.140625" customWidth="1"/>
    <col min="4" max="4" width="8.140625" style="5" customWidth="1"/>
    <col min="5" max="5" width="13.85546875" style="5" customWidth="1"/>
    <col min="6" max="7" width="5.5703125" customWidth="1"/>
    <col min="8" max="8" width="7.85546875" customWidth="1"/>
    <col min="9" max="9" width="23.42578125" customWidth="1"/>
    <col min="10" max="10" width="15.140625" customWidth="1"/>
    <col min="11" max="11" width="15.85546875" style="20" customWidth="1"/>
    <col min="12" max="12" width="17.5703125" customWidth="1"/>
    <col min="13" max="13" width="20.140625" customWidth="1"/>
  </cols>
  <sheetData>
    <row r="2" spans="1:13" x14ac:dyDescent="0.25">
      <c r="B2" s="52" t="s">
        <v>93</v>
      </c>
      <c r="C2" t="s">
        <v>68</v>
      </c>
    </row>
    <row r="3" spans="1:13" ht="15.75" x14ac:dyDescent="0.25">
      <c r="B3" s="52" t="s">
        <v>69</v>
      </c>
      <c r="C3" t="s">
        <v>62</v>
      </c>
      <c r="I3" s="103" t="s">
        <v>742</v>
      </c>
    </row>
    <row r="4" spans="1:13" ht="15.75" thickBot="1" x14ac:dyDescent="0.3"/>
    <row r="5" spans="1:13" s="9" customFormat="1" ht="45.75" thickBot="1" x14ac:dyDescent="0.3">
      <c r="B5"/>
      <c r="C5"/>
      <c r="D5"/>
      <c r="E5"/>
      <c r="F5"/>
      <c r="G5" s="23"/>
      <c r="H5"/>
      <c r="I5" s="65" t="s">
        <v>84</v>
      </c>
      <c r="J5" s="65" t="s">
        <v>845</v>
      </c>
      <c r="K5" s="65" t="s">
        <v>842</v>
      </c>
      <c r="L5" s="65" t="s">
        <v>843</v>
      </c>
      <c r="M5" s="65" t="s">
        <v>844</v>
      </c>
    </row>
    <row r="6" spans="1:13" ht="15.75" x14ac:dyDescent="0.25">
      <c r="B6"/>
      <c r="D6"/>
      <c r="E6"/>
      <c r="G6" s="25"/>
      <c r="I6" s="124" t="s">
        <v>11</v>
      </c>
      <c r="J6" s="125">
        <v>10</v>
      </c>
      <c r="K6" s="126">
        <v>0.13157894736842105</v>
      </c>
      <c r="L6" s="132">
        <v>59238416.520000003</v>
      </c>
      <c r="M6" s="127">
        <v>0.61347382918743054</v>
      </c>
    </row>
    <row r="7" spans="1:13" ht="15.75" x14ac:dyDescent="0.25">
      <c r="B7"/>
      <c r="D7"/>
      <c r="E7"/>
      <c r="G7" s="25"/>
      <c r="I7" s="124" t="s">
        <v>7</v>
      </c>
      <c r="J7" s="125">
        <v>20</v>
      </c>
      <c r="K7" s="126">
        <v>0.26315789473684209</v>
      </c>
      <c r="L7" s="132">
        <v>2721185.6999999997</v>
      </c>
      <c r="M7" s="127">
        <v>2.818063529340737E-2</v>
      </c>
    </row>
    <row r="8" spans="1:13" ht="15.75" x14ac:dyDescent="0.25">
      <c r="B8"/>
      <c r="D8"/>
      <c r="E8"/>
      <c r="G8" s="25"/>
      <c r="I8" s="124" t="s">
        <v>4</v>
      </c>
      <c r="J8" s="125">
        <v>22</v>
      </c>
      <c r="K8" s="126">
        <v>0.28947368421052633</v>
      </c>
      <c r="L8" s="132">
        <v>576638.61</v>
      </c>
      <c r="M8" s="128">
        <v>5.9716771128509784E-3</v>
      </c>
    </row>
    <row r="9" spans="1:13" ht="15.75" x14ac:dyDescent="0.25">
      <c r="B9"/>
      <c r="D9"/>
      <c r="E9"/>
      <c r="G9" s="25"/>
      <c r="I9" s="124" t="s">
        <v>5</v>
      </c>
      <c r="J9" s="125">
        <v>19</v>
      </c>
      <c r="K9" s="126">
        <v>0.25</v>
      </c>
      <c r="L9" s="132">
        <v>33986317.969999999</v>
      </c>
      <c r="M9" s="127">
        <v>0.35196276082089772</v>
      </c>
    </row>
    <row r="10" spans="1:13" ht="16.5" thickBot="1" x14ac:dyDescent="0.3">
      <c r="B10"/>
      <c r="D10"/>
      <c r="E10"/>
      <c r="G10" s="25"/>
      <c r="I10" s="124" t="s">
        <v>600</v>
      </c>
      <c r="J10" s="125">
        <v>5</v>
      </c>
      <c r="K10" s="126">
        <v>6.5789473684210523E-2</v>
      </c>
      <c r="L10" s="132">
        <v>39696.51</v>
      </c>
      <c r="M10" s="128">
        <v>4.110975854132626E-4</v>
      </c>
    </row>
    <row r="11" spans="1:13" ht="16.5" thickBot="1" x14ac:dyDescent="0.3">
      <c r="B11"/>
      <c r="D11"/>
      <c r="E11"/>
      <c r="I11" s="129" t="s">
        <v>57</v>
      </c>
      <c r="J11" s="130">
        <f>SUM(J6:J10)</f>
        <v>76</v>
      </c>
      <c r="K11" s="131">
        <f>SUM(K6:K10)</f>
        <v>1</v>
      </c>
      <c r="L11" s="133">
        <f>SUM(L6:L10)</f>
        <v>96562255.310000017</v>
      </c>
      <c r="M11" s="131">
        <f>SUM(M6:M10)</f>
        <v>0.99999999999999989</v>
      </c>
    </row>
    <row r="12" spans="1:13" x14ac:dyDescent="0.25">
      <c r="B12"/>
      <c r="D12"/>
      <c r="E12"/>
      <c r="K12"/>
    </row>
    <row r="13" spans="1:13" x14ac:dyDescent="0.25">
      <c r="B13"/>
      <c r="D13"/>
      <c r="E13"/>
      <c r="K13"/>
    </row>
    <row r="14" spans="1:13" x14ac:dyDescent="0.25">
      <c r="A14" s="8"/>
      <c r="K14"/>
    </row>
    <row r="15" spans="1:13" x14ac:dyDescent="0.25">
      <c r="K15"/>
    </row>
    <row r="16" spans="1:13" x14ac:dyDescent="0.25">
      <c r="K16"/>
    </row>
    <row r="17" spans="2:11" x14ac:dyDescent="0.25">
      <c r="K17"/>
    </row>
    <row r="18" spans="2:11" x14ac:dyDescent="0.25">
      <c r="K18"/>
    </row>
    <row r="19" spans="2:11" x14ac:dyDescent="0.25">
      <c r="K19"/>
    </row>
    <row r="20" spans="2:11" x14ac:dyDescent="0.25">
      <c r="K20"/>
    </row>
    <row r="21" spans="2:11" x14ac:dyDescent="0.25">
      <c r="K21"/>
    </row>
    <row r="22" spans="2:11" x14ac:dyDescent="0.25">
      <c r="K22"/>
    </row>
    <row r="23" spans="2:11" x14ac:dyDescent="0.25">
      <c r="K23"/>
    </row>
    <row r="24" spans="2:11" x14ac:dyDescent="0.25">
      <c r="B24"/>
      <c r="K24"/>
    </row>
    <row r="25" spans="2:11" x14ac:dyDescent="0.25">
      <c r="B25"/>
      <c r="K25"/>
    </row>
    <row r="26" spans="2:11" x14ac:dyDescent="0.25">
      <c r="B26"/>
      <c r="K26"/>
    </row>
    <row r="27" spans="2:11" x14ac:dyDescent="0.25">
      <c r="K27"/>
    </row>
    <row r="28" spans="2:11" x14ac:dyDescent="0.25">
      <c r="K28"/>
    </row>
    <row r="29" spans="2:11" x14ac:dyDescent="0.25">
      <c r="K29"/>
    </row>
    <row r="30" spans="2:11" x14ac:dyDescent="0.25">
      <c r="K30"/>
    </row>
    <row r="34" spans="2:5" x14ac:dyDescent="0.25">
      <c r="B34" s="24" t="s">
        <v>59</v>
      </c>
    </row>
    <row r="35" spans="2:5" ht="15.75" thickBot="1" x14ac:dyDescent="0.3">
      <c r="B35" s="40" t="s">
        <v>66</v>
      </c>
    </row>
    <row r="36" spans="2:5" ht="60" x14ac:dyDescent="0.25">
      <c r="B36" s="38" t="s">
        <v>2</v>
      </c>
      <c r="C36" s="38" t="s">
        <v>61</v>
      </c>
      <c r="D36" s="38" t="s">
        <v>58</v>
      </c>
      <c r="E36" s="38" t="s">
        <v>60</v>
      </c>
    </row>
    <row r="37" spans="2:5" x14ac:dyDescent="0.25">
      <c r="B37" s="55"/>
      <c r="C37" s="63"/>
      <c r="D37" s="56"/>
      <c r="E37" s="64"/>
    </row>
    <row r="38" spans="2:5" ht="15.75" thickBot="1" x14ac:dyDescent="0.3">
      <c r="B38" s="55"/>
      <c r="C38" s="63"/>
      <c r="D38" s="56"/>
      <c r="E38" s="64"/>
    </row>
    <row r="39" spans="2:5" x14ac:dyDescent="0.25">
      <c r="B39" s="37" t="s">
        <v>57</v>
      </c>
      <c r="C39" s="38">
        <f>SUM(C37:C38)</f>
        <v>0</v>
      </c>
      <c r="D39" s="57">
        <f>SUM(D37:D38)</f>
        <v>0</v>
      </c>
      <c r="E39" s="39">
        <f>SUM(E37:E38)</f>
        <v>0</v>
      </c>
    </row>
  </sheetData>
  <pageMargins left="0.511811024" right="0.511811024" top="0.78740157499999996" bottom="0.78740157499999996" header="0.31496062000000002" footer="0.31496062000000002"/>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N86"/>
  <sheetViews>
    <sheetView showGridLines="0" workbookViewId="0">
      <selection activeCell="H18" sqref="A12:H18"/>
    </sheetView>
  </sheetViews>
  <sheetFormatPr defaultRowHeight="15" x14ac:dyDescent="0.25"/>
  <cols>
    <col min="1" max="2" width="21" customWidth="1"/>
    <col min="3" max="3" width="31.140625" style="26" customWidth="1"/>
    <col min="4" max="4" width="74.85546875" style="26" customWidth="1"/>
    <col min="5" max="5" width="18" style="5" customWidth="1"/>
    <col min="6" max="6" width="18" style="26" customWidth="1"/>
    <col min="7" max="7" width="14.28515625" style="5" bestFit="1" customWidth="1"/>
    <col min="8" max="8" width="19.85546875" customWidth="1"/>
    <col min="9" max="9" width="32.5703125" customWidth="1"/>
    <col min="10" max="10" width="50.28515625" customWidth="1"/>
    <col min="11" max="11" width="17.85546875" customWidth="1"/>
    <col min="12" max="13" width="11" customWidth="1"/>
    <col min="14" max="14" width="13.28515625" customWidth="1"/>
  </cols>
  <sheetData>
    <row r="1" spans="1:14" x14ac:dyDescent="0.25">
      <c r="A1" s="52" t="s">
        <v>8</v>
      </c>
      <c r="B1" t="s">
        <v>68</v>
      </c>
    </row>
    <row r="2" spans="1:14" x14ac:dyDescent="0.25">
      <c r="A2" s="52" t="s">
        <v>86</v>
      </c>
      <c r="B2" t="s">
        <v>68</v>
      </c>
    </row>
    <row r="3" spans="1:14" ht="15.75" thickBot="1" x14ac:dyDescent="0.3"/>
    <row r="4" spans="1:14" ht="45.75" thickBot="1" x14ac:dyDescent="0.3">
      <c r="A4" s="22" t="s">
        <v>0</v>
      </c>
      <c r="B4" s="22" t="s">
        <v>2</v>
      </c>
      <c r="C4" s="22" t="s">
        <v>6</v>
      </c>
      <c r="D4" s="22" t="s">
        <v>1</v>
      </c>
      <c r="E4" s="22" t="s">
        <v>70</v>
      </c>
      <c r="F4" s="22" t="s">
        <v>24</v>
      </c>
      <c r="G4" s="22" t="s">
        <v>38</v>
      </c>
      <c r="I4" s="65" t="s">
        <v>6</v>
      </c>
      <c r="J4" s="65" t="s">
        <v>1</v>
      </c>
      <c r="K4" s="65" t="s">
        <v>2</v>
      </c>
      <c r="L4" s="65" t="s">
        <v>743</v>
      </c>
      <c r="M4" s="65" t="s">
        <v>24</v>
      </c>
      <c r="N4" s="65" t="s">
        <v>38</v>
      </c>
    </row>
    <row r="5" spans="1:14" s="40" customFormat="1" ht="35.25" customHeight="1" x14ac:dyDescent="0.25">
      <c r="A5" s="88" t="s">
        <v>98</v>
      </c>
      <c r="B5" t="s">
        <v>5</v>
      </c>
      <c r="C5" t="s">
        <v>107</v>
      </c>
      <c r="D5" t="s">
        <v>106</v>
      </c>
      <c r="E5" t="s">
        <v>104</v>
      </c>
      <c r="F5" t="s">
        <v>105</v>
      </c>
      <c r="G5">
        <v>305784.8</v>
      </c>
      <c r="H5"/>
      <c r="I5" s="107" t="s">
        <v>757</v>
      </c>
      <c r="J5" s="107" t="s">
        <v>749</v>
      </c>
      <c r="K5" s="106" t="s">
        <v>5</v>
      </c>
      <c r="L5" s="112">
        <v>45506</v>
      </c>
      <c r="M5" s="112">
        <v>45871</v>
      </c>
      <c r="N5" s="108">
        <v>10737425</v>
      </c>
    </row>
    <row r="6" spans="1:14" s="40" customFormat="1" ht="23.25" customHeight="1" x14ac:dyDescent="0.25">
      <c r="A6" s="88" t="s">
        <v>201</v>
      </c>
      <c r="B6" t="s">
        <v>7</v>
      </c>
      <c r="C6" t="s">
        <v>207</v>
      </c>
      <c r="D6" t="s">
        <v>206</v>
      </c>
      <c r="E6" s="76">
        <v>45386</v>
      </c>
      <c r="F6" s="76">
        <v>46847</v>
      </c>
      <c r="G6">
        <v>17570</v>
      </c>
      <c r="H6"/>
      <c r="I6" s="110" t="s">
        <v>756</v>
      </c>
      <c r="J6" s="110" t="s">
        <v>750</v>
      </c>
      <c r="K6" s="109" t="s">
        <v>5</v>
      </c>
      <c r="L6" s="113">
        <v>45580</v>
      </c>
      <c r="M6" s="113">
        <v>47406</v>
      </c>
      <c r="N6" s="111">
        <v>7915896</v>
      </c>
    </row>
    <row r="7" spans="1:14" s="40" customFormat="1" ht="31.5" customHeight="1" x14ac:dyDescent="0.25">
      <c r="A7" s="88" t="s">
        <v>147</v>
      </c>
      <c r="B7" t="s">
        <v>5</v>
      </c>
      <c r="C7" s="87" t="s">
        <v>141</v>
      </c>
      <c r="D7" s="87" t="s">
        <v>144</v>
      </c>
      <c r="E7" s="5" t="s">
        <v>126</v>
      </c>
      <c r="F7" s="5" t="s">
        <v>127</v>
      </c>
      <c r="G7" s="105">
        <v>1484943</v>
      </c>
      <c r="H7"/>
      <c r="I7" s="110" t="s">
        <v>758</v>
      </c>
      <c r="J7" s="110" t="s">
        <v>755</v>
      </c>
      <c r="K7" s="109" t="s">
        <v>5</v>
      </c>
      <c r="L7" s="113" t="s">
        <v>259</v>
      </c>
      <c r="M7" s="113" t="s">
        <v>260</v>
      </c>
      <c r="N7" s="111">
        <v>6623405.9699999997</v>
      </c>
    </row>
    <row r="8" spans="1:14" s="40" customFormat="1" ht="34.5" customHeight="1" x14ac:dyDescent="0.25">
      <c r="A8" s="88" t="s">
        <v>211</v>
      </c>
      <c r="B8" t="s">
        <v>7</v>
      </c>
      <c r="C8" t="s">
        <v>216</v>
      </c>
      <c r="D8" t="s">
        <v>215</v>
      </c>
      <c r="E8" s="76">
        <v>45394</v>
      </c>
      <c r="F8" t="s">
        <v>617</v>
      </c>
      <c r="G8">
        <v>49600</v>
      </c>
      <c r="H8"/>
      <c r="I8" s="110" t="s">
        <v>758</v>
      </c>
      <c r="J8" s="110" t="s">
        <v>759</v>
      </c>
      <c r="K8" s="109" t="s">
        <v>5</v>
      </c>
      <c r="L8" s="113" t="s">
        <v>259</v>
      </c>
      <c r="M8" s="113" t="s">
        <v>260</v>
      </c>
      <c r="N8" s="111">
        <v>2070821.3</v>
      </c>
    </row>
    <row r="9" spans="1:14" s="40" customFormat="1" ht="24" customHeight="1" x14ac:dyDescent="0.25">
      <c r="A9" s="5" t="s">
        <v>125</v>
      </c>
      <c r="B9" t="s">
        <v>11</v>
      </c>
      <c r="C9" t="s">
        <v>751</v>
      </c>
      <c r="D9" t="s">
        <v>752</v>
      </c>
      <c r="E9" t="s">
        <v>126</v>
      </c>
      <c r="F9" t="s">
        <v>127</v>
      </c>
      <c r="G9">
        <v>0</v>
      </c>
      <c r="H9"/>
      <c r="I9" s="110" t="s">
        <v>538</v>
      </c>
      <c r="J9" s="110" t="s">
        <v>747</v>
      </c>
      <c r="K9" s="109" t="s">
        <v>7</v>
      </c>
      <c r="L9" s="113">
        <v>45474</v>
      </c>
      <c r="M9" s="113">
        <v>47300</v>
      </c>
      <c r="N9" s="111">
        <v>1569746.4</v>
      </c>
    </row>
    <row r="10" spans="1:14" s="40" customFormat="1" ht="34.5" customHeight="1" x14ac:dyDescent="0.25">
      <c r="A10" s="88" t="s">
        <v>117</v>
      </c>
      <c r="B10" t="s">
        <v>4</v>
      </c>
      <c r="C10" t="s">
        <v>123</v>
      </c>
      <c r="D10" t="s">
        <v>122</v>
      </c>
      <c r="E10" t="s">
        <v>112</v>
      </c>
      <c r="F10" t="s">
        <v>121</v>
      </c>
      <c r="G10">
        <v>77000</v>
      </c>
      <c r="H10"/>
      <c r="I10" s="110" t="s">
        <v>141</v>
      </c>
      <c r="J10" s="110" t="s">
        <v>744</v>
      </c>
      <c r="K10" s="109" t="s">
        <v>5</v>
      </c>
      <c r="L10" s="113" t="s">
        <v>126</v>
      </c>
      <c r="M10" s="113" t="s">
        <v>127</v>
      </c>
      <c r="N10" s="111">
        <v>1484943</v>
      </c>
    </row>
    <row r="11" spans="1:14" s="40" customFormat="1" ht="38.25" customHeight="1" x14ac:dyDescent="0.25">
      <c r="A11" s="88" t="s">
        <v>109</v>
      </c>
      <c r="B11" t="s">
        <v>11</v>
      </c>
      <c r="C11" t="s">
        <v>115</v>
      </c>
      <c r="D11" t="s">
        <v>114</v>
      </c>
      <c r="E11" t="s">
        <v>112</v>
      </c>
      <c r="F11" t="s">
        <v>113</v>
      </c>
      <c r="G11">
        <v>235335.8</v>
      </c>
      <c r="H11"/>
      <c r="I11" s="110" t="s">
        <v>657</v>
      </c>
      <c r="J11" s="110" t="s">
        <v>748</v>
      </c>
      <c r="K11" s="109" t="s">
        <v>5</v>
      </c>
      <c r="L11" s="113">
        <v>45471</v>
      </c>
      <c r="M11" s="113">
        <v>45836</v>
      </c>
      <c r="N11" s="111">
        <v>1436434.17</v>
      </c>
    </row>
    <row r="12" spans="1:14" s="40" customFormat="1" ht="25.5" customHeight="1" x14ac:dyDescent="0.25">
      <c r="A12" s="88" t="s">
        <v>161</v>
      </c>
      <c r="B12" t="s">
        <v>600</v>
      </c>
      <c r="C12" t="s">
        <v>169</v>
      </c>
      <c r="D12" t="s">
        <v>166</v>
      </c>
      <c r="E12" s="76">
        <v>45345</v>
      </c>
      <c r="F12" t="s">
        <v>617</v>
      </c>
      <c r="G12">
        <v>4838.95</v>
      </c>
      <c r="H12"/>
      <c r="I12" s="110" t="s">
        <v>359</v>
      </c>
      <c r="J12" s="110" t="s">
        <v>760</v>
      </c>
      <c r="K12" s="109" t="s">
        <v>7</v>
      </c>
      <c r="L12" s="113">
        <v>45446</v>
      </c>
      <c r="M12" s="113">
        <v>46084</v>
      </c>
      <c r="N12" s="111">
        <v>830337.15</v>
      </c>
    </row>
    <row r="13" spans="1:14" s="40" customFormat="1" ht="33.75" customHeight="1" x14ac:dyDescent="0.25">
      <c r="A13" s="88" t="s">
        <v>161</v>
      </c>
      <c r="B13"/>
      <c r="C13" t="s">
        <v>167</v>
      </c>
      <c r="D13" t="s">
        <v>165</v>
      </c>
      <c r="E13" s="76">
        <v>45397</v>
      </c>
      <c r="F13" t="s">
        <v>617</v>
      </c>
      <c r="G13">
        <v>10495</v>
      </c>
      <c r="H13"/>
      <c r="I13" s="110" t="s">
        <v>761</v>
      </c>
      <c r="J13" s="110" t="s">
        <v>746</v>
      </c>
      <c r="K13" s="109" t="s">
        <v>5</v>
      </c>
      <c r="L13" s="113">
        <v>45468</v>
      </c>
      <c r="M13" s="113">
        <v>47295</v>
      </c>
      <c r="N13" s="111">
        <v>706981.67</v>
      </c>
    </row>
    <row r="14" spans="1:14" s="40" customFormat="1" ht="18.75" customHeight="1" thickBot="1" x14ac:dyDescent="0.3">
      <c r="A14" s="88" t="s">
        <v>218</v>
      </c>
      <c r="B14" t="s">
        <v>7</v>
      </c>
      <c r="C14" t="s">
        <v>224</v>
      </c>
      <c r="D14" t="s">
        <v>223</v>
      </c>
      <c r="E14" s="76">
        <v>45394</v>
      </c>
      <c r="F14" t="s">
        <v>617</v>
      </c>
      <c r="G14">
        <v>9396.5300000000007</v>
      </c>
      <c r="H14"/>
      <c r="I14" s="110" t="s">
        <v>307</v>
      </c>
      <c r="J14" s="110" t="s">
        <v>745</v>
      </c>
      <c r="K14" s="109" t="s">
        <v>5</v>
      </c>
      <c r="L14" s="113">
        <v>45411</v>
      </c>
      <c r="M14" s="113">
        <v>47237</v>
      </c>
      <c r="N14" s="111">
        <v>648824.4</v>
      </c>
    </row>
    <row r="15" spans="1:14" s="40" customFormat="1" ht="15.75" thickBot="1" x14ac:dyDescent="0.3">
      <c r="A15" s="88" t="s">
        <v>218</v>
      </c>
      <c r="B15"/>
      <c r="C15" t="s">
        <v>227</v>
      </c>
      <c r="D15" t="s">
        <v>223</v>
      </c>
      <c r="E15" s="76">
        <v>45394</v>
      </c>
      <c r="F15" t="s">
        <v>617</v>
      </c>
      <c r="G15">
        <v>2320</v>
      </c>
      <c r="H15"/>
      <c r="I15" s="65" t="s">
        <v>57</v>
      </c>
      <c r="J15" s="65"/>
      <c r="K15" s="65"/>
      <c r="L15" s="65"/>
      <c r="M15" s="65"/>
      <c r="N15" s="66">
        <f>SUM(N5:N14)</f>
        <v>34024815.059999995</v>
      </c>
    </row>
    <row r="16" spans="1:14" s="40" customFormat="1" x14ac:dyDescent="0.25">
      <c r="A16" s="5" t="s">
        <v>132</v>
      </c>
      <c r="B16" t="s">
        <v>4</v>
      </c>
      <c r="C16" t="s">
        <v>138</v>
      </c>
      <c r="D16" t="s">
        <v>137</v>
      </c>
      <c r="E16" t="s">
        <v>135</v>
      </c>
      <c r="F16" t="s">
        <v>136</v>
      </c>
      <c r="G16">
        <v>2897.31</v>
      </c>
      <c r="H16"/>
      <c r="K16"/>
    </row>
    <row r="17" spans="1:11" s="40" customFormat="1" x14ac:dyDescent="0.25">
      <c r="A17" s="88" t="s">
        <v>178</v>
      </c>
      <c r="B17" t="s">
        <v>7</v>
      </c>
      <c r="C17" t="s">
        <v>183</v>
      </c>
      <c r="D17" t="s">
        <v>182</v>
      </c>
      <c r="E17" s="76">
        <v>45356</v>
      </c>
      <c r="F17" t="s">
        <v>617</v>
      </c>
      <c r="G17">
        <v>42000.3</v>
      </c>
      <c r="H17"/>
      <c r="K17"/>
    </row>
    <row r="18" spans="1:11" s="40" customFormat="1" x14ac:dyDescent="0.25">
      <c r="A18" s="88" t="s">
        <v>171</v>
      </c>
      <c r="B18" t="s">
        <v>4</v>
      </c>
      <c r="C18" t="s">
        <v>176</v>
      </c>
      <c r="D18" t="s">
        <v>175</v>
      </c>
      <c r="E18" s="76">
        <v>45345</v>
      </c>
      <c r="F18" t="s">
        <v>617</v>
      </c>
      <c r="G18">
        <v>22586.6</v>
      </c>
      <c r="H18"/>
    </row>
    <row r="19" spans="1:11" s="40" customFormat="1" x14ac:dyDescent="0.25">
      <c r="A19" s="5" t="s">
        <v>194</v>
      </c>
      <c r="B19" t="s">
        <v>7</v>
      </c>
      <c r="C19" t="s">
        <v>195</v>
      </c>
      <c r="D19" t="s">
        <v>199</v>
      </c>
      <c r="E19" t="s">
        <v>253</v>
      </c>
      <c r="F19" t="s">
        <v>618</v>
      </c>
      <c r="G19">
        <v>0</v>
      </c>
      <c r="H19"/>
      <c r="K19"/>
    </row>
    <row r="20" spans="1:11" s="40" customFormat="1" x14ac:dyDescent="0.25">
      <c r="A20" s="5" t="s">
        <v>190</v>
      </c>
      <c r="B20" t="s">
        <v>7</v>
      </c>
      <c r="C20" t="s">
        <v>195</v>
      </c>
      <c r="D20" t="s">
        <v>199</v>
      </c>
      <c r="E20" s="76">
        <v>45383</v>
      </c>
      <c r="F20" t="s">
        <v>618</v>
      </c>
      <c r="G20">
        <v>0</v>
      </c>
      <c r="H20"/>
    </row>
    <row r="21" spans="1:11" s="40" customFormat="1" x14ac:dyDescent="0.25">
      <c r="A21" s="88" t="s">
        <v>237</v>
      </c>
      <c r="B21" t="s">
        <v>4</v>
      </c>
      <c r="C21" t="s">
        <v>242</v>
      </c>
      <c r="D21" t="s">
        <v>241</v>
      </c>
      <c r="E21" t="s">
        <v>619</v>
      </c>
      <c r="F21" t="s">
        <v>617</v>
      </c>
      <c r="G21">
        <v>6927.9</v>
      </c>
      <c r="H21"/>
      <c r="K21"/>
    </row>
    <row r="22" spans="1:11" s="40" customFormat="1" x14ac:dyDescent="0.25">
      <c r="A22" s="88" t="s">
        <v>151</v>
      </c>
      <c r="B22" t="s">
        <v>4</v>
      </c>
      <c r="C22" t="s">
        <v>159</v>
      </c>
      <c r="D22" t="s">
        <v>158</v>
      </c>
      <c r="E22" t="s">
        <v>616</v>
      </c>
      <c r="F22" t="s">
        <v>617</v>
      </c>
      <c r="G22">
        <v>32500</v>
      </c>
      <c r="H22"/>
      <c r="K22"/>
    </row>
    <row r="23" spans="1:11" s="40" customFormat="1" x14ac:dyDescent="0.25">
      <c r="A23" s="88" t="s">
        <v>345</v>
      </c>
      <c r="B23" t="s">
        <v>7</v>
      </c>
      <c r="C23" t="s">
        <v>351</v>
      </c>
      <c r="D23" t="s">
        <v>350</v>
      </c>
      <c r="E23" s="76">
        <v>45441</v>
      </c>
      <c r="F23" s="76">
        <v>47267</v>
      </c>
      <c r="G23">
        <v>11070</v>
      </c>
      <c r="H23"/>
      <c r="K23"/>
    </row>
    <row r="24" spans="1:11" s="40" customFormat="1" x14ac:dyDescent="0.25">
      <c r="A24" s="88" t="s">
        <v>229</v>
      </c>
      <c r="B24" t="s">
        <v>4</v>
      </c>
      <c r="C24" t="s">
        <v>235</v>
      </c>
      <c r="D24" t="s">
        <v>234</v>
      </c>
      <c r="E24" t="s">
        <v>619</v>
      </c>
      <c r="F24" t="s">
        <v>617</v>
      </c>
      <c r="G24">
        <v>11670</v>
      </c>
      <c r="H24"/>
      <c r="K24"/>
    </row>
    <row r="25" spans="1:11" s="40" customFormat="1" x14ac:dyDescent="0.25">
      <c r="A25" s="88" t="s">
        <v>244</v>
      </c>
      <c r="B25" t="s">
        <v>4</v>
      </c>
      <c r="C25" t="s">
        <v>249</v>
      </c>
      <c r="D25" t="s">
        <v>248</v>
      </c>
      <c r="E25" s="76">
        <v>45390</v>
      </c>
      <c r="F25" t="s">
        <v>617</v>
      </c>
      <c r="G25">
        <v>1744</v>
      </c>
      <c r="H25"/>
      <c r="K25"/>
    </row>
    <row r="26" spans="1:11" s="40" customFormat="1" x14ac:dyDescent="0.25">
      <c r="A26" s="5" t="s">
        <v>56</v>
      </c>
      <c r="B26" t="s">
        <v>56</v>
      </c>
      <c r="C26" t="s">
        <v>56</v>
      </c>
      <c r="D26" t="s">
        <v>56</v>
      </c>
      <c r="E26" t="s">
        <v>56</v>
      </c>
      <c r="F26" t="s">
        <v>56</v>
      </c>
      <c r="G26" t="s">
        <v>56</v>
      </c>
      <c r="H26"/>
      <c r="K26"/>
    </row>
    <row r="27" spans="1:11" s="40" customFormat="1" ht="90" x14ac:dyDescent="0.25">
      <c r="A27" s="88" t="s">
        <v>265</v>
      </c>
      <c r="B27" t="s">
        <v>5</v>
      </c>
      <c r="C27" s="87" t="s">
        <v>262</v>
      </c>
      <c r="D27" s="87" t="s">
        <v>264</v>
      </c>
      <c r="E27" s="5" t="s">
        <v>259</v>
      </c>
      <c r="F27" s="5" t="s">
        <v>260</v>
      </c>
      <c r="G27" s="105">
        <v>2070821.3</v>
      </c>
      <c r="H27"/>
      <c r="K27"/>
    </row>
    <row r="28" spans="1:11" s="40" customFormat="1" ht="90" x14ac:dyDescent="0.25">
      <c r="A28" s="88" t="s">
        <v>254</v>
      </c>
      <c r="B28" t="s">
        <v>5</v>
      </c>
      <c r="C28" t="s">
        <v>262</v>
      </c>
      <c r="D28" s="87" t="s">
        <v>261</v>
      </c>
      <c r="E28" t="s">
        <v>259</v>
      </c>
      <c r="F28" t="s">
        <v>260</v>
      </c>
      <c r="G28" s="105">
        <v>6623405.9699999997</v>
      </c>
      <c r="H28"/>
      <c r="K28"/>
    </row>
    <row r="29" spans="1:11" s="40" customFormat="1" x14ac:dyDescent="0.25">
      <c r="A29" s="88" t="s">
        <v>276</v>
      </c>
      <c r="B29" t="s">
        <v>5</v>
      </c>
      <c r="C29" t="s">
        <v>282</v>
      </c>
      <c r="D29" t="s">
        <v>281</v>
      </c>
      <c r="E29" s="76">
        <v>45357</v>
      </c>
      <c r="F29" s="76">
        <v>45722</v>
      </c>
      <c r="G29">
        <v>52800</v>
      </c>
      <c r="H29"/>
      <c r="K29"/>
    </row>
    <row r="30" spans="1:11" s="40" customFormat="1" x14ac:dyDescent="0.25">
      <c r="A30" s="88" t="s">
        <v>284</v>
      </c>
      <c r="B30" t="s">
        <v>5</v>
      </c>
      <c r="C30" t="s">
        <v>292</v>
      </c>
      <c r="D30" t="s">
        <v>291</v>
      </c>
      <c r="E30" t="s">
        <v>289</v>
      </c>
      <c r="F30" t="s">
        <v>290</v>
      </c>
      <c r="G30">
        <v>81173</v>
      </c>
      <c r="H30"/>
      <c r="K30"/>
    </row>
    <row r="31" spans="1:11" s="40" customFormat="1" x14ac:dyDescent="0.25">
      <c r="A31" s="88" t="s">
        <v>294</v>
      </c>
      <c r="B31" t="s">
        <v>7</v>
      </c>
      <c r="C31" t="s">
        <v>300</v>
      </c>
      <c r="D31" t="s">
        <v>299</v>
      </c>
      <c r="E31" s="76">
        <v>45406</v>
      </c>
      <c r="F31" s="76">
        <v>45771</v>
      </c>
      <c r="G31">
        <v>110810</v>
      </c>
      <c r="H31"/>
      <c r="K31"/>
    </row>
    <row r="32" spans="1:11" s="40" customFormat="1" ht="30" x14ac:dyDescent="0.25">
      <c r="A32" s="88" t="s">
        <v>302</v>
      </c>
      <c r="B32" t="s">
        <v>5</v>
      </c>
      <c r="C32" s="87" t="s">
        <v>307</v>
      </c>
      <c r="D32" s="87" t="s">
        <v>306</v>
      </c>
      <c r="E32" s="90">
        <v>45411</v>
      </c>
      <c r="F32" s="90">
        <v>47237</v>
      </c>
      <c r="G32" s="105">
        <v>648824.4</v>
      </c>
      <c r="H32"/>
      <c r="K32"/>
    </row>
    <row r="33" spans="1:14" s="40" customFormat="1" x14ac:dyDescent="0.25">
      <c r="A33" s="88" t="s">
        <v>309</v>
      </c>
      <c r="B33" t="s">
        <v>5</v>
      </c>
      <c r="C33" t="s">
        <v>315</v>
      </c>
      <c r="D33" t="s">
        <v>314</v>
      </c>
      <c r="E33" s="76">
        <v>45415</v>
      </c>
      <c r="F33" s="76">
        <v>47241</v>
      </c>
      <c r="G33">
        <v>414750</v>
      </c>
      <c r="H33"/>
      <c r="K33"/>
    </row>
    <row r="34" spans="1:14" s="40" customFormat="1" x14ac:dyDescent="0.25">
      <c r="A34" s="5" t="s">
        <v>317</v>
      </c>
      <c r="B34" t="s">
        <v>7</v>
      </c>
      <c r="C34" t="s">
        <v>323</v>
      </c>
      <c r="D34" t="s">
        <v>322</v>
      </c>
      <c r="E34" s="76">
        <v>45407</v>
      </c>
      <c r="F34" s="76">
        <v>45657</v>
      </c>
      <c r="G34">
        <v>23400</v>
      </c>
      <c r="H34"/>
      <c r="K34"/>
    </row>
    <row r="35" spans="1:14" s="40" customFormat="1" x14ac:dyDescent="0.25">
      <c r="A35" s="5" t="s">
        <v>317</v>
      </c>
      <c r="B35"/>
      <c r="C35"/>
      <c r="D35"/>
      <c r="E35"/>
      <c r="F35" s="76">
        <v>45657</v>
      </c>
      <c r="G35">
        <v>1200</v>
      </c>
      <c r="H35"/>
      <c r="K35"/>
    </row>
    <row r="36" spans="1:14" s="40" customFormat="1" x14ac:dyDescent="0.25">
      <c r="A36" s="88" t="s">
        <v>328</v>
      </c>
      <c r="B36" t="s">
        <v>4</v>
      </c>
      <c r="C36" t="s">
        <v>334</v>
      </c>
      <c r="D36" t="s">
        <v>333</v>
      </c>
      <c r="E36" s="76">
        <v>45421</v>
      </c>
      <c r="F36" s="76">
        <v>45786</v>
      </c>
      <c r="G36">
        <v>1300</v>
      </c>
      <c r="H36"/>
      <c r="K36"/>
    </row>
    <row r="37" spans="1:14" s="40" customFormat="1" x14ac:dyDescent="0.25">
      <c r="A37" s="88" t="s">
        <v>340</v>
      </c>
      <c r="B37" t="s">
        <v>5</v>
      </c>
      <c r="C37" t="s">
        <v>338</v>
      </c>
      <c r="D37" t="s">
        <v>337</v>
      </c>
      <c r="E37" s="76">
        <v>45439</v>
      </c>
      <c r="F37" s="76">
        <v>46230</v>
      </c>
      <c r="G37">
        <v>74999.86</v>
      </c>
      <c r="H37"/>
      <c r="K37"/>
    </row>
    <row r="38" spans="1:14" s="40" customFormat="1" ht="45" x14ac:dyDescent="0.25">
      <c r="A38" s="88" t="s">
        <v>353</v>
      </c>
      <c r="B38" t="s">
        <v>7</v>
      </c>
      <c r="C38" s="87" t="s">
        <v>359</v>
      </c>
      <c r="D38" s="87" t="s">
        <v>358</v>
      </c>
      <c r="E38" s="90">
        <v>45446</v>
      </c>
      <c r="F38" s="90">
        <v>46084</v>
      </c>
      <c r="G38" s="105">
        <v>830337.15</v>
      </c>
      <c r="H38"/>
      <c r="K38"/>
    </row>
    <row r="39" spans="1:14" s="40" customFormat="1" x14ac:dyDescent="0.25">
      <c r="A39" s="88" t="s">
        <v>361</v>
      </c>
      <c r="B39" t="s">
        <v>5</v>
      </c>
      <c r="C39" t="s">
        <v>364</v>
      </c>
      <c r="D39" t="s">
        <v>363</v>
      </c>
      <c r="E39" s="76">
        <v>45427</v>
      </c>
      <c r="F39" s="76">
        <v>45792</v>
      </c>
      <c r="G39">
        <v>180000</v>
      </c>
      <c r="H39"/>
      <c r="K39"/>
    </row>
    <row r="40" spans="1:14" s="40" customFormat="1" x14ac:dyDescent="0.25">
      <c r="A40" s="5" t="s">
        <v>463</v>
      </c>
      <c r="B40" t="s">
        <v>4</v>
      </c>
      <c r="C40" t="s">
        <v>470</v>
      </c>
      <c r="D40" t="s">
        <v>469</v>
      </c>
      <c r="E40" s="76">
        <v>45454</v>
      </c>
      <c r="F40" s="76">
        <v>45819</v>
      </c>
      <c r="G40">
        <v>185800</v>
      </c>
      <c r="H40"/>
      <c r="K40"/>
    </row>
    <row r="41" spans="1:14" s="40" customFormat="1" ht="16.5" customHeight="1" x14ac:dyDescent="0.25">
      <c r="A41" s="88" t="s">
        <v>472</v>
      </c>
      <c r="B41" t="s">
        <v>4</v>
      </c>
      <c r="C41" t="s">
        <v>477</v>
      </c>
      <c r="D41" t="s">
        <v>476</v>
      </c>
      <c r="E41" s="76">
        <v>45463</v>
      </c>
      <c r="F41" s="76">
        <v>45657</v>
      </c>
      <c r="G41">
        <v>13477</v>
      </c>
      <c r="H41"/>
      <c r="K41"/>
    </row>
    <row r="42" spans="1:14" s="40" customFormat="1" x14ac:dyDescent="0.25">
      <c r="A42" s="88" t="s">
        <v>479</v>
      </c>
      <c r="B42" t="s">
        <v>11</v>
      </c>
      <c r="C42" t="s">
        <v>485</v>
      </c>
      <c r="D42" t="s">
        <v>483</v>
      </c>
      <c r="E42" s="76">
        <v>45467</v>
      </c>
      <c r="F42" s="76">
        <v>45560</v>
      </c>
      <c r="G42">
        <v>43372.28</v>
      </c>
      <c r="H42"/>
      <c r="K42"/>
    </row>
    <row r="43" spans="1:14" s="40" customFormat="1" ht="120" x14ac:dyDescent="0.25">
      <c r="A43" s="88" t="s">
        <v>480</v>
      </c>
      <c r="B43" t="s">
        <v>5</v>
      </c>
      <c r="C43" s="87" t="s">
        <v>489</v>
      </c>
      <c r="D43" s="87" t="s">
        <v>490</v>
      </c>
      <c r="E43" s="90">
        <v>45468</v>
      </c>
      <c r="F43" s="90">
        <v>47295</v>
      </c>
      <c r="G43" s="105">
        <v>706981.67</v>
      </c>
      <c r="H43"/>
      <c r="K43"/>
    </row>
    <row r="44" spans="1:14" s="40" customFormat="1" x14ac:dyDescent="0.25">
      <c r="A44" s="88" t="s">
        <v>491</v>
      </c>
      <c r="B44" t="s">
        <v>600</v>
      </c>
      <c r="C44" t="s">
        <v>499</v>
      </c>
      <c r="D44" t="s">
        <v>498</v>
      </c>
      <c r="E44" s="76">
        <v>45449</v>
      </c>
      <c r="F44" s="76">
        <v>45657</v>
      </c>
      <c r="G44">
        <v>11562.56</v>
      </c>
      <c r="H44"/>
      <c r="K44"/>
    </row>
    <row r="45" spans="1:14" s="40" customFormat="1" x14ac:dyDescent="0.25">
      <c r="A45" s="88" t="s">
        <v>491</v>
      </c>
      <c r="B45"/>
      <c r="C45" t="s">
        <v>502</v>
      </c>
      <c r="D45" t="s">
        <v>498</v>
      </c>
      <c r="E45" s="76">
        <v>45453</v>
      </c>
      <c r="F45" s="76">
        <v>45657</v>
      </c>
      <c r="G45">
        <v>650</v>
      </c>
      <c r="H45"/>
      <c r="K45"/>
    </row>
    <row r="46" spans="1:14" s="40" customFormat="1" x14ac:dyDescent="0.25">
      <c r="A46" s="88" t="s">
        <v>504</v>
      </c>
      <c r="B46" t="s">
        <v>4</v>
      </c>
      <c r="C46" t="s">
        <v>512</v>
      </c>
      <c r="D46" t="s">
        <v>511</v>
      </c>
      <c r="E46" s="76">
        <v>45407</v>
      </c>
      <c r="F46" s="76">
        <v>45657</v>
      </c>
      <c r="G46">
        <v>10500</v>
      </c>
      <c r="H46"/>
      <c r="K46"/>
    </row>
    <row r="47" spans="1:14" s="89" customFormat="1" x14ac:dyDescent="0.25">
      <c r="A47" s="88" t="s">
        <v>514</v>
      </c>
      <c r="B47" t="s">
        <v>4</v>
      </c>
      <c r="C47" t="s">
        <v>521</v>
      </c>
      <c r="D47" t="s">
        <v>520</v>
      </c>
      <c r="E47" s="76">
        <v>45414</v>
      </c>
      <c r="F47" s="76">
        <v>45657</v>
      </c>
      <c r="G47">
        <v>5300</v>
      </c>
      <c r="H47"/>
      <c r="I47" s="40"/>
      <c r="J47" s="40"/>
      <c r="K47"/>
      <c r="L47" s="40"/>
      <c r="M47" s="40"/>
      <c r="N47" s="40"/>
    </row>
    <row r="48" spans="1:14" s="89" customFormat="1" x14ac:dyDescent="0.25">
      <c r="A48" s="88" t="s">
        <v>523</v>
      </c>
      <c r="B48" t="s">
        <v>7</v>
      </c>
      <c r="C48" t="s">
        <v>531</v>
      </c>
      <c r="D48" t="s">
        <v>530</v>
      </c>
      <c r="E48" s="76">
        <v>45464</v>
      </c>
      <c r="F48" s="76">
        <v>45657</v>
      </c>
      <c r="G48">
        <v>14340.16</v>
      </c>
      <c r="H48"/>
      <c r="K48"/>
    </row>
    <row r="49" spans="1:14" s="91" customFormat="1" ht="60" x14ac:dyDescent="0.25">
      <c r="A49" s="88" t="s">
        <v>532</v>
      </c>
      <c r="B49" t="s">
        <v>7</v>
      </c>
      <c r="C49" s="87" t="s">
        <v>538</v>
      </c>
      <c r="D49" s="87" t="s">
        <v>533</v>
      </c>
      <c r="E49" s="90">
        <v>45474</v>
      </c>
      <c r="F49" s="90">
        <v>47300</v>
      </c>
      <c r="G49" s="105">
        <v>1569746.4</v>
      </c>
      <c r="H49"/>
      <c r="I49" s="89"/>
      <c r="J49" s="89"/>
      <c r="K49"/>
      <c r="L49" s="89"/>
      <c r="M49" s="89"/>
      <c r="N49" s="89"/>
    </row>
    <row r="50" spans="1:14" x14ac:dyDescent="0.25">
      <c r="A50" s="72" t="s">
        <v>549</v>
      </c>
      <c r="B50" t="s">
        <v>7</v>
      </c>
      <c r="C50" t="s">
        <v>556</v>
      </c>
      <c r="D50" t="s">
        <v>555</v>
      </c>
      <c r="E50" s="76">
        <v>45489</v>
      </c>
      <c r="F50" s="76">
        <v>45657</v>
      </c>
      <c r="G50">
        <v>8381.5300000000007</v>
      </c>
      <c r="I50" s="91"/>
      <c r="J50" s="91"/>
      <c r="L50" s="91"/>
      <c r="M50" s="91"/>
      <c r="N50" s="91"/>
    </row>
    <row r="51" spans="1:14" x14ac:dyDescent="0.25">
      <c r="A51" s="72" t="s">
        <v>558</v>
      </c>
      <c r="B51" t="s">
        <v>4</v>
      </c>
      <c r="C51" t="s">
        <v>601</v>
      </c>
      <c r="D51" t="s">
        <v>602</v>
      </c>
      <c r="E51" s="76">
        <v>45503</v>
      </c>
      <c r="F51" s="76">
        <v>45595</v>
      </c>
      <c r="G51">
        <v>1900</v>
      </c>
    </row>
    <row r="52" spans="1:14" x14ac:dyDescent="0.25">
      <c r="A52" s="72" t="s">
        <v>566</v>
      </c>
      <c r="B52" t="s">
        <v>4</v>
      </c>
      <c r="C52" t="s">
        <v>572</v>
      </c>
      <c r="D52" t="s">
        <v>571</v>
      </c>
      <c r="E52" s="76">
        <v>45474</v>
      </c>
      <c r="F52" s="76">
        <v>45657</v>
      </c>
      <c r="G52">
        <v>397</v>
      </c>
    </row>
    <row r="53" spans="1:14" x14ac:dyDescent="0.25">
      <c r="A53" s="72" t="s">
        <v>574</v>
      </c>
      <c r="B53" t="s">
        <v>4</v>
      </c>
      <c r="C53" t="s">
        <v>582</v>
      </c>
      <c r="D53" t="s">
        <v>581</v>
      </c>
      <c r="E53" s="76">
        <v>45490</v>
      </c>
      <c r="F53" s="76">
        <v>45657</v>
      </c>
      <c r="G53">
        <v>59998</v>
      </c>
    </row>
    <row r="54" spans="1:14" x14ac:dyDescent="0.25">
      <c r="A54" s="72" t="s">
        <v>584</v>
      </c>
      <c r="B54" t="s">
        <v>4</v>
      </c>
      <c r="C54" t="s">
        <v>590</v>
      </c>
      <c r="D54" t="s">
        <v>589</v>
      </c>
      <c r="E54" s="76">
        <v>45490</v>
      </c>
      <c r="F54" s="76">
        <v>45657</v>
      </c>
      <c r="G54">
        <v>13760</v>
      </c>
    </row>
    <row r="55" spans="1:14" x14ac:dyDescent="0.25">
      <c r="A55" s="72" t="s">
        <v>592</v>
      </c>
      <c r="B55" t="s">
        <v>4</v>
      </c>
      <c r="C55" t="s">
        <v>599</v>
      </c>
      <c r="D55" t="s">
        <v>598</v>
      </c>
      <c r="E55" s="76">
        <v>45510</v>
      </c>
      <c r="F55" s="76">
        <v>45657</v>
      </c>
      <c r="G55">
        <v>16230</v>
      </c>
    </row>
    <row r="56" spans="1:14" x14ac:dyDescent="0.25">
      <c r="A56" s="104" t="s">
        <v>605</v>
      </c>
      <c r="B56" t="s">
        <v>7</v>
      </c>
      <c r="C56" t="s">
        <v>607</v>
      </c>
      <c r="D56" t="s">
        <v>606</v>
      </c>
      <c r="E56" s="76">
        <v>45407</v>
      </c>
      <c r="F56" s="76">
        <v>45657</v>
      </c>
      <c r="G56">
        <v>10383.43</v>
      </c>
    </row>
    <row r="57" spans="1:14" x14ac:dyDescent="0.25">
      <c r="A57" s="104" t="s">
        <v>610</v>
      </c>
      <c r="B57" t="s">
        <v>600</v>
      </c>
      <c r="C57" t="s">
        <v>613</v>
      </c>
      <c r="D57" t="s">
        <v>612</v>
      </c>
      <c r="E57" s="76">
        <v>45435</v>
      </c>
      <c r="F57" s="76">
        <v>45657</v>
      </c>
      <c r="G57">
        <v>12150</v>
      </c>
    </row>
    <row r="58" spans="1:14" x14ac:dyDescent="0.25">
      <c r="A58" s="5" t="s">
        <v>632</v>
      </c>
      <c r="B58" t="s">
        <v>5</v>
      </c>
      <c r="C58" t="s">
        <v>274</v>
      </c>
      <c r="D58" t="s">
        <v>273</v>
      </c>
      <c r="E58" t="s">
        <v>259</v>
      </c>
      <c r="F58" t="s">
        <v>272</v>
      </c>
      <c r="G58">
        <v>368396</v>
      </c>
    </row>
    <row r="59" spans="1:14" ht="30" x14ac:dyDescent="0.25">
      <c r="A59" s="5" t="s">
        <v>639</v>
      </c>
      <c r="B59" t="s">
        <v>5</v>
      </c>
      <c r="C59" s="87" t="s">
        <v>657</v>
      </c>
      <c r="D59" s="87" t="s">
        <v>656</v>
      </c>
      <c r="E59" s="90">
        <v>45471</v>
      </c>
      <c r="F59" s="90">
        <v>45836</v>
      </c>
      <c r="G59" s="105">
        <v>1436434.17</v>
      </c>
    </row>
    <row r="60" spans="1:14" x14ac:dyDescent="0.25">
      <c r="A60" s="5" t="s">
        <v>640</v>
      </c>
      <c r="B60" t="s">
        <v>5</v>
      </c>
      <c r="C60" t="s">
        <v>663</v>
      </c>
      <c r="D60" t="s">
        <v>662</v>
      </c>
      <c r="E60" s="76">
        <v>45489</v>
      </c>
      <c r="F60" s="76">
        <v>45854</v>
      </c>
      <c r="G60">
        <v>98000</v>
      </c>
    </row>
    <row r="61" spans="1:14" x14ac:dyDescent="0.25">
      <c r="A61" s="5" t="s">
        <v>652</v>
      </c>
      <c r="B61" t="s">
        <v>4</v>
      </c>
      <c r="C61" t="s">
        <v>665</v>
      </c>
      <c r="D61" t="s">
        <v>666</v>
      </c>
      <c r="E61" s="76">
        <v>45491</v>
      </c>
      <c r="F61" s="76">
        <v>45657</v>
      </c>
      <c r="G61">
        <v>59988</v>
      </c>
    </row>
    <row r="62" spans="1:14" x14ac:dyDescent="0.25">
      <c r="A62" s="5" t="s">
        <v>641</v>
      </c>
      <c r="B62" t="s">
        <v>5</v>
      </c>
      <c r="C62" t="s">
        <v>670</v>
      </c>
      <c r="D62" t="s">
        <v>688</v>
      </c>
      <c r="E62" s="76">
        <v>45492</v>
      </c>
      <c r="F62" s="76">
        <v>47318</v>
      </c>
      <c r="G62">
        <v>266414.40000000002</v>
      </c>
    </row>
    <row r="63" spans="1:14" ht="45" x14ac:dyDescent="0.25">
      <c r="A63" s="5" t="s">
        <v>642</v>
      </c>
      <c r="B63" t="s">
        <v>5</v>
      </c>
      <c r="C63" s="87" t="s">
        <v>676</v>
      </c>
      <c r="D63" s="87" t="s">
        <v>675</v>
      </c>
      <c r="E63" s="90">
        <v>45506</v>
      </c>
      <c r="F63" s="90">
        <v>45871</v>
      </c>
      <c r="G63" s="105">
        <v>10737425</v>
      </c>
    </row>
    <row r="64" spans="1:14" x14ac:dyDescent="0.25">
      <c r="A64" s="5" t="s">
        <v>643</v>
      </c>
      <c r="B64" t="s">
        <v>11</v>
      </c>
      <c r="C64" t="s">
        <v>682</v>
      </c>
      <c r="D64" t="s">
        <v>681</v>
      </c>
      <c r="E64" s="76">
        <v>45537</v>
      </c>
      <c r="F64" s="76">
        <v>45628</v>
      </c>
      <c r="G64">
        <v>204688.24</v>
      </c>
    </row>
    <row r="65" spans="1:7" x14ac:dyDescent="0.25">
      <c r="A65" s="5" t="s">
        <v>644</v>
      </c>
      <c r="B65" t="s">
        <v>5</v>
      </c>
      <c r="C65" t="s">
        <v>689</v>
      </c>
      <c r="D65" t="s">
        <v>687</v>
      </c>
      <c r="E65" s="76">
        <v>45538</v>
      </c>
      <c r="F65" s="76">
        <v>46633</v>
      </c>
      <c r="G65">
        <v>440000</v>
      </c>
    </row>
    <row r="66" spans="1:7" x14ac:dyDescent="0.25">
      <c r="A66" s="5" t="s">
        <v>693</v>
      </c>
      <c r="B66" t="s">
        <v>7</v>
      </c>
      <c r="C66" t="s">
        <v>698</v>
      </c>
      <c r="D66" t="s">
        <v>697</v>
      </c>
      <c r="E66" s="76">
        <v>45561</v>
      </c>
      <c r="F66" s="76">
        <v>45926</v>
      </c>
      <c r="G66">
        <v>1900.8</v>
      </c>
    </row>
    <row r="67" spans="1:7" x14ac:dyDescent="0.25">
      <c r="A67" s="5" t="s">
        <v>701</v>
      </c>
      <c r="B67" t="s">
        <v>4</v>
      </c>
      <c r="C67" t="s">
        <v>708</v>
      </c>
      <c r="D67" t="s">
        <v>707</v>
      </c>
      <c r="E67" s="76">
        <v>45568</v>
      </c>
      <c r="F67" s="76">
        <v>45657</v>
      </c>
      <c r="G67">
        <v>2992.8</v>
      </c>
    </row>
    <row r="68" spans="1:7" x14ac:dyDescent="0.25">
      <c r="A68" s="5" t="s">
        <v>711</v>
      </c>
      <c r="B68" t="s">
        <v>4</v>
      </c>
      <c r="C68" t="s">
        <v>599</v>
      </c>
      <c r="D68" t="s">
        <v>716</v>
      </c>
      <c r="E68" s="76">
        <v>45568</v>
      </c>
      <c r="F68" s="76">
        <v>45657</v>
      </c>
      <c r="G68">
        <v>22610</v>
      </c>
    </row>
    <row r="69" spans="1:7" ht="105" x14ac:dyDescent="0.25">
      <c r="A69" s="5" t="s">
        <v>718</v>
      </c>
      <c r="B69" t="s">
        <v>5</v>
      </c>
      <c r="C69" s="87" t="s">
        <v>724</v>
      </c>
      <c r="D69" s="87" t="s">
        <v>723</v>
      </c>
      <c r="E69" s="90">
        <v>45580</v>
      </c>
      <c r="F69" s="90">
        <v>47406</v>
      </c>
      <c r="G69" s="105">
        <v>7915896</v>
      </c>
    </row>
    <row r="70" spans="1:7" x14ac:dyDescent="0.25">
      <c r="A70" s="5" t="s">
        <v>726</v>
      </c>
      <c r="B70" t="s">
        <v>4</v>
      </c>
      <c r="C70" t="s">
        <v>563</v>
      </c>
      <c r="D70" t="s">
        <v>733</v>
      </c>
      <c r="E70" s="76">
        <v>45580</v>
      </c>
      <c r="F70" s="76">
        <v>45657</v>
      </c>
      <c r="G70">
        <v>15100</v>
      </c>
    </row>
    <row r="71" spans="1:7" x14ac:dyDescent="0.25">
      <c r="A71" s="5" t="s">
        <v>734</v>
      </c>
      <c r="B71" t="s">
        <v>4</v>
      </c>
      <c r="C71" t="s">
        <v>740</v>
      </c>
      <c r="D71" t="s">
        <v>739</v>
      </c>
      <c r="E71" s="76">
        <v>45595</v>
      </c>
      <c r="F71" s="76">
        <v>45961</v>
      </c>
      <c r="G71">
        <v>11960</v>
      </c>
    </row>
    <row r="72" spans="1:7" x14ac:dyDescent="0.25">
      <c r="A72" s="5" t="s">
        <v>754</v>
      </c>
      <c r="B72" t="s">
        <v>11</v>
      </c>
      <c r="C72" t="s">
        <v>131</v>
      </c>
      <c r="D72" t="s">
        <v>753</v>
      </c>
      <c r="E72" t="s">
        <v>129</v>
      </c>
      <c r="F72" t="s">
        <v>130</v>
      </c>
      <c r="G72">
        <v>0</v>
      </c>
    </row>
    <row r="73" spans="1:7" x14ac:dyDescent="0.25">
      <c r="A73" t="s">
        <v>57</v>
      </c>
      <c r="C73"/>
      <c r="D73"/>
      <c r="E73"/>
      <c r="F73"/>
      <c r="G73"/>
    </row>
    <row r="74" spans="1:7" x14ac:dyDescent="0.25">
      <c r="G74"/>
    </row>
    <row r="75" spans="1:7" x14ac:dyDescent="0.25">
      <c r="G75"/>
    </row>
    <row r="76" spans="1:7" x14ac:dyDescent="0.25">
      <c r="G76"/>
    </row>
    <row r="77" spans="1:7" x14ac:dyDescent="0.25">
      <c r="G77"/>
    </row>
    <row r="78" spans="1:7" x14ac:dyDescent="0.25">
      <c r="G78"/>
    </row>
    <row r="79" spans="1:7" x14ac:dyDescent="0.25">
      <c r="G79"/>
    </row>
    <row r="80" spans="1:7" x14ac:dyDescent="0.25">
      <c r="G80"/>
    </row>
    <row r="81" spans="7:7" x14ac:dyDescent="0.25">
      <c r="G81"/>
    </row>
    <row r="82" spans="7:7" x14ac:dyDescent="0.25">
      <c r="G82"/>
    </row>
    <row r="83" spans="7:7" x14ac:dyDescent="0.25">
      <c r="G83"/>
    </row>
    <row r="84" spans="7:7" x14ac:dyDescent="0.25">
      <c r="G84"/>
    </row>
    <row r="85" spans="7:7" x14ac:dyDescent="0.25">
      <c r="G85"/>
    </row>
    <row r="86" spans="7:7" x14ac:dyDescent="0.25">
      <c r="G86"/>
    </row>
  </sheetData>
  <pageMargins left="0.511811024" right="0.511811024" top="0.78740157499999996" bottom="0.78740157499999996" header="0.31496062000000002" footer="0.31496062000000002"/>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Q187"/>
  <sheetViews>
    <sheetView showGridLines="0" topLeftCell="I1" zoomScaleNormal="100" workbookViewId="0">
      <selection activeCell="K7" sqref="K7"/>
    </sheetView>
  </sheetViews>
  <sheetFormatPr defaultRowHeight="15" x14ac:dyDescent="0.25"/>
  <cols>
    <col min="1" max="1" width="5" customWidth="1"/>
    <col min="2" max="2" width="18.85546875" style="26" customWidth="1"/>
    <col min="3" max="3" width="15.7109375" style="26" customWidth="1"/>
    <col min="4" max="5" width="19.28515625" style="26" customWidth="1"/>
    <col min="6" max="6" width="20.7109375" style="26" customWidth="1"/>
    <col min="7" max="7" width="20" style="26" customWidth="1"/>
    <col min="8" max="8" width="15.28515625" style="26" customWidth="1"/>
    <col min="9" max="9" width="22.85546875" style="26" customWidth="1"/>
    <col min="10" max="10" width="63.140625" style="26" customWidth="1"/>
    <col min="11" max="11" width="33.7109375" style="26" customWidth="1"/>
    <col min="12" max="12" width="22.140625" style="145" customWidth="1"/>
    <col min="13" max="13" width="24.28515625" style="26" customWidth="1"/>
    <col min="14" max="14" width="40.7109375" style="26" customWidth="1"/>
    <col min="15" max="17" width="255.7109375" style="26" customWidth="1"/>
    <col min="18" max="18" width="47.42578125" customWidth="1"/>
    <col min="19" max="19" width="56.85546875" customWidth="1"/>
  </cols>
  <sheetData>
    <row r="1" spans="1:17" x14ac:dyDescent="0.25">
      <c r="C1"/>
      <c r="D1"/>
      <c r="E1"/>
      <c r="F1"/>
      <c r="G1"/>
      <c r="H1"/>
      <c r="I1"/>
      <c r="J1"/>
      <c r="K1"/>
      <c r="L1" s="115"/>
      <c r="M1"/>
      <c r="N1"/>
      <c r="O1"/>
      <c r="P1"/>
      <c r="Q1"/>
    </row>
    <row r="2" spans="1:17" ht="15.75" x14ac:dyDescent="0.25">
      <c r="B2" s="51"/>
      <c r="C2"/>
      <c r="D2"/>
      <c r="E2"/>
      <c r="F2"/>
      <c r="G2"/>
      <c r="H2"/>
      <c r="I2"/>
      <c r="J2"/>
      <c r="K2"/>
      <c r="L2" s="115"/>
      <c r="M2"/>
      <c r="N2"/>
      <c r="O2"/>
      <c r="P2"/>
      <c r="Q2"/>
    </row>
    <row r="3" spans="1:17" ht="31.5" x14ac:dyDescent="0.5">
      <c r="B3" s="47" t="s">
        <v>251</v>
      </c>
      <c r="C3"/>
      <c r="D3"/>
      <c r="E3"/>
      <c r="F3"/>
      <c r="G3"/>
      <c r="H3"/>
      <c r="I3"/>
      <c r="J3"/>
      <c r="K3"/>
      <c r="L3" s="115"/>
      <c r="M3"/>
      <c r="N3"/>
      <c r="O3"/>
      <c r="P3"/>
      <c r="Q3"/>
    </row>
    <row r="4" spans="1:17" x14ac:dyDescent="0.25">
      <c r="B4"/>
      <c r="C4"/>
      <c r="D4"/>
      <c r="E4"/>
      <c r="F4"/>
      <c r="G4"/>
      <c r="H4"/>
      <c r="I4"/>
      <c r="J4"/>
      <c r="K4"/>
      <c r="L4" s="115"/>
      <c r="M4"/>
      <c r="N4"/>
      <c r="O4"/>
      <c r="P4"/>
      <c r="Q4"/>
    </row>
    <row r="5" spans="1:17" ht="32.25" thickBot="1" x14ac:dyDescent="0.3">
      <c r="B5" s="58" t="s">
        <v>0</v>
      </c>
      <c r="C5" s="59" t="s">
        <v>18</v>
      </c>
      <c r="D5" s="59" t="s">
        <v>19</v>
      </c>
      <c r="E5" s="59" t="s">
        <v>462</v>
      </c>
      <c r="F5" s="59" t="s">
        <v>2</v>
      </c>
      <c r="G5" s="59" t="s">
        <v>23</v>
      </c>
      <c r="H5" s="59" t="s">
        <v>24</v>
      </c>
      <c r="I5" s="59" t="s">
        <v>26</v>
      </c>
      <c r="J5" s="59" t="s">
        <v>1</v>
      </c>
      <c r="K5" s="59" t="s">
        <v>6</v>
      </c>
      <c r="L5" s="143" t="s">
        <v>38</v>
      </c>
      <c r="M5"/>
      <c r="N5"/>
      <c r="O5"/>
      <c r="P5"/>
      <c r="Q5"/>
    </row>
    <row r="6" spans="1:17" s="41" customFormat="1" ht="60.75" thickBot="1" x14ac:dyDescent="0.3">
      <c r="A6" s="41">
        <v>1</v>
      </c>
      <c r="B6" s="43" t="s">
        <v>98</v>
      </c>
      <c r="C6" s="44" t="s">
        <v>20</v>
      </c>
      <c r="D6" s="44" t="s">
        <v>103</v>
      </c>
      <c r="E6" s="44" t="s">
        <v>373</v>
      </c>
      <c r="F6" s="48" t="s">
        <v>5</v>
      </c>
      <c r="G6" s="45" t="s">
        <v>104</v>
      </c>
      <c r="H6" s="45" t="s">
        <v>105</v>
      </c>
      <c r="I6" s="44" t="s">
        <v>1224</v>
      </c>
      <c r="J6" s="44" t="s">
        <v>106</v>
      </c>
      <c r="K6" s="44" t="s">
        <v>107</v>
      </c>
      <c r="L6" s="144">
        <v>305784.8</v>
      </c>
      <c r="M6" s="41" t="str">
        <f>CONCATENATE(A6,".",D6,," ","-"," ",K6,"     ", "(","Tipo do objeto: ",Tabela15[[#This Row],[TIPO DO OBJETO]],")")</f>
        <v>1.TLB-CTR-2024/00002 - MICROTÉCNICA INFORMÁTICA LTDA.     (Tipo do objeto: Obras e Serviço de Engenharia)</v>
      </c>
    </row>
    <row r="7" spans="1:17" s="41" customFormat="1" ht="60.75" thickBot="1" x14ac:dyDescent="0.3">
      <c r="A7" s="41">
        <v>2</v>
      </c>
      <c r="B7" s="43" t="s">
        <v>201</v>
      </c>
      <c r="C7" s="44" t="s">
        <v>20</v>
      </c>
      <c r="D7" s="44" t="s">
        <v>441</v>
      </c>
      <c r="E7" s="44" t="s">
        <v>391</v>
      </c>
      <c r="F7" s="48" t="s">
        <v>7</v>
      </c>
      <c r="G7" s="45">
        <v>45386</v>
      </c>
      <c r="H7" s="45">
        <v>46847</v>
      </c>
      <c r="I7" s="44" t="s">
        <v>33</v>
      </c>
      <c r="J7" s="44" t="s">
        <v>206</v>
      </c>
      <c r="K7" s="44" t="s">
        <v>207</v>
      </c>
      <c r="L7" s="144">
        <v>17570</v>
      </c>
      <c r="M7" s="41" t="str">
        <f>CONCATENATE(A7,".",D7,," ","-"," ",K7,"     ", "(","Tipo do objeto: ",Tabela15[[#This Row],[TIPO DO OBJETO]],")")</f>
        <v>2.TLB-CTR-2024/00009 - CERTISIGN CERTIFICADORA DIGITAL S.A.     (Tipo do objeto: Serviços)</v>
      </c>
      <c r="P7" s="42"/>
      <c r="Q7" s="42"/>
    </row>
    <row r="8" spans="1:17" s="41" customFormat="1" ht="120.75" thickBot="1" x14ac:dyDescent="0.3">
      <c r="A8" s="41">
        <v>3</v>
      </c>
      <c r="B8" s="43" t="s">
        <v>147</v>
      </c>
      <c r="C8" s="44" t="s">
        <v>20</v>
      </c>
      <c r="D8" s="44" t="s">
        <v>145</v>
      </c>
      <c r="E8" s="44" t="s">
        <v>379</v>
      </c>
      <c r="F8" s="48" t="s">
        <v>5</v>
      </c>
      <c r="G8" s="45" t="s">
        <v>126</v>
      </c>
      <c r="H8" s="45" t="s">
        <v>127</v>
      </c>
      <c r="I8" s="44" t="s">
        <v>33</v>
      </c>
      <c r="J8" s="44" t="s">
        <v>144</v>
      </c>
      <c r="K8" s="44" t="s">
        <v>141</v>
      </c>
      <c r="L8" s="144">
        <v>1484943</v>
      </c>
      <c r="M8" s="41" t="str">
        <f>CONCATENATE(A8,".",D8,," ","-"," ",K8,"     ", "(","Tipo do objeto: ",Tabela15[[#This Row],[TIPO DO OBJETO]],")")</f>
        <v>3.TLB-CTR-2024/00004 - TRANSCOURIER LTDA     (Tipo do objeto: Serviços)</v>
      </c>
      <c r="P8" s="42"/>
      <c r="Q8" s="42"/>
    </row>
    <row r="9" spans="1:17" s="41" customFormat="1" ht="45.75" thickBot="1" x14ac:dyDescent="0.3">
      <c r="A9" s="41">
        <v>4</v>
      </c>
      <c r="B9" s="43" t="s">
        <v>211</v>
      </c>
      <c r="C9" s="44" t="s">
        <v>21</v>
      </c>
      <c r="D9" s="44" t="s">
        <v>214</v>
      </c>
      <c r="E9" s="44" t="s">
        <v>393</v>
      </c>
      <c r="F9" s="48" t="s">
        <v>7</v>
      </c>
      <c r="G9" s="45">
        <v>45394</v>
      </c>
      <c r="H9" s="45" t="s">
        <v>617</v>
      </c>
      <c r="I9" s="44" t="s">
        <v>28</v>
      </c>
      <c r="J9" s="44" t="s">
        <v>215</v>
      </c>
      <c r="K9" s="44" t="s">
        <v>216</v>
      </c>
      <c r="L9" s="144">
        <v>49600</v>
      </c>
      <c r="M9" s="41" t="str">
        <f>CONCATENATE(A9,".",D9,," ","-"," ",K9,"     ", "(","Tipo do objeto: ",Tabela15[[#This Row],[TIPO DO OBJETO]],")")</f>
        <v>4.2024NE000661 - SMARTX IMPORTACAO E COMERCIO LTDA     (Tipo do objeto: Compras)</v>
      </c>
      <c r="P9" s="42"/>
      <c r="Q9" s="42"/>
    </row>
    <row r="10" spans="1:17" s="41" customFormat="1" ht="105.75" thickBot="1" x14ac:dyDescent="0.3">
      <c r="A10" s="41">
        <v>5</v>
      </c>
      <c r="B10" s="43" t="s">
        <v>117</v>
      </c>
      <c r="C10" s="44" t="s">
        <v>41</v>
      </c>
      <c r="D10" s="44" t="s">
        <v>120</v>
      </c>
      <c r="E10" s="44" t="s">
        <v>375</v>
      </c>
      <c r="F10" s="48" t="s">
        <v>4</v>
      </c>
      <c r="G10" s="45" t="s">
        <v>112</v>
      </c>
      <c r="H10" s="45" t="s">
        <v>121</v>
      </c>
      <c r="I10" s="44" t="s">
        <v>33</v>
      </c>
      <c r="J10" s="44" t="s">
        <v>122</v>
      </c>
      <c r="K10" s="44" t="s">
        <v>123</v>
      </c>
      <c r="L10" s="144">
        <v>77000</v>
      </c>
      <c r="M10" s="41" t="str">
        <f>CONCATENATE(A10,".",D10,," ","-"," ",K10,"     ", "(","Tipo do objeto: ",Tabela15[[#This Row],[TIPO DO OBJETO]],")")</f>
        <v>5.TLB-AUT-2024/02455 - NÚCLEO DE INFORMAÇÃO E COORDENAÇÃO DO PONTO BR - NIC.br     (Tipo do objeto: Serviços)</v>
      </c>
      <c r="P10" s="42"/>
      <c r="Q10" s="42"/>
    </row>
    <row r="11" spans="1:17" s="41" customFormat="1" ht="60.75" thickBot="1" x14ac:dyDescent="0.3">
      <c r="A11" s="41">
        <v>6</v>
      </c>
      <c r="B11" s="43" t="s">
        <v>109</v>
      </c>
      <c r="C11" s="44" t="s">
        <v>20</v>
      </c>
      <c r="D11" s="44" t="s">
        <v>111</v>
      </c>
      <c r="E11" s="44" t="s">
        <v>369</v>
      </c>
      <c r="F11" s="48" t="s">
        <v>11</v>
      </c>
      <c r="G11" s="45" t="s">
        <v>112</v>
      </c>
      <c r="H11" s="45" t="s">
        <v>113</v>
      </c>
      <c r="I11" s="44" t="s">
        <v>28</v>
      </c>
      <c r="J11" s="44" t="s">
        <v>114</v>
      </c>
      <c r="K11" s="44" t="s">
        <v>115</v>
      </c>
      <c r="L11" s="144">
        <v>235335.8</v>
      </c>
      <c r="M11" s="41" t="str">
        <f>CONCATENATE(A11,".",D11,," ","-"," ",K11,"     ", "(","Tipo do objeto: ",Tabela15[[#This Row],[TIPO DO OBJETO]],")")</f>
        <v>6.TLB-CTR-2024/00005 - INFOPLAN TECNOLOGIA, COMÉRCIO E SERVIÇOS - LTDA.     (Tipo do objeto: Compras)</v>
      </c>
      <c r="P11" s="42"/>
      <c r="Q11" s="42"/>
    </row>
    <row r="12" spans="1:17" s="41" customFormat="1" ht="45.75" thickBot="1" x14ac:dyDescent="0.3">
      <c r="A12" s="41">
        <v>7</v>
      </c>
      <c r="B12" s="43" t="s">
        <v>161</v>
      </c>
      <c r="C12" s="44" t="s">
        <v>21</v>
      </c>
      <c r="D12" s="44" t="s">
        <v>186</v>
      </c>
      <c r="E12" s="44" t="s">
        <v>384</v>
      </c>
      <c r="F12" s="48" t="s">
        <v>600</v>
      </c>
      <c r="G12" s="45">
        <v>45345</v>
      </c>
      <c r="H12" s="45" t="s">
        <v>617</v>
      </c>
      <c r="I12" s="44" t="s">
        <v>28</v>
      </c>
      <c r="J12" s="44" t="s">
        <v>166</v>
      </c>
      <c r="K12" s="44" t="s">
        <v>169</v>
      </c>
      <c r="L12" s="144">
        <v>4838.95</v>
      </c>
      <c r="M12" s="41" t="str">
        <f>CONCATENATE(A12,".",D12,," ","-"," ",K12,"     ", "(","Tipo do objeto: ",Tabela15[[#This Row],[TIPO DO OBJETO]],")")</f>
        <v>7.2024NE000575 - JMC PRESTACAO DE SERVICOS DIVERSOS LTDA     (Tipo do objeto: Compras)</v>
      </c>
      <c r="P12" s="42"/>
      <c r="Q12" s="42"/>
    </row>
    <row r="13" spans="1:17" s="41" customFormat="1" ht="45.75" thickBot="1" x14ac:dyDescent="0.3">
      <c r="A13" s="41">
        <v>8</v>
      </c>
      <c r="B13" s="43" t="s">
        <v>161</v>
      </c>
      <c r="C13" s="44" t="s">
        <v>21</v>
      </c>
      <c r="D13" s="44" t="s">
        <v>185</v>
      </c>
      <c r="E13" s="44" t="s">
        <v>384</v>
      </c>
      <c r="F13" s="48" t="s">
        <v>600</v>
      </c>
      <c r="G13" s="45">
        <v>45397</v>
      </c>
      <c r="H13" s="45" t="s">
        <v>617</v>
      </c>
      <c r="I13" s="44" t="s">
        <v>28</v>
      </c>
      <c r="J13" s="44" t="s">
        <v>165</v>
      </c>
      <c r="K13" s="44" t="s">
        <v>167</v>
      </c>
      <c r="L13" s="144">
        <v>10495</v>
      </c>
      <c r="M13" s="41" t="str">
        <f>CONCATENATE(A13,".",D13,," ","-"," ",K13,"     ", "(","Tipo do objeto: ",Tabela15[[#This Row],[TIPO DO OBJETO]],")")</f>
        <v>8.2024NE000576 - PIRES &amp; SANTOS COMERCIO LTDA     (Tipo do objeto: Compras)</v>
      </c>
      <c r="P13" s="42"/>
      <c r="Q13" s="42"/>
    </row>
    <row r="14" spans="1:17" s="41" customFormat="1" ht="30.75" thickBot="1" x14ac:dyDescent="0.3">
      <c r="A14" s="41">
        <v>9</v>
      </c>
      <c r="B14" s="43" t="s">
        <v>218</v>
      </c>
      <c r="C14" s="44" t="s">
        <v>21</v>
      </c>
      <c r="D14" s="44" t="s">
        <v>226</v>
      </c>
      <c r="E14" s="44" t="s">
        <v>395</v>
      </c>
      <c r="F14" s="48" t="s">
        <v>7</v>
      </c>
      <c r="G14" s="45">
        <v>45394</v>
      </c>
      <c r="H14" s="45" t="s">
        <v>617</v>
      </c>
      <c r="I14" s="44" t="s">
        <v>28</v>
      </c>
      <c r="J14" s="44" t="s">
        <v>223</v>
      </c>
      <c r="K14" s="44" t="s">
        <v>227</v>
      </c>
      <c r="L14" s="144">
        <v>2320</v>
      </c>
      <c r="M14" s="41" t="str">
        <f>CONCATENATE(A14,".",D14,," ","-"," ",K14,"     ", "(","Tipo do objeto: ",Tabela15[[#This Row],[TIPO DO OBJETO]],")")</f>
        <v>9.2024NE000669 - GRAFICA E EDITORA FERNANDES E LIRA LTDA     (Tipo do objeto: Compras)</v>
      </c>
      <c r="P14" s="42"/>
      <c r="Q14" s="42"/>
    </row>
    <row r="15" spans="1:17" s="41" customFormat="1" ht="45.75" thickBot="1" x14ac:dyDescent="0.3">
      <c r="A15" s="41">
        <v>10</v>
      </c>
      <c r="B15" s="43" t="s">
        <v>218</v>
      </c>
      <c r="C15" s="44" t="s">
        <v>21</v>
      </c>
      <c r="D15" s="44" t="s">
        <v>222</v>
      </c>
      <c r="E15" s="44" t="s">
        <v>395</v>
      </c>
      <c r="F15" s="48" t="s">
        <v>7</v>
      </c>
      <c r="G15" s="45">
        <v>45394</v>
      </c>
      <c r="H15" s="45" t="s">
        <v>617</v>
      </c>
      <c r="I15" s="44" t="s">
        <v>28</v>
      </c>
      <c r="J15" s="44" t="s">
        <v>223</v>
      </c>
      <c r="K15" s="44" t="s">
        <v>224</v>
      </c>
      <c r="L15" s="144">
        <v>9396.5300000000007</v>
      </c>
      <c r="M15" s="41" t="str">
        <f>CONCATENATE(A15,".",D15,," ","-"," ",K15,"     ", "(","Tipo do objeto: ",Tabela15[[#This Row],[TIPO DO OBJETO]],")")</f>
        <v>10.2024NE000670 - BRASILIA COMERCIO ATACADISTA DE SUPRIMENTOS DE PAPELARIA LTDA     (Tipo do objeto: Compras)</v>
      </c>
      <c r="P15" s="42"/>
      <c r="Q15" s="42"/>
    </row>
    <row r="16" spans="1:17" s="41" customFormat="1" ht="45.75" thickBot="1" x14ac:dyDescent="0.3">
      <c r="A16" s="41">
        <v>11</v>
      </c>
      <c r="B16" s="43" t="s">
        <v>178</v>
      </c>
      <c r="C16" s="44" t="s">
        <v>21</v>
      </c>
      <c r="D16" s="44" t="s">
        <v>188</v>
      </c>
      <c r="E16" s="44" t="s">
        <v>387</v>
      </c>
      <c r="F16" s="48" t="s">
        <v>7</v>
      </c>
      <c r="G16" s="45">
        <v>45356</v>
      </c>
      <c r="H16" s="45" t="s">
        <v>617</v>
      </c>
      <c r="I16" s="44" t="s">
        <v>33</v>
      </c>
      <c r="J16" s="44" t="s">
        <v>182</v>
      </c>
      <c r="K16" s="44" t="s">
        <v>183</v>
      </c>
      <c r="L16" s="144">
        <v>42000.3</v>
      </c>
      <c r="M16" s="41" t="str">
        <f>CONCATENATE(A16,".",D16,," ","-"," ",K16,"     ", "(","Tipo do objeto: ",Tabela15[[#This Row],[TIPO DO OBJETO]],")")</f>
        <v>11.2024NE000606 - PRONTO EVENTOS TECNOLOGIA E INTEGRACAO LTDA     (Tipo do objeto: Serviços)</v>
      </c>
      <c r="P16" s="42"/>
      <c r="Q16" s="42"/>
    </row>
    <row r="17" spans="1:17" s="41" customFormat="1" ht="30.75" thickBot="1" x14ac:dyDescent="0.3">
      <c r="A17" s="41">
        <v>12</v>
      </c>
      <c r="B17" s="43" t="s">
        <v>171</v>
      </c>
      <c r="C17" s="44" t="s">
        <v>21</v>
      </c>
      <c r="D17" s="44" t="s">
        <v>187</v>
      </c>
      <c r="E17" s="44" t="s">
        <v>385</v>
      </c>
      <c r="F17" s="48" t="s">
        <v>4</v>
      </c>
      <c r="G17" s="45">
        <v>45345</v>
      </c>
      <c r="H17" s="45" t="s">
        <v>617</v>
      </c>
      <c r="I17" s="44" t="s">
        <v>33</v>
      </c>
      <c r="J17" s="44" t="s">
        <v>175</v>
      </c>
      <c r="K17" s="44" t="s">
        <v>176</v>
      </c>
      <c r="L17" s="144">
        <v>22586.6</v>
      </c>
      <c r="M17" s="41" t="str">
        <f>CONCATENATE(A17,".",D17,," ","-"," ",K17,"     ", "(","Tipo do objeto: ",Tabela15[[#This Row],[TIPO DO OBJETO]],")")</f>
        <v>12.2024NE000566 - ACCESS INTELLIGENCE, LLC     (Tipo do objeto: Serviços)</v>
      </c>
      <c r="P17" s="42"/>
      <c r="Q17" s="42"/>
    </row>
    <row r="18" spans="1:17" s="41" customFormat="1" ht="45.75" thickBot="1" x14ac:dyDescent="0.3">
      <c r="A18" s="41">
        <v>13</v>
      </c>
      <c r="B18" s="43" t="s">
        <v>237</v>
      </c>
      <c r="C18" s="44" t="s">
        <v>21</v>
      </c>
      <c r="D18" s="44" t="s">
        <v>240</v>
      </c>
      <c r="E18" s="44" t="s">
        <v>400</v>
      </c>
      <c r="F18" s="48" t="s">
        <v>4</v>
      </c>
      <c r="G18" s="45" t="s">
        <v>619</v>
      </c>
      <c r="H18" s="45" t="s">
        <v>617</v>
      </c>
      <c r="I18" s="44" t="s">
        <v>33</v>
      </c>
      <c r="J18" s="44" t="s">
        <v>241</v>
      </c>
      <c r="K18" s="44" t="s">
        <v>242</v>
      </c>
      <c r="L18" s="144">
        <v>6927.9</v>
      </c>
      <c r="M18" s="41" t="str">
        <f>CONCATENATE(A18,".",D18,," ","-"," ",K18,"     ", "(","Tipo do objeto: ",Tabela15[[#This Row],[TIPO DO OBJETO]],")")</f>
        <v>13.2024NE000628 - ATP SPECIALS BV     (Tipo do objeto: Serviços)</v>
      </c>
      <c r="P18" s="42"/>
      <c r="Q18" s="42"/>
    </row>
    <row r="19" spans="1:17" s="41" customFormat="1" ht="45.75" thickBot="1" x14ac:dyDescent="0.3">
      <c r="A19" s="41">
        <v>14</v>
      </c>
      <c r="B19" s="43" t="s">
        <v>151</v>
      </c>
      <c r="C19" s="44" t="s">
        <v>21</v>
      </c>
      <c r="D19" s="44" t="s">
        <v>156</v>
      </c>
      <c r="E19" s="44" t="s">
        <v>385</v>
      </c>
      <c r="F19" s="48" t="s">
        <v>4</v>
      </c>
      <c r="G19" s="45" t="s">
        <v>616</v>
      </c>
      <c r="H19" s="45" t="s">
        <v>617</v>
      </c>
      <c r="I19" s="44" t="s">
        <v>33</v>
      </c>
      <c r="J19" s="44" t="s">
        <v>158</v>
      </c>
      <c r="K19" s="44" t="s">
        <v>159</v>
      </c>
      <c r="L19" s="144">
        <v>32500</v>
      </c>
      <c r="M19" s="41" t="str">
        <f>CONCATENATE(A19,".",D19,," ","-"," ",K19,"     ", "(","Tipo do objeto: ",Tabela15[[#This Row],[TIPO DO OBJETO]],")")</f>
        <v>14.2024NE000601 - INLABS CAPACITACAO PROFISSIONAL LTDA     (Tipo do objeto: Serviços)</v>
      </c>
      <c r="P19" s="42"/>
      <c r="Q19" s="42"/>
    </row>
    <row r="20" spans="1:17" s="41" customFormat="1" ht="60.75" thickBot="1" x14ac:dyDescent="0.3">
      <c r="A20" s="41">
        <v>15</v>
      </c>
      <c r="B20" s="43" t="s">
        <v>345</v>
      </c>
      <c r="C20" s="44" t="s">
        <v>20</v>
      </c>
      <c r="D20" s="44" t="s">
        <v>349</v>
      </c>
      <c r="E20" s="44" t="s">
        <v>423</v>
      </c>
      <c r="F20" s="48" t="s">
        <v>7</v>
      </c>
      <c r="G20" s="45">
        <v>45441</v>
      </c>
      <c r="H20" s="45">
        <v>47267</v>
      </c>
      <c r="I20" s="44" t="s">
        <v>33</v>
      </c>
      <c r="J20" s="44" t="s">
        <v>350</v>
      </c>
      <c r="K20" s="44" t="s">
        <v>351</v>
      </c>
      <c r="L20" s="144">
        <v>11070</v>
      </c>
      <c r="M20" s="41" t="str">
        <f>CONCATENATE(A20,".",D20,," ","-"," ",K20,"     ", "(","Tipo do objeto: ",Tabela15[[#This Row],[TIPO DO OBJETO]],")")</f>
        <v>15.TLB-CTR-2024/00036 - CÂMARA DE DIRIGENTES LOJISTA DO DISTRITO FEDERAL - CDL(DF)     (Tipo do objeto: Serviços)</v>
      </c>
      <c r="P20" s="42"/>
      <c r="Q20" s="42"/>
    </row>
    <row r="21" spans="1:17" s="41" customFormat="1" ht="45.75" thickBot="1" x14ac:dyDescent="0.3">
      <c r="A21" s="41">
        <v>16</v>
      </c>
      <c r="B21" s="43" t="s">
        <v>229</v>
      </c>
      <c r="C21" s="44" t="s">
        <v>21</v>
      </c>
      <c r="D21" s="44" t="s">
        <v>233</v>
      </c>
      <c r="E21" s="44" t="s">
        <v>397</v>
      </c>
      <c r="F21" s="48" t="s">
        <v>4</v>
      </c>
      <c r="G21" s="45" t="s">
        <v>619</v>
      </c>
      <c r="H21" s="45" t="s">
        <v>617</v>
      </c>
      <c r="I21" s="44" t="s">
        <v>33</v>
      </c>
      <c r="J21" s="44" t="s">
        <v>234</v>
      </c>
      <c r="K21" s="44" t="s">
        <v>235</v>
      </c>
      <c r="L21" s="144">
        <v>11670</v>
      </c>
      <c r="M21" s="41" t="str">
        <f>CONCATENATE(A21,".",D21,," ","-"," ",K21,"     ", "(","Tipo do objeto: ",Tabela15[[#This Row],[TIPO DO OBJETO]],")")</f>
        <v>16.2024NE000632 - ZENITE INFORMACAO E CONSULTORIA S/A     (Tipo do objeto: Serviços)</v>
      </c>
      <c r="P21" s="42"/>
      <c r="Q21" s="42"/>
    </row>
    <row r="22" spans="1:17" s="41" customFormat="1" ht="30.75" thickBot="1" x14ac:dyDescent="0.3">
      <c r="A22" s="41">
        <v>17</v>
      </c>
      <c r="B22" s="43" t="s">
        <v>244</v>
      </c>
      <c r="C22" s="44" t="s">
        <v>21</v>
      </c>
      <c r="D22" s="44" t="s">
        <v>247</v>
      </c>
      <c r="E22" s="44" t="s">
        <v>402</v>
      </c>
      <c r="F22" s="48" t="s">
        <v>4</v>
      </c>
      <c r="G22" s="45">
        <v>45390</v>
      </c>
      <c r="H22" s="45" t="s">
        <v>617</v>
      </c>
      <c r="I22" s="44" t="s">
        <v>33</v>
      </c>
      <c r="J22" s="44" t="s">
        <v>248</v>
      </c>
      <c r="K22" s="44" t="s">
        <v>249</v>
      </c>
      <c r="L22" s="144">
        <v>1744</v>
      </c>
      <c r="M22" s="41" t="str">
        <f>CONCATENATE(A22,".",D22,," ","-"," ",K22,"     ", "(","Tipo do objeto: ",Tabela15[[#This Row],[TIPO DO OBJETO]],")")</f>
        <v>17.2024NE000653 - CENOFISCO CENTRO DE CAPACITACAO PROFISSIONAL LTDA     (Tipo do objeto: Serviços)</v>
      </c>
      <c r="P22" s="42"/>
      <c r="Q22" s="42"/>
    </row>
    <row r="23" spans="1:17" s="41" customFormat="1" ht="105.75" thickBot="1" x14ac:dyDescent="0.3">
      <c r="A23" s="41">
        <v>18</v>
      </c>
      <c r="B23" s="43" t="s">
        <v>265</v>
      </c>
      <c r="C23" s="44" t="s">
        <v>20</v>
      </c>
      <c r="D23" s="44" t="s">
        <v>258</v>
      </c>
      <c r="E23" s="44" t="s">
        <v>404</v>
      </c>
      <c r="F23" s="48" t="s">
        <v>5</v>
      </c>
      <c r="G23" s="45" t="s">
        <v>259</v>
      </c>
      <c r="H23" s="45" t="s">
        <v>260</v>
      </c>
      <c r="I23" s="44" t="s">
        <v>1224</v>
      </c>
      <c r="J23" s="44" t="s">
        <v>264</v>
      </c>
      <c r="K23" s="44" t="s">
        <v>262</v>
      </c>
      <c r="L23" s="144">
        <v>2070821.3</v>
      </c>
      <c r="M23" s="41" t="str">
        <f>CONCATENATE(A23,".",D23,," ","-"," ",K23,"     ", "(","Tipo do objeto: ",Tabela15[[#This Row],[TIPO DO OBJETO]],")")</f>
        <v>18.TLB-CTR-2024/00006 - HC COMUNICAÇÃO DE DADOS LTDA.     (Tipo do objeto: Obras e Serviço de Engenharia)</v>
      </c>
      <c r="P23" s="42"/>
      <c r="Q23" s="42"/>
    </row>
    <row r="24" spans="1:17" s="41" customFormat="1" ht="105.75" thickBot="1" x14ac:dyDescent="0.3">
      <c r="A24" s="41">
        <v>19</v>
      </c>
      <c r="B24" s="43" t="s">
        <v>254</v>
      </c>
      <c r="C24" s="44" t="s">
        <v>20</v>
      </c>
      <c r="D24" s="44" t="s">
        <v>263</v>
      </c>
      <c r="E24" s="44" t="s">
        <v>404</v>
      </c>
      <c r="F24" s="48" t="s">
        <v>5</v>
      </c>
      <c r="G24" s="45" t="s">
        <v>259</v>
      </c>
      <c r="H24" s="45" t="s">
        <v>260</v>
      </c>
      <c r="I24" s="44" t="s">
        <v>1224</v>
      </c>
      <c r="J24" s="44" t="s">
        <v>261</v>
      </c>
      <c r="K24" s="44" t="s">
        <v>262</v>
      </c>
      <c r="L24" s="144">
        <v>6623405.9699999997</v>
      </c>
      <c r="M24" s="41" t="str">
        <f>CONCATENATE(A24,".",D24,," ","-"," ",K24,"     ", "(","Tipo do objeto: ",Tabela15[[#This Row],[TIPO DO OBJETO]],")")</f>
        <v>19.TLB-CTR-2024/00007 - HC COMUNICAÇÃO DE DADOS LTDA.     (Tipo do objeto: Obras e Serviço de Engenharia)</v>
      </c>
      <c r="P24" s="42"/>
      <c r="Q24" s="42"/>
    </row>
    <row r="25" spans="1:17" s="41" customFormat="1" ht="45.75" thickBot="1" x14ac:dyDescent="0.3">
      <c r="A25" s="41">
        <v>20</v>
      </c>
      <c r="B25" s="43" t="s">
        <v>276</v>
      </c>
      <c r="C25" s="44" t="s">
        <v>20</v>
      </c>
      <c r="D25" s="44" t="s">
        <v>280</v>
      </c>
      <c r="E25" s="44" t="s">
        <v>408</v>
      </c>
      <c r="F25" s="48" t="s">
        <v>5</v>
      </c>
      <c r="G25" s="45">
        <v>45357</v>
      </c>
      <c r="H25" s="45">
        <v>45722</v>
      </c>
      <c r="I25" s="44" t="s">
        <v>28</v>
      </c>
      <c r="J25" s="44" t="s">
        <v>281</v>
      </c>
      <c r="K25" s="44" t="s">
        <v>282</v>
      </c>
      <c r="L25" s="144">
        <v>52800</v>
      </c>
      <c r="M25" s="41" t="str">
        <f>CONCATENATE(A25,".",D25,," ","-"," ",K25,"     ", "(","Tipo do objeto: ",Tabela15[[#This Row],[TIPO DO OBJETO]],")")</f>
        <v>20.TLB-CTR-2024/00011 - SECPOWER COMERCIAL IMPORTADORA EXPORTADORA LTDA.     (Tipo do objeto: Compras)</v>
      </c>
      <c r="P25" s="42"/>
      <c r="Q25" s="42"/>
    </row>
    <row r="26" spans="1:17" s="41" customFormat="1" ht="30.75" thickBot="1" x14ac:dyDescent="0.3">
      <c r="A26" s="41">
        <v>21</v>
      </c>
      <c r="B26" s="43" t="s">
        <v>284</v>
      </c>
      <c r="C26" s="44" t="s">
        <v>20</v>
      </c>
      <c r="D26" s="44" t="s">
        <v>288</v>
      </c>
      <c r="E26" s="44" t="s">
        <v>409</v>
      </c>
      <c r="F26" s="48" t="s">
        <v>5</v>
      </c>
      <c r="G26" s="45" t="s">
        <v>289</v>
      </c>
      <c r="H26" s="45" t="s">
        <v>290</v>
      </c>
      <c r="I26" s="44" t="s">
        <v>28</v>
      </c>
      <c r="J26" s="44" t="s">
        <v>291</v>
      </c>
      <c r="K26" s="44" t="s">
        <v>292</v>
      </c>
      <c r="L26" s="144">
        <v>81173</v>
      </c>
      <c r="M26" s="41" t="str">
        <f>CONCATENATE(A26,".",D26,," ","-"," ",K26,"     ", "(","Tipo do objeto: ",Tabela15[[#This Row],[TIPO DO OBJETO]],")")</f>
        <v>21.TLB-CTR-2024/00020 - GLOBAL DISTRIBUIÇÃO DE BENS DE CONSUMO LTDA.     (Tipo do objeto: Compras)</v>
      </c>
      <c r="P26" s="42"/>
      <c r="Q26" s="42"/>
    </row>
    <row r="27" spans="1:17" s="41" customFormat="1" ht="45.75" thickBot="1" x14ac:dyDescent="0.3">
      <c r="A27" s="41">
        <v>22</v>
      </c>
      <c r="B27" s="43" t="s">
        <v>294</v>
      </c>
      <c r="C27" s="44" t="s">
        <v>20</v>
      </c>
      <c r="D27" s="44" t="s">
        <v>298</v>
      </c>
      <c r="E27" s="44" t="s">
        <v>411</v>
      </c>
      <c r="F27" s="48" t="s">
        <v>7</v>
      </c>
      <c r="G27" s="45">
        <v>45406</v>
      </c>
      <c r="H27" s="45">
        <v>45771</v>
      </c>
      <c r="I27" s="44" t="s">
        <v>33</v>
      </c>
      <c r="J27" s="44" t="s">
        <v>299</v>
      </c>
      <c r="K27" s="44" t="s">
        <v>300</v>
      </c>
      <c r="L27" s="144">
        <v>110810</v>
      </c>
      <c r="M27" s="41" t="str">
        <f>CONCATENATE(A27,".",D27,," ","-"," ",K27,"     ", "(","Tipo do objeto: ",Tabela15[[#This Row],[TIPO DO OBJETO]],")")</f>
        <v>22.TLB-CTR-2024/00023 - NEXVIA COMÉRCIO E SERVIÇOS DE EQUIPAMENTOS DE TELECOMUNICAÇÕES LTDA     (Tipo do objeto: Serviços)</v>
      </c>
      <c r="P27" s="42"/>
      <c r="Q27" s="42"/>
    </row>
    <row r="28" spans="1:17" s="41" customFormat="1" ht="30.75" thickBot="1" x14ac:dyDescent="0.3">
      <c r="A28" s="41">
        <v>23</v>
      </c>
      <c r="B28" s="43" t="s">
        <v>302</v>
      </c>
      <c r="C28" s="44" t="s">
        <v>20</v>
      </c>
      <c r="D28" s="44" t="s">
        <v>305</v>
      </c>
      <c r="E28" s="44" t="s">
        <v>414</v>
      </c>
      <c r="F28" s="48" t="s">
        <v>5</v>
      </c>
      <c r="G28" s="45">
        <v>45411</v>
      </c>
      <c r="H28" s="45">
        <v>47237</v>
      </c>
      <c r="I28" s="44" t="s">
        <v>33</v>
      </c>
      <c r="J28" s="44" t="s">
        <v>306</v>
      </c>
      <c r="K28" s="44" t="s">
        <v>307</v>
      </c>
      <c r="L28" s="144">
        <v>648824.4</v>
      </c>
      <c r="M28" s="41" t="str">
        <f>CONCATENATE(A28,".",D28,," ","-"," ",K28,"     ", "(","Tipo do objeto: ",Tabela15[[#This Row],[TIPO DO OBJETO]],")")</f>
        <v>23.TLB-CTR-2024/00026 - G9 FACILITIES LTDA     (Tipo do objeto: Serviços)</v>
      </c>
      <c r="P28" s="42"/>
      <c r="Q28" s="42"/>
    </row>
    <row r="29" spans="1:17" s="41" customFormat="1" ht="45.75" thickBot="1" x14ac:dyDescent="0.3">
      <c r="A29" s="41">
        <v>24</v>
      </c>
      <c r="B29" s="43" t="s">
        <v>309</v>
      </c>
      <c r="C29" s="44" t="s">
        <v>20</v>
      </c>
      <c r="D29" s="44" t="s">
        <v>313</v>
      </c>
      <c r="E29" s="44" t="s">
        <v>415</v>
      </c>
      <c r="F29" s="48" t="s">
        <v>5</v>
      </c>
      <c r="G29" s="45">
        <v>45415</v>
      </c>
      <c r="H29" s="45">
        <v>47241</v>
      </c>
      <c r="I29" s="44" t="s">
        <v>33</v>
      </c>
      <c r="J29" s="44" t="s">
        <v>314</v>
      </c>
      <c r="K29" s="44" t="s">
        <v>315</v>
      </c>
      <c r="L29" s="144">
        <v>414750</v>
      </c>
      <c r="M29" s="41" t="str">
        <f>CONCATENATE(A29,".",D29,," ","-"," ",K29,"     ", "(","Tipo do objeto: ",Tabela15[[#This Row],[TIPO DO OBJETO]],")")</f>
        <v>24.TLB-CTR-2024/00019 - INSTITUTO DE PESQUISAS TECNOLOGICAS DO ESTADO DESAO PAULO S/A - IPT.     (Tipo do objeto: Serviços)</v>
      </c>
      <c r="P29" s="42"/>
      <c r="Q29" s="42"/>
    </row>
    <row r="30" spans="1:17" s="41" customFormat="1" ht="30.75" thickBot="1" x14ac:dyDescent="0.3">
      <c r="A30" s="41">
        <v>25</v>
      </c>
      <c r="B30" s="43" t="s">
        <v>328</v>
      </c>
      <c r="C30" s="44" t="s">
        <v>20</v>
      </c>
      <c r="D30" s="44" t="s">
        <v>332</v>
      </c>
      <c r="E30" s="44" t="s">
        <v>418</v>
      </c>
      <c r="F30" s="48" t="s">
        <v>4</v>
      </c>
      <c r="G30" s="45">
        <v>45421</v>
      </c>
      <c r="H30" s="45">
        <v>45786</v>
      </c>
      <c r="I30" s="44" t="s">
        <v>33</v>
      </c>
      <c r="J30" s="44" t="s">
        <v>333</v>
      </c>
      <c r="K30" s="44" t="s">
        <v>334</v>
      </c>
      <c r="L30" s="144">
        <v>1300</v>
      </c>
      <c r="M30" s="41" t="str">
        <f>CONCATENATE(A30,".",D30,," ","-"," ",K30,"     ", "(","Tipo do objeto: ",Tabela15[[#This Row],[TIPO DO OBJETO]],")")</f>
        <v>25.TLB-CTR-2024/00024 - TARGET ENGENHARIA  E  CONSULTORIA  LTDA.     (Tipo do objeto: Serviços)</v>
      </c>
      <c r="P30" s="42"/>
      <c r="Q30" s="42"/>
    </row>
    <row r="31" spans="1:17" s="41" customFormat="1" ht="75.75" thickBot="1" x14ac:dyDescent="0.3">
      <c r="A31" s="41">
        <v>26</v>
      </c>
      <c r="B31" s="43" t="s">
        <v>340</v>
      </c>
      <c r="C31" s="44" t="s">
        <v>20</v>
      </c>
      <c r="D31" s="44" t="s">
        <v>341</v>
      </c>
      <c r="E31" s="44" t="s">
        <v>420</v>
      </c>
      <c r="F31" s="48" t="s">
        <v>5</v>
      </c>
      <c r="G31" s="45">
        <v>45439</v>
      </c>
      <c r="H31" s="45">
        <v>46230</v>
      </c>
      <c r="I31" s="44" t="s">
        <v>33</v>
      </c>
      <c r="J31" s="44" t="s">
        <v>337</v>
      </c>
      <c r="K31" s="44" t="s">
        <v>338</v>
      </c>
      <c r="L31" s="144">
        <v>74999.86</v>
      </c>
      <c r="M31" s="41" t="str">
        <f>CONCATENATE(A31,".",D31,," ","-"," ",K31,"     ", "(","Tipo do objeto: ",Tabela15[[#This Row],[TIPO DO OBJETO]],")")</f>
        <v>26.TLB-CTR-2024/00032 - QUÂNTICA EMPRESA DE CONSULTORIA E SERVIÇOS LTDA     (Tipo do objeto: Serviços)</v>
      </c>
      <c r="P31" s="42"/>
      <c r="Q31" s="42"/>
    </row>
    <row r="32" spans="1:17" s="41" customFormat="1" ht="60.75" thickBot="1" x14ac:dyDescent="0.3">
      <c r="A32" s="41">
        <v>27</v>
      </c>
      <c r="B32" s="43" t="s">
        <v>353</v>
      </c>
      <c r="C32" s="44" t="s">
        <v>20</v>
      </c>
      <c r="D32" s="44" t="s">
        <v>357</v>
      </c>
      <c r="E32" s="44" t="s">
        <v>424</v>
      </c>
      <c r="F32" s="48" t="s">
        <v>7</v>
      </c>
      <c r="G32" s="45">
        <v>45446</v>
      </c>
      <c r="H32" s="45">
        <v>46084</v>
      </c>
      <c r="I32" s="44" t="s">
        <v>33</v>
      </c>
      <c r="J32" s="44" t="s">
        <v>358</v>
      </c>
      <c r="K32" s="44" t="s">
        <v>359</v>
      </c>
      <c r="L32" s="144">
        <v>830337.15</v>
      </c>
      <c r="M32" s="41" t="str">
        <f>CONCATENATE(A32,".",D32,," ","-"," ",K32,"     ", "(","Tipo do objeto: ",Tabela15[[#This Row],[TIPO DO OBJETO]],")")</f>
        <v>27.TLB-CTR-2024/00035 - CENTRAL SERVIÇOS E GESTÃO LTDA     (Tipo do objeto: Serviços)</v>
      </c>
      <c r="P32" s="42"/>
      <c r="Q32" s="42"/>
    </row>
    <row r="33" spans="1:17" s="41" customFormat="1" ht="105.75" thickBot="1" x14ac:dyDescent="0.3">
      <c r="A33" s="41">
        <v>28</v>
      </c>
      <c r="B33" s="43" t="s">
        <v>361</v>
      </c>
      <c r="C33" s="44" t="s">
        <v>20</v>
      </c>
      <c r="D33" s="44" t="s">
        <v>774</v>
      </c>
      <c r="E33" s="44" t="s">
        <v>785</v>
      </c>
      <c r="F33" s="48" t="s">
        <v>5</v>
      </c>
      <c r="G33" s="45">
        <v>45623</v>
      </c>
      <c r="H33" s="45">
        <v>46018</v>
      </c>
      <c r="I33" s="44" t="s">
        <v>28</v>
      </c>
      <c r="J33" s="44" t="s">
        <v>780</v>
      </c>
      <c r="K33" s="44" t="s">
        <v>781</v>
      </c>
      <c r="L33" s="144">
        <v>67500</v>
      </c>
      <c r="M33" s="41" t="str">
        <f>CONCATENATE(A33,".",D33,," ","-"," ",K33,"     ", "(","Tipo do objeto: ",Tabela15[[#This Row],[TIPO DO OBJETO]],")")</f>
        <v>28.TLB-CTR-2024/00083 - TECNO2000 INDUSTRIA E COMERCIO LTDA     (Tipo do objeto: Compras)</v>
      </c>
      <c r="P33" s="42"/>
      <c r="Q33" s="42"/>
    </row>
    <row r="34" spans="1:17" s="41" customFormat="1" ht="60.75" thickBot="1" x14ac:dyDescent="0.3">
      <c r="A34" s="41" t="s">
        <v>846</v>
      </c>
      <c r="B34" s="43" t="s">
        <v>463</v>
      </c>
      <c r="C34" s="44" t="s">
        <v>20</v>
      </c>
      <c r="D34" s="44" t="s">
        <v>430</v>
      </c>
      <c r="E34" s="44" t="s">
        <v>468</v>
      </c>
      <c r="F34" s="48" t="s">
        <v>4</v>
      </c>
      <c r="G34" s="45">
        <v>45454</v>
      </c>
      <c r="H34" s="45">
        <v>45819</v>
      </c>
      <c r="I34" s="44" t="s">
        <v>33</v>
      </c>
      <c r="J34" s="44" t="s">
        <v>469</v>
      </c>
      <c r="K34" s="44" t="s">
        <v>470</v>
      </c>
      <c r="L34" s="144">
        <v>185800</v>
      </c>
      <c r="M34" s="41" t="str">
        <f>CONCATENATE(A34,".",D34,," ","-"," ",K34,"     ", "(","Tipo do objeto: ",Tabela15[[#This Row],[TIPO DO OBJETO]],")")</f>
        <v>28.1.TLB-CTR-2024/00040 - IMPAKT CONSULTORIA S/S LIMITADA     (Tipo do objeto: Serviços)</v>
      </c>
      <c r="P34" s="42"/>
      <c r="Q34" s="42"/>
    </row>
    <row r="35" spans="1:17" s="41" customFormat="1" ht="30.75" thickBot="1" x14ac:dyDescent="0.3">
      <c r="A35" s="41">
        <v>29</v>
      </c>
      <c r="B35" s="43" t="s">
        <v>472</v>
      </c>
      <c r="C35" s="44" t="s">
        <v>20</v>
      </c>
      <c r="D35" s="44" t="s">
        <v>772</v>
      </c>
      <c r="E35" s="44" t="s">
        <v>547</v>
      </c>
      <c r="F35" s="48" t="s">
        <v>4</v>
      </c>
      <c r="G35" s="45">
        <v>45463</v>
      </c>
      <c r="H35" s="45">
        <v>45657</v>
      </c>
      <c r="I35" s="44" t="s">
        <v>33</v>
      </c>
      <c r="J35" s="44" t="s">
        <v>476</v>
      </c>
      <c r="K35" s="44" t="s">
        <v>477</v>
      </c>
      <c r="L35" s="144">
        <v>13477</v>
      </c>
      <c r="M35" s="41" t="str">
        <f>CONCATENATE(A35,".",D35,," ","-"," ",K35,"     ", "(","Tipo do objeto: ",Tabela15[[#This Row],[TIPO DO OBJETO]],")")</f>
        <v>29.TLB-CTR-2024/00045 - INSTITUTO BRASILEIRO DE GOVERNANÇA CORPORATIVA - IBGC     (Tipo do objeto: Serviços)</v>
      </c>
      <c r="P35" s="42"/>
      <c r="Q35" s="42"/>
    </row>
    <row r="36" spans="1:17" s="41" customFormat="1" ht="60.75" thickBot="1" x14ac:dyDescent="0.3">
      <c r="A36" s="41">
        <v>30</v>
      </c>
      <c r="B36" s="43" t="s">
        <v>479</v>
      </c>
      <c r="C36" s="44" t="s">
        <v>20</v>
      </c>
      <c r="D36" s="44" t="s">
        <v>482</v>
      </c>
      <c r="E36" s="44" t="s">
        <v>542</v>
      </c>
      <c r="F36" s="48" t="s">
        <v>11</v>
      </c>
      <c r="G36" s="45">
        <v>45467</v>
      </c>
      <c r="H36" s="45">
        <v>45560</v>
      </c>
      <c r="I36" s="44" t="s">
        <v>1224</v>
      </c>
      <c r="J36" s="44" t="s">
        <v>483</v>
      </c>
      <c r="K36" s="44" t="s">
        <v>485</v>
      </c>
      <c r="L36" s="144">
        <v>43372.28</v>
      </c>
      <c r="M36" s="41" t="str">
        <f>CONCATENATE(A36,".",D36,," ","-"," ",K36,"     ", "(","Tipo do objeto: ",Tabela15[[#This Row],[TIPO DO OBJETO]],")")</f>
        <v>30.TLB-CTR-2024/00044 - MEGA INFRA SOLUÇÕES EM INFRAESTRUTURA LTDA     (Tipo do objeto: Obras e Serviço de Engenharia)</v>
      </c>
      <c r="P36" s="42"/>
      <c r="Q36" s="42"/>
    </row>
    <row r="37" spans="1:17" s="41" customFormat="1" ht="150.75" thickBot="1" x14ac:dyDescent="0.3">
      <c r="A37" s="41">
        <v>31</v>
      </c>
      <c r="B37" s="43" t="s">
        <v>480</v>
      </c>
      <c r="C37" s="44" t="s">
        <v>20</v>
      </c>
      <c r="D37" s="44" t="s">
        <v>488</v>
      </c>
      <c r="E37" s="44" t="s">
        <v>544</v>
      </c>
      <c r="F37" s="48" t="s">
        <v>5</v>
      </c>
      <c r="G37" s="45">
        <v>45468</v>
      </c>
      <c r="H37" s="45">
        <v>47295</v>
      </c>
      <c r="I37" s="44" t="s">
        <v>33</v>
      </c>
      <c r="J37" s="44" t="s">
        <v>490</v>
      </c>
      <c r="K37" s="44" t="s">
        <v>489</v>
      </c>
      <c r="L37" s="144">
        <v>706981.67</v>
      </c>
      <c r="M37" s="41" t="str">
        <f>CONCATENATE(A37,".",D37,," ","-"," ",K37,"     ", "(","Tipo do objeto: ",Tabela15[[#This Row],[TIPO DO OBJETO]],")")</f>
        <v>31.TLB-CTR-2024/00048 - EMPRESA REI DE OURO MUDANÇAS E TRANSPORTE     (Tipo do objeto: Serviços)</v>
      </c>
      <c r="P37" s="42"/>
      <c r="Q37" s="42"/>
    </row>
    <row r="38" spans="1:17" s="41" customFormat="1" ht="45.75" thickBot="1" x14ac:dyDescent="0.3">
      <c r="A38" s="41">
        <v>32</v>
      </c>
      <c r="B38" s="43" t="s">
        <v>491</v>
      </c>
      <c r="C38" s="44" t="s">
        <v>21</v>
      </c>
      <c r="D38" s="44" t="s">
        <v>495</v>
      </c>
      <c r="E38" s="44" t="s">
        <v>497</v>
      </c>
      <c r="F38" s="48" t="s">
        <v>600</v>
      </c>
      <c r="G38" s="45">
        <v>45449</v>
      </c>
      <c r="H38" s="45">
        <v>45657</v>
      </c>
      <c r="I38" s="44" t="s">
        <v>28</v>
      </c>
      <c r="J38" s="44" t="s">
        <v>498</v>
      </c>
      <c r="K38" s="44" t="s">
        <v>499</v>
      </c>
      <c r="L38" s="144">
        <v>11562.56</v>
      </c>
      <c r="M38" s="41" t="str">
        <f>CONCATENATE(A38,".",D38,," ","-"," ",K38,"     ", "(","Tipo do objeto: ",Tabela15[[#This Row],[TIPO DO OBJETO]],")")</f>
        <v>32.2024NE000831 - LEGACY DISTRIBUIDORA DE INFORMATICA E ELETROELETRONICOS LTDA     (Tipo do objeto: Compras)</v>
      </c>
      <c r="P38" s="42"/>
      <c r="Q38" s="42"/>
    </row>
    <row r="39" spans="1:17" s="41" customFormat="1" ht="45.75" thickBot="1" x14ac:dyDescent="0.3">
      <c r="A39" s="41">
        <v>33</v>
      </c>
      <c r="B39" s="43" t="s">
        <v>491</v>
      </c>
      <c r="C39" s="44" t="s">
        <v>21</v>
      </c>
      <c r="D39" s="44" t="s">
        <v>501</v>
      </c>
      <c r="E39" s="44" t="s">
        <v>497</v>
      </c>
      <c r="F39" s="48" t="s">
        <v>600</v>
      </c>
      <c r="G39" s="45">
        <v>45453</v>
      </c>
      <c r="H39" s="45">
        <v>45657</v>
      </c>
      <c r="I39" s="44" t="s">
        <v>29</v>
      </c>
      <c r="J39" s="44" t="s">
        <v>498</v>
      </c>
      <c r="K39" s="44" t="s">
        <v>502</v>
      </c>
      <c r="L39" s="144">
        <v>650</v>
      </c>
      <c r="M39" s="41" t="str">
        <f>CONCATENATE(A39,".",D39,," ","-"," ",K39,"     ", "(","Tipo do objeto: ",Tabela15[[#This Row],[TIPO DO OBJETO]],")")</f>
        <v>33.2024NE000840 - CALCAM COMERCIAL DE SUPRIMENTOS DE INFORMATICA LTDA     (Tipo do objeto: Informática (TIC))</v>
      </c>
      <c r="P39" s="42"/>
      <c r="Q39" s="42"/>
    </row>
    <row r="40" spans="1:17" s="41" customFormat="1" ht="45.75" thickBot="1" x14ac:dyDescent="0.3">
      <c r="A40" s="41">
        <v>34</v>
      </c>
      <c r="B40" s="43" t="s">
        <v>504</v>
      </c>
      <c r="C40" s="44" t="s">
        <v>21</v>
      </c>
      <c r="D40" s="44" t="s">
        <v>508</v>
      </c>
      <c r="E40" s="44" t="s">
        <v>510</v>
      </c>
      <c r="F40" s="48" t="s">
        <v>4</v>
      </c>
      <c r="G40" s="45">
        <v>45407</v>
      </c>
      <c r="H40" s="45">
        <v>45657</v>
      </c>
      <c r="I40" s="44" t="s">
        <v>33</v>
      </c>
      <c r="J40" s="44" t="s">
        <v>511</v>
      </c>
      <c r="K40" s="44" t="s">
        <v>512</v>
      </c>
      <c r="L40" s="144">
        <v>10500</v>
      </c>
      <c r="M40" s="41" t="str">
        <f>CONCATENATE(A40,".",D40,," ","-"," ",K40,"     ", "(","Tipo do objeto: ",Tabela15[[#This Row],[TIPO DO OBJETO]],")")</f>
        <v>34.2024NE000684 - IBET INSTITUTO BRASILEIRO DE ESTUDOS TRIBUTARIOS     (Tipo do objeto: Serviços)</v>
      </c>
      <c r="P40" s="42"/>
      <c r="Q40" s="42"/>
    </row>
    <row r="41" spans="1:17" s="41" customFormat="1" ht="45.75" thickBot="1" x14ac:dyDescent="0.3">
      <c r="A41" s="41">
        <v>35</v>
      </c>
      <c r="B41" s="43" t="s">
        <v>514</v>
      </c>
      <c r="C41" s="44" t="s">
        <v>21</v>
      </c>
      <c r="D41" s="44" t="s">
        <v>518</v>
      </c>
      <c r="E41" s="44" t="s">
        <v>510</v>
      </c>
      <c r="F41" s="48" t="s">
        <v>4</v>
      </c>
      <c r="G41" s="45">
        <v>45414</v>
      </c>
      <c r="H41" s="45">
        <v>45657</v>
      </c>
      <c r="I41" s="44" t="s">
        <v>33</v>
      </c>
      <c r="J41" s="44" t="s">
        <v>520</v>
      </c>
      <c r="K41" s="44" t="s">
        <v>521</v>
      </c>
      <c r="L41" s="144">
        <v>5300</v>
      </c>
      <c r="M41" s="41" t="str">
        <f>CONCATENATE(A41,".",D41,," ","-"," ",K41,"     ", "(","Tipo do objeto: ",Tabela15[[#This Row],[TIPO DO OBJETO]],")")</f>
        <v>35.2024NE000711 - INTEGRACAO - ESCOLA DE NEGOCIOS LTDA     (Tipo do objeto: Serviços)</v>
      </c>
      <c r="P41" s="42"/>
      <c r="Q41" s="42"/>
    </row>
    <row r="42" spans="1:17" s="41" customFormat="1" ht="45.75" thickBot="1" x14ac:dyDescent="0.3">
      <c r="A42" s="41">
        <v>36</v>
      </c>
      <c r="B42" s="43" t="s">
        <v>523</v>
      </c>
      <c r="C42" s="44" t="s">
        <v>21</v>
      </c>
      <c r="D42" s="44" t="s">
        <v>527</v>
      </c>
      <c r="E42" s="44" t="s">
        <v>529</v>
      </c>
      <c r="F42" s="48" t="s">
        <v>7</v>
      </c>
      <c r="G42" s="45">
        <v>45464</v>
      </c>
      <c r="H42" s="45">
        <v>45657</v>
      </c>
      <c r="I42" s="44" t="s">
        <v>28</v>
      </c>
      <c r="J42" s="44" t="s">
        <v>530</v>
      </c>
      <c r="K42" s="44" t="s">
        <v>531</v>
      </c>
      <c r="L42" s="144">
        <v>14340.16</v>
      </c>
      <c r="M42" s="41" t="str">
        <f>CONCATENATE(A42,".",D42,," ","-"," ",K42,"     ", "(","Tipo do objeto: ",Tabela15[[#This Row],[TIPO DO OBJETO]],")")</f>
        <v>36.2024NE000869 - SEC POWER COMERCIAL, IMPORTADORA E EXPORTADORA LTDA     (Tipo do objeto: Compras)</v>
      </c>
      <c r="P42" s="42"/>
      <c r="Q42" s="42"/>
    </row>
    <row r="43" spans="1:17" s="41" customFormat="1" ht="75.75" thickBot="1" x14ac:dyDescent="0.3">
      <c r="A43" s="41">
        <v>37</v>
      </c>
      <c r="B43" s="43" t="s">
        <v>532</v>
      </c>
      <c r="C43" s="44" t="s">
        <v>20</v>
      </c>
      <c r="D43" s="44" t="s">
        <v>536</v>
      </c>
      <c r="E43" s="44" t="s">
        <v>384</v>
      </c>
      <c r="F43" s="48" t="s">
        <v>7</v>
      </c>
      <c r="G43" s="45">
        <v>45474</v>
      </c>
      <c r="H43" s="45">
        <v>47300</v>
      </c>
      <c r="I43" s="44" t="s">
        <v>33</v>
      </c>
      <c r="J43" s="44" t="s">
        <v>533</v>
      </c>
      <c r="K43" s="44" t="s">
        <v>538</v>
      </c>
      <c r="L43" s="144">
        <v>1569746.4</v>
      </c>
      <c r="M43" s="41" t="str">
        <f>CONCATENATE(A43,".",D43,," ","-"," ",K43,"     ", "(","Tipo do objeto: ",Tabela15[[#This Row],[TIPO DO OBJETO]],")")</f>
        <v>37.TLB-CTR-2024/00049 - REAL JG FACILITIES S/A     (Tipo do objeto: Serviços)</v>
      </c>
      <c r="P43" s="42"/>
      <c r="Q43" s="42"/>
    </row>
    <row r="44" spans="1:17" s="41" customFormat="1" ht="60.75" thickBot="1" x14ac:dyDescent="0.3">
      <c r="A44" s="41">
        <v>38</v>
      </c>
      <c r="B44" s="43" t="s">
        <v>549</v>
      </c>
      <c r="C44" s="44" t="s">
        <v>21</v>
      </c>
      <c r="D44" s="44" t="s">
        <v>552</v>
      </c>
      <c r="E44" s="44" t="s">
        <v>554</v>
      </c>
      <c r="F44" s="48" t="s">
        <v>7</v>
      </c>
      <c r="G44" s="45">
        <v>45489</v>
      </c>
      <c r="H44" s="45">
        <v>45657</v>
      </c>
      <c r="I44" s="44" t="s">
        <v>33</v>
      </c>
      <c r="J44" s="44" t="s">
        <v>555</v>
      </c>
      <c r="K44" s="44" t="s">
        <v>556</v>
      </c>
      <c r="L44" s="144">
        <v>8381.5300000000007</v>
      </c>
      <c r="M44" s="41" t="str">
        <f>CONCATENATE(A44,".",D44,," ","-"," ",K44,"     ", "(","Tipo do objeto: ",Tabela15[[#This Row],[TIPO DO OBJETO]],")")</f>
        <v>38.2024NE000893 - ROBSON O DE SOUZA     (Tipo do objeto: Serviços)</v>
      </c>
      <c r="P44" s="42"/>
      <c r="Q44" s="42"/>
    </row>
    <row r="45" spans="1:17" s="41" customFormat="1" ht="60.75" thickBot="1" x14ac:dyDescent="0.3">
      <c r="A45" s="41">
        <v>39</v>
      </c>
      <c r="B45" s="43" t="s">
        <v>558</v>
      </c>
      <c r="C45" s="44" t="s">
        <v>21</v>
      </c>
      <c r="D45" s="44" t="s">
        <v>560</v>
      </c>
      <c r="E45" s="44" t="s">
        <v>562</v>
      </c>
      <c r="F45" s="48" t="s">
        <v>4</v>
      </c>
      <c r="G45" s="45">
        <v>45503</v>
      </c>
      <c r="H45" s="45">
        <v>45595</v>
      </c>
      <c r="I45" s="44" t="s">
        <v>33</v>
      </c>
      <c r="J45" s="44" t="s">
        <v>602</v>
      </c>
      <c r="K45" s="44" t="s">
        <v>601</v>
      </c>
      <c r="L45" s="144">
        <v>1900</v>
      </c>
      <c r="M45" s="41" t="str">
        <f>CONCATENATE(A45,".",D45,," ","-"," ",K45,"     ", "(","Tipo do objeto: ",Tabela15[[#This Row],[TIPO DO OBJETO]],")")</f>
        <v>39.2024NE000909 - Bioseg Brasília Soluções em Segurança e Medicina do Trabalho Ltda.     (Tipo do objeto: Serviços)</v>
      </c>
      <c r="P45" s="42"/>
      <c r="Q45" s="42"/>
    </row>
    <row r="46" spans="1:17" s="41" customFormat="1" ht="30.75" thickBot="1" x14ac:dyDescent="0.3">
      <c r="A46" s="41">
        <v>40</v>
      </c>
      <c r="B46" s="43" t="s">
        <v>566</v>
      </c>
      <c r="C46" s="44" t="s">
        <v>21</v>
      </c>
      <c r="D46" s="44" t="s">
        <v>569</v>
      </c>
      <c r="E46" s="44" t="s">
        <v>393</v>
      </c>
      <c r="F46" s="48" t="s">
        <v>4</v>
      </c>
      <c r="G46" s="45">
        <v>45474</v>
      </c>
      <c r="H46" s="45">
        <v>45657</v>
      </c>
      <c r="I46" s="44" t="s">
        <v>33</v>
      </c>
      <c r="J46" s="44" t="s">
        <v>571</v>
      </c>
      <c r="K46" s="44" t="s">
        <v>572</v>
      </c>
      <c r="L46" s="144">
        <v>397</v>
      </c>
      <c r="M46" s="41" t="str">
        <f>CONCATENATE(A46,".",D46,," ","-"," ",K46,"     ", "(","Tipo do objeto: ",Tabela15[[#This Row],[TIPO DO OBJETO]],")")</f>
        <v>40.2024NE000885 - PS Treinamento Profissional e Consultoria Empresarial Ltda     (Tipo do objeto: Serviços)</v>
      </c>
      <c r="P46" s="42"/>
      <c r="Q46" s="42"/>
    </row>
    <row r="47" spans="1:17" s="41" customFormat="1" ht="75.75" thickBot="1" x14ac:dyDescent="0.3">
      <c r="A47" s="41">
        <v>41</v>
      </c>
      <c r="B47" s="43" t="s">
        <v>574</v>
      </c>
      <c r="C47" s="44" t="s">
        <v>21</v>
      </c>
      <c r="D47" s="44" t="s">
        <v>578</v>
      </c>
      <c r="E47" s="44" t="s">
        <v>580</v>
      </c>
      <c r="F47" s="48" t="s">
        <v>4</v>
      </c>
      <c r="G47" s="45">
        <v>45490</v>
      </c>
      <c r="H47" s="45">
        <v>45657</v>
      </c>
      <c r="I47" s="44" t="s">
        <v>33</v>
      </c>
      <c r="J47" s="44" t="s">
        <v>581</v>
      </c>
      <c r="K47" s="44" t="s">
        <v>582</v>
      </c>
      <c r="L47" s="144">
        <v>59998</v>
      </c>
      <c r="M47" s="41" t="str">
        <f>CONCATENATE(A47,".",D47,," ","-"," ",K47,"     ", "(","Tipo do objeto: ",Tabela15[[#This Row],[TIPO DO OBJETO]],")")</f>
        <v>41.2024NE000896 - ASSOCIACAO BRASILEIRA DE ENTIDADES ESTADUAIS     (Tipo do objeto: Serviços)</v>
      </c>
      <c r="P47" s="42"/>
      <c r="Q47" s="42"/>
    </row>
    <row r="48" spans="1:17" s="41" customFormat="1" ht="30.75" thickBot="1" x14ac:dyDescent="0.3">
      <c r="A48" s="41">
        <v>42</v>
      </c>
      <c r="B48" s="43" t="s">
        <v>584</v>
      </c>
      <c r="C48" s="44" t="s">
        <v>21</v>
      </c>
      <c r="D48" s="44" t="s">
        <v>587</v>
      </c>
      <c r="E48" s="44" t="s">
        <v>510</v>
      </c>
      <c r="F48" s="48" t="s">
        <v>4</v>
      </c>
      <c r="G48" s="45">
        <v>45490</v>
      </c>
      <c r="H48" s="45">
        <v>45657</v>
      </c>
      <c r="I48" s="44" t="s">
        <v>33</v>
      </c>
      <c r="J48" s="44" t="s">
        <v>589</v>
      </c>
      <c r="K48" s="44" t="s">
        <v>590</v>
      </c>
      <c r="L48" s="144">
        <v>13760</v>
      </c>
      <c r="M48" s="41" t="str">
        <f>CONCATENATE(A48,".",D48,," ","-"," ",K48,"     ", "(","Tipo do objeto: ",Tabela15[[#This Row],[TIPO DO OBJETO]],")")</f>
        <v>42.2024NE000895 - ASSOCIACAO BRASILEIRA DE RECURSOS HUMANOS     (Tipo do objeto: Serviços)</v>
      </c>
      <c r="P48" s="42"/>
      <c r="Q48" s="42"/>
    </row>
    <row r="49" spans="1:17" s="41" customFormat="1" ht="30.75" thickBot="1" x14ac:dyDescent="0.3">
      <c r="A49" s="41">
        <v>43</v>
      </c>
      <c r="B49" s="43" t="s">
        <v>592</v>
      </c>
      <c r="C49" s="44" t="s">
        <v>21</v>
      </c>
      <c r="D49" s="44" t="s">
        <v>595</v>
      </c>
      <c r="E49" s="44" t="s">
        <v>597</v>
      </c>
      <c r="F49" s="48" t="s">
        <v>4</v>
      </c>
      <c r="G49" s="45">
        <v>45510</v>
      </c>
      <c r="H49" s="45">
        <v>45657</v>
      </c>
      <c r="I49" s="44" t="s">
        <v>33</v>
      </c>
      <c r="J49" s="44" t="s">
        <v>598</v>
      </c>
      <c r="K49" s="44" t="s">
        <v>599</v>
      </c>
      <c r="L49" s="144">
        <v>16230</v>
      </c>
      <c r="M49" s="41" t="str">
        <f>CONCATENATE(A49,".",D49,," ","-"," ",K49,"     ", "(","Tipo do objeto: ",Tabela15[[#This Row],[TIPO DO OBJETO]],")")</f>
        <v>43.2024NE000915 - INSTITUTO BRASILEIRO DE GOVERNANCA CORPORATIVA     (Tipo do objeto: Serviços)</v>
      </c>
      <c r="P49" s="42"/>
      <c r="Q49" s="42"/>
    </row>
    <row r="50" spans="1:17" s="41" customFormat="1" ht="45.75" thickBot="1" x14ac:dyDescent="0.3">
      <c r="A50" s="41">
        <v>44</v>
      </c>
      <c r="B50" s="43" t="s">
        <v>605</v>
      </c>
      <c r="C50" s="44" t="s">
        <v>21</v>
      </c>
      <c r="D50" s="44" t="s">
        <v>604</v>
      </c>
      <c r="E50" s="44" t="s">
        <v>384</v>
      </c>
      <c r="F50" s="48" t="s">
        <v>7</v>
      </c>
      <c r="G50" s="45">
        <v>45407</v>
      </c>
      <c r="H50" s="45">
        <v>45657</v>
      </c>
      <c r="I50" s="44" t="s">
        <v>28</v>
      </c>
      <c r="J50" s="44" t="s">
        <v>606</v>
      </c>
      <c r="K50" s="44" t="s">
        <v>607</v>
      </c>
      <c r="L50" s="144">
        <v>10383.43</v>
      </c>
      <c r="M50" s="41" t="str">
        <f>CONCATENATE(A50,".",D50,," ","-"," ",K50,"     ", "(","Tipo do objeto: ",Tabela15[[#This Row],[TIPO DO OBJETO]],")")</f>
        <v>44.2024NE000682 - COMERCIAL ALVORADA DE PRODUTOS PARA LIMPEZA E DESCARTÁVEIS LTDA     (Tipo do objeto: Compras)</v>
      </c>
      <c r="P50" s="42"/>
      <c r="Q50" s="42"/>
    </row>
    <row r="51" spans="1:17" s="41" customFormat="1" ht="30.75" thickBot="1" x14ac:dyDescent="0.3">
      <c r="A51" s="41">
        <v>45</v>
      </c>
      <c r="B51" s="43" t="s">
        <v>610</v>
      </c>
      <c r="C51" s="44" t="s">
        <v>21</v>
      </c>
      <c r="D51" s="44" t="s">
        <v>609</v>
      </c>
      <c r="E51" s="44" t="s">
        <v>580</v>
      </c>
      <c r="F51" s="48" t="s">
        <v>600</v>
      </c>
      <c r="G51" s="45">
        <v>45435</v>
      </c>
      <c r="H51" s="45">
        <v>45657</v>
      </c>
      <c r="I51" s="44" t="s">
        <v>28</v>
      </c>
      <c r="J51" s="44" t="s">
        <v>612</v>
      </c>
      <c r="K51" s="44" t="s">
        <v>613</v>
      </c>
      <c r="L51" s="144">
        <v>12150</v>
      </c>
      <c r="M51" s="41" t="str">
        <f>CONCATENATE(A51,".",D51,," ","-"," ",K51,"     ", "(","Tipo do objeto: ",Tabela15[[#This Row],[TIPO DO OBJETO]],")")</f>
        <v>45.2024NE000817 - SUBLIMA BOLSAS LTDA     (Tipo do objeto: Compras)</v>
      </c>
      <c r="P51" s="42"/>
      <c r="Q51" s="42"/>
    </row>
    <row r="52" spans="1:17" s="41" customFormat="1" ht="45.75" thickBot="1" x14ac:dyDescent="0.3">
      <c r="A52" s="41">
        <v>46</v>
      </c>
      <c r="B52" s="43" t="s">
        <v>632</v>
      </c>
      <c r="C52" s="44" t="s">
        <v>20</v>
      </c>
      <c r="D52" s="44" t="s">
        <v>271</v>
      </c>
      <c r="E52" s="44" t="s">
        <v>529</v>
      </c>
      <c r="F52" s="48" t="s">
        <v>5</v>
      </c>
      <c r="G52" s="45" t="s">
        <v>259</v>
      </c>
      <c r="H52" s="45" t="s">
        <v>272</v>
      </c>
      <c r="I52" s="44" t="s">
        <v>28</v>
      </c>
      <c r="J52" s="44" t="s">
        <v>273</v>
      </c>
      <c r="K52" s="44" t="s">
        <v>274</v>
      </c>
      <c r="L52" s="144">
        <v>368396</v>
      </c>
      <c r="M52" s="41" t="str">
        <f>CONCATENATE(A52,".",D52,," ","-"," ",K52,"     ", "(","Tipo do objeto: ",Tabela15[[#This Row],[TIPO DO OBJETO]],")")</f>
        <v>46.TLB-CTR-2024/00010 - INFOPLAN TECNOLOGIA COMÉRCIO E SERVIÇOS LTDA     (Tipo do objeto: Compras)</v>
      </c>
      <c r="P52" s="42"/>
      <c r="Q52" s="42"/>
    </row>
    <row r="53" spans="1:17" s="41" customFormat="1" ht="45.75" thickBot="1" x14ac:dyDescent="0.3">
      <c r="A53" s="41">
        <v>47</v>
      </c>
      <c r="B53" s="43" t="s">
        <v>639</v>
      </c>
      <c r="C53" s="44" t="s">
        <v>20</v>
      </c>
      <c r="D53" s="44" t="s">
        <v>645</v>
      </c>
      <c r="E53" s="44" t="s">
        <v>655</v>
      </c>
      <c r="F53" s="48" t="s">
        <v>5</v>
      </c>
      <c r="G53" s="45">
        <v>45471</v>
      </c>
      <c r="H53" s="45">
        <v>45836</v>
      </c>
      <c r="I53" s="44" t="s">
        <v>28</v>
      </c>
      <c r="J53" s="44" t="s">
        <v>656</v>
      </c>
      <c r="K53" s="44" t="s">
        <v>657</v>
      </c>
      <c r="L53" s="144">
        <v>1436434.17</v>
      </c>
      <c r="M53" s="41" t="str">
        <f>CONCATENATE(A53,".",D53,," ","-"," ",K53,"     ", "(","Tipo do objeto: ",Tabela15[[#This Row],[TIPO DO OBJETO]],")")</f>
        <v>47.TLB-CTR-2024/00051 - KEYSIGHT TECHNOLOGIES MEDIÇÃO BRASIL LTDA     (Tipo do objeto: Compras)</v>
      </c>
      <c r="P53" s="42"/>
      <c r="Q53" s="42"/>
    </row>
    <row r="54" spans="1:17" s="41" customFormat="1" ht="105.75" thickBot="1" x14ac:dyDescent="0.3">
      <c r="A54" s="41">
        <v>48</v>
      </c>
      <c r="B54" s="43" t="s">
        <v>640</v>
      </c>
      <c r="C54" s="44" t="s">
        <v>20</v>
      </c>
      <c r="D54" s="44" t="s">
        <v>646</v>
      </c>
      <c r="E54" s="44" t="s">
        <v>661</v>
      </c>
      <c r="F54" s="48" t="s">
        <v>5</v>
      </c>
      <c r="G54" s="45">
        <v>45489</v>
      </c>
      <c r="H54" s="45">
        <v>45854</v>
      </c>
      <c r="I54" s="44" t="s">
        <v>33</v>
      </c>
      <c r="J54" s="44" t="s">
        <v>662</v>
      </c>
      <c r="K54" s="44" t="s">
        <v>663</v>
      </c>
      <c r="L54" s="144">
        <v>98000</v>
      </c>
      <c r="M54" s="41" t="str">
        <f>CONCATENATE(A54,".",D54,," ","-"," ",K54,"     ", "(","Tipo do objeto: ",Tabela15[[#This Row],[TIPO DO OBJETO]],")")</f>
        <v>48.TLB-CTR-2024/00053 - KOVR SEGURADORA S.A.     (Tipo do objeto: Serviços)</v>
      </c>
      <c r="P54" s="42"/>
      <c r="Q54" s="42"/>
    </row>
    <row r="55" spans="1:17" s="41" customFormat="1" ht="90.75" thickBot="1" x14ac:dyDescent="0.3">
      <c r="A55" s="41">
        <v>49</v>
      </c>
      <c r="B55" s="43" t="s">
        <v>652</v>
      </c>
      <c r="C55" s="44" t="s">
        <v>20</v>
      </c>
      <c r="D55" s="44" t="s">
        <v>647</v>
      </c>
      <c r="E55" s="44" t="s">
        <v>580</v>
      </c>
      <c r="F55" s="48" t="s">
        <v>4</v>
      </c>
      <c r="G55" s="45">
        <v>45491</v>
      </c>
      <c r="H55" s="45">
        <v>45657</v>
      </c>
      <c r="I55" s="44" t="s">
        <v>33</v>
      </c>
      <c r="J55" s="44" t="s">
        <v>666</v>
      </c>
      <c r="K55" s="44" t="s">
        <v>665</v>
      </c>
      <c r="L55" s="144">
        <v>59988</v>
      </c>
      <c r="M55" s="41" t="str">
        <f>CONCATENATE(A55,".",D55,," ","-"," ",K55,"     ", "(","Tipo do objeto: ",Tabela15[[#This Row],[TIPO DO OBJETO]],")")</f>
        <v>49.TLB-CTR-2024/00056 - ASSOCIAÇÃO BRASILEIRA DE ENTIDADES ESTADUAIS E PÚBLICAS DE TECNOLOGIA DA INFORMAÇÃO E COMUNICAÇÕES – ABEP     (Tipo do objeto: Serviços)</v>
      </c>
      <c r="P55" s="42"/>
      <c r="Q55" s="42"/>
    </row>
    <row r="56" spans="1:17" s="41" customFormat="1" ht="105.75" thickBot="1" x14ac:dyDescent="0.3">
      <c r="A56" s="41">
        <v>50</v>
      </c>
      <c r="B56" s="43" t="s">
        <v>641</v>
      </c>
      <c r="C56" s="44" t="s">
        <v>20</v>
      </c>
      <c r="D56" s="44" t="s">
        <v>648</v>
      </c>
      <c r="E56" s="44" t="s">
        <v>668</v>
      </c>
      <c r="F56" s="48" t="s">
        <v>5</v>
      </c>
      <c r="G56" s="45">
        <v>45492</v>
      </c>
      <c r="H56" s="45">
        <v>47318</v>
      </c>
      <c r="I56" s="44" t="s">
        <v>33</v>
      </c>
      <c r="J56" s="44" t="s">
        <v>688</v>
      </c>
      <c r="K56" s="44" t="s">
        <v>670</v>
      </c>
      <c r="L56" s="144">
        <v>266414.40000000002</v>
      </c>
      <c r="M56" s="41" t="str">
        <f>CONCATENATE(A56,".",D56,," ","-"," ",K56,"     ", "(","Tipo do objeto: ",Tabela15[[#This Row],[TIPO DO OBJETO]],")")</f>
        <v>50.TLB-CTR-2024/00057 - REDE NACIONAL DE APRENDIZAGEM, PROMOÇÃO SOCIAL E INTEGRAÇÃO - RENAPSI     (Tipo do objeto: Serviços)</v>
      </c>
      <c r="P56" s="42"/>
      <c r="Q56" s="42"/>
    </row>
    <row r="57" spans="1:17" s="41" customFormat="1" ht="45.75" thickBot="1" x14ac:dyDescent="0.3">
      <c r="A57" s="41">
        <v>51</v>
      </c>
      <c r="B57" s="43" t="s">
        <v>642</v>
      </c>
      <c r="C57" s="44" t="s">
        <v>20</v>
      </c>
      <c r="D57" s="44" t="s">
        <v>649</v>
      </c>
      <c r="E57" s="44" t="s">
        <v>673</v>
      </c>
      <c r="F57" s="48" t="s">
        <v>5</v>
      </c>
      <c r="G57" s="45">
        <v>45506</v>
      </c>
      <c r="H57" s="45">
        <v>45871</v>
      </c>
      <c r="I57" s="44" t="s">
        <v>33</v>
      </c>
      <c r="J57" s="44" t="s">
        <v>675</v>
      </c>
      <c r="K57" s="44" t="s">
        <v>676</v>
      </c>
      <c r="L57" s="144">
        <v>10737425</v>
      </c>
      <c r="M57" s="41" t="str">
        <f>CONCATENATE(A57,".",D57,," ","-"," ",K57,"     ", "(","Tipo do objeto: ",Tabela15[[#This Row],[TIPO DO OBJETO]],")")</f>
        <v>51.TLB-CTR-2024/00060 - MAPFRE SEGUROS GERAIS S.A,     (Tipo do objeto: Serviços)</v>
      </c>
      <c r="P57" s="42"/>
      <c r="Q57" s="42"/>
    </row>
    <row r="58" spans="1:17" s="41" customFormat="1" ht="150.75" thickBot="1" x14ac:dyDescent="0.3">
      <c r="A58" s="41">
        <v>52</v>
      </c>
      <c r="B58" s="43" t="s">
        <v>643</v>
      </c>
      <c r="C58" s="44" t="s">
        <v>20</v>
      </c>
      <c r="D58" s="44" t="s">
        <v>650</v>
      </c>
      <c r="E58" s="44" t="s">
        <v>680</v>
      </c>
      <c r="F58" s="48" t="s">
        <v>11</v>
      </c>
      <c r="G58" s="45">
        <v>45537</v>
      </c>
      <c r="H58" s="45">
        <v>45628</v>
      </c>
      <c r="I58" s="44" t="s">
        <v>1224</v>
      </c>
      <c r="J58" s="44" t="s">
        <v>681</v>
      </c>
      <c r="K58" s="44" t="s">
        <v>682</v>
      </c>
      <c r="L58" s="144">
        <v>204688.24</v>
      </c>
      <c r="M58" s="41" t="str">
        <f>CONCATENATE(A58,".",D58,," ","-"," ",K58,"     ", "(","Tipo do objeto: ",Tabela15[[#This Row],[TIPO DO OBJETO]],")")</f>
        <v>52.TLB-CTR-2024/00063 - NACIONAL ELETRONICA E TELECOMUNICACOES LTDA     (Tipo do objeto: Obras e Serviço de Engenharia)</v>
      </c>
      <c r="P58" s="42"/>
      <c r="Q58" s="42"/>
    </row>
    <row r="59" spans="1:17" s="41" customFormat="1" ht="60.75" thickBot="1" x14ac:dyDescent="0.3">
      <c r="A59" s="41">
        <v>53</v>
      </c>
      <c r="B59" s="43" t="s">
        <v>644</v>
      </c>
      <c r="C59" s="44" t="s">
        <v>20</v>
      </c>
      <c r="D59" s="44" t="s">
        <v>651</v>
      </c>
      <c r="E59" s="44" t="s">
        <v>686</v>
      </c>
      <c r="F59" s="48" t="s">
        <v>5</v>
      </c>
      <c r="G59" s="45">
        <v>45538</v>
      </c>
      <c r="H59" s="45">
        <v>46633</v>
      </c>
      <c r="I59" s="44" t="s">
        <v>33</v>
      </c>
      <c r="J59" s="44" t="s">
        <v>687</v>
      </c>
      <c r="K59" s="44" t="s">
        <v>689</v>
      </c>
      <c r="L59" s="144">
        <v>440000</v>
      </c>
      <c r="M59" s="41" t="str">
        <f>CONCATENATE(A59,".",D59,," ","-"," ",K59,"     ", "(","Tipo do objeto: ",Tabela15[[#This Row],[TIPO DO OBJETO]],")")</f>
        <v>53.TLB-CTR-2024/00064 - CONVERGY SERVIÇOS E CONTABILIDADE LTDA     (Tipo do objeto: Serviços)</v>
      </c>
      <c r="P59" s="42"/>
      <c r="Q59" s="42"/>
    </row>
    <row r="60" spans="1:17" s="41" customFormat="1" ht="120.75" thickBot="1" x14ac:dyDescent="0.3">
      <c r="A60" s="41">
        <v>54</v>
      </c>
      <c r="B60" s="43" t="s">
        <v>693</v>
      </c>
      <c r="C60" s="44" t="s">
        <v>20</v>
      </c>
      <c r="D60" s="44" t="s">
        <v>691</v>
      </c>
      <c r="E60" s="44" t="s">
        <v>696</v>
      </c>
      <c r="F60" s="48" t="s">
        <v>7</v>
      </c>
      <c r="G60" s="45">
        <v>45561</v>
      </c>
      <c r="H60" s="45">
        <v>45926</v>
      </c>
      <c r="I60" s="44" t="s">
        <v>33</v>
      </c>
      <c r="J60" s="44" t="s">
        <v>697</v>
      </c>
      <c r="K60" s="44" t="s">
        <v>698</v>
      </c>
      <c r="L60" s="144">
        <v>1900.8</v>
      </c>
      <c r="M60" s="41" t="str">
        <f>CONCATENATE(A60,".",D60,," ","-"," ",K60,"     ", "(","Tipo do objeto: ",Tabela15[[#This Row],[TIPO DO OBJETO]],")")</f>
        <v>54.TLB-CTR-2024/00065 - GRIFON DIGITAL SERVICOS LTDA     (Tipo do objeto: Serviços)</v>
      </c>
      <c r="P60" s="42"/>
      <c r="Q60" s="42"/>
    </row>
    <row r="61" spans="1:17" s="41" customFormat="1" ht="30.75" thickBot="1" x14ac:dyDescent="0.3">
      <c r="A61" s="41">
        <v>55</v>
      </c>
      <c r="B61" s="43" t="s">
        <v>701</v>
      </c>
      <c r="C61" s="44" t="s">
        <v>21</v>
      </c>
      <c r="D61" s="44" t="s">
        <v>704</v>
      </c>
      <c r="E61" s="44" t="s">
        <v>706</v>
      </c>
      <c r="F61" s="48" t="s">
        <v>4</v>
      </c>
      <c r="G61" s="45">
        <v>45568</v>
      </c>
      <c r="H61" s="45">
        <v>45657</v>
      </c>
      <c r="I61" s="44" t="s">
        <v>33</v>
      </c>
      <c r="J61" s="44" t="s">
        <v>707</v>
      </c>
      <c r="K61" s="44" t="s">
        <v>708</v>
      </c>
      <c r="L61" s="144">
        <v>2992.8</v>
      </c>
      <c r="M61" s="41" t="str">
        <f>CONCATENATE(A61,".",D61,," ","-"," ",K61,"     ", "(","Tipo do objeto: ",Tabela15[[#This Row],[TIPO DO OBJETO]],")")</f>
        <v>55.2024NE000971 - FUNDACAO GETULIO VARGAS     (Tipo do objeto: Serviços)</v>
      </c>
      <c r="P61" s="42"/>
      <c r="Q61" s="42"/>
    </row>
    <row r="62" spans="1:17" s="41" customFormat="1" ht="45.75" thickBot="1" x14ac:dyDescent="0.3">
      <c r="A62" s="41">
        <v>56</v>
      </c>
      <c r="B62" s="43" t="s">
        <v>711</v>
      </c>
      <c r="C62" s="44" t="s">
        <v>21</v>
      </c>
      <c r="D62" s="44" t="s">
        <v>714</v>
      </c>
      <c r="E62" s="44" t="s">
        <v>510</v>
      </c>
      <c r="F62" s="48" t="s">
        <v>4</v>
      </c>
      <c r="G62" s="45">
        <v>45568</v>
      </c>
      <c r="H62" s="45">
        <v>45657</v>
      </c>
      <c r="I62" s="44" t="s">
        <v>33</v>
      </c>
      <c r="J62" s="44" t="s">
        <v>716</v>
      </c>
      <c r="K62" s="44" t="s">
        <v>599</v>
      </c>
      <c r="L62" s="144">
        <v>22610</v>
      </c>
      <c r="M62" s="41" t="str">
        <f>CONCATENATE(A62,".",D62,," ","-"," ",K62,"     ", "(","Tipo do objeto: ",Tabela15[[#This Row],[TIPO DO OBJETO]],")")</f>
        <v>56.2024NE000972 - INSTITUTO BRASILEIRO DE GOVERNANCA CORPORATIVA     (Tipo do objeto: Serviços)</v>
      </c>
      <c r="P62" s="42"/>
      <c r="Q62" s="42"/>
    </row>
    <row r="63" spans="1:17" s="71" customFormat="1" ht="120.75" thickBot="1" x14ac:dyDescent="0.3">
      <c r="A63" s="71">
        <v>57</v>
      </c>
      <c r="B63" s="43" t="s">
        <v>718</v>
      </c>
      <c r="C63" s="44" t="s">
        <v>20</v>
      </c>
      <c r="D63" s="44" t="s">
        <v>717</v>
      </c>
      <c r="E63" s="44" t="s">
        <v>722</v>
      </c>
      <c r="F63" s="48" t="s">
        <v>5</v>
      </c>
      <c r="G63" s="45">
        <v>45580</v>
      </c>
      <c r="H63" s="45">
        <v>47406</v>
      </c>
      <c r="I63" s="44" t="s">
        <v>33</v>
      </c>
      <c r="J63" s="44" t="s">
        <v>723</v>
      </c>
      <c r="K63" s="44" t="s">
        <v>724</v>
      </c>
      <c r="L63" s="144">
        <v>7915896</v>
      </c>
      <c r="M63" s="41" t="str">
        <f>CONCATENATE(A63,".",D63,," ","-"," ",K63,"     ", "(","Tipo do objeto: ",Tabela15[[#This Row],[TIPO DO OBJETO]],")")</f>
        <v>57.TLB-CTR-2024/00072 - AGÊNCIA DE INTEGRAÇÃO EMPRESA ESCOLA - AGIEL      (Tipo do objeto: Serviços)</v>
      </c>
      <c r="P63" s="85"/>
      <c r="Q63" s="85"/>
    </row>
    <row r="64" spans="1:17" s="71" customFormat="1" ht="45.75" thickBot="1" x14ac:dyDescent="0.3">
      <c r="A64" s="71">
        <v>58</v>
      </c>
      <c r="B64" s="43" t="s">
        <v>726</v>
      </c>
      <c r="C64" s="44" t="s">
        <v>21</v>
      </c>
      <c r="D64" s="44" t="s">
        <v>730</v>
      </c>
      <c r="E64" s="44" t="s">
        <v>732</v>
      </c>
      <c r="F64" s="48" t="s">
        <v>4</v>
      </c>
      <c r="G64" s="45">
        <v>45580</v>
      </c>
      <c r="H64" s="45">
        <v>45657</v>
      </c>
      <c r="I64" s="44" t="s">
        <v>33</v>
      </c>
      <c r="J64" s="44" t="s">
        <v>733</v>
      </c>
      <c r="K64" s="44" t="s">
        <v>563</v>
      </c>
      <c r="L64" s="144">
        <v>15100</v>
      </c>
      <c r="M64" s="41" t="str">
        <f>CONCATENATE(A64,".",D64,," ","-"," ",K64,"     ", "(","Tipo do objeto: ",Tabela15[[#This Row],[TIPO DO OBJETO]],")")</f>
        <v>58.2024NE000985 - Bioseg Brasília Soluções em Segurança e Medicina do Trabalho Ltda     (Tipo do objeto: Serviços)</v>
      </c>
      <c r="P64" s="85"/>
      <c r="Q64" s="85"/>
    </row>
    <row r="65" spans="1:17" s="71" customFormat="1" ht="30.75" thickBot="1" x14ac:dyDescent="0.3">
      <c r="A65" s="71">
        <v>59</v>
      </c>
      <c r="B65" s="43" t="s">
        <v>734</v>
      </c>
      <c r="C65" s="44" t="s">
        <v>21</v>
      </c>
      <c r="D65" s="44" t="s">
        <v>736</v>
      </c>
      <c r="E65" s="44" t="s">
        <v>738</v>
      </c>
      <c r="F65" s="48" t="s">
        <v>4</v>
      </c>
      <c r="G65" s="45">
        <v>45595</v>
      </c>
      <c r="H65" s="45">
        <v>45961</v>
      </c>
      <c r="I65" s="44" t="s">
        <v>33</v>
      </c>
      <c r="J65" s="44" t="s">
        <v>739</v>
      </c>
      <c r="K65" s="44" t="s">
        <v>740</v>
      </c>
      <c r="L65" s="144">
        <v>11960</v>
      </c>
      <c r="M65" s="41" t="str">
        <f>CONCATENATE(A65,".",D65,," ","-"," ",K65,"     ", "(","Tipo do objeto: ",Tabela15[[#This Row],[TIPO DO OBJETO]],")")</f>
        <v>59.2024NE001046 - NP Tecnologia e Gestão de Dados Ltda     (Tipo do objeto: Serviços)</v>
      </c>
      <c r="P65" s="85"/>
      <c r="Q65" s="85"/>
    </row>
    <row r="66" spans="1:17" s="71" customFormat="1" ht="60.75" thickBot="1" x14ac:dyDescent="0.3">
      <c r="A66" s="71">
        <v>60</v>
      </c>
      <c r="B66" s="43" t="s">
        <v>763</v>
      </c>
      <c r="C66" s="44" t="s">
        <v>20</v>
      </c>
      <c r="D66" s="44" t="s">
        <v>762</v>
      </c>
      <c r="E66" s="44" t="s">
        <v>768</v>
      </c>
      <c r="F66" s="48" t="s">
        <v>7</v>
      </c>
      <c r="G66" s="45">
        <v>45604</v>
      </c>
      <c r="H66" s="45">
        <v>46355</v>
      </c>
      <c r="I66" s="44" t="s">
        <v>33</v>
      </c>
      <c r="J66" s="44" t="s">
        <v>769</v>
      </c>
      <c r="K66" s="44" t="s">
        <v>770</v>
      </c>
      <c r="L66" s="144">
        <v>3970</v>
      </c>
      <c r="M66" s="41" t="str">
        <f>CONCATENATE(A66,".",D66,," ","-"," ",K66,"     ", "(","Tipo do objeto: ",Tabela15[[#This Row],[TIPO DO OBJETO]],")")</f>
        <v>60.TLB-CTR-2024/00081 - DINÂMICA CONSULTORIA E SOLUÇÕES EMPRESARIAIS LTDA     (Tipo do objeto: Serviços)</v>
      </c>
      <c r="P66" s="85"/>
      <c r="Q66" s="85"/>
    </row>
    <row r="67" spans="1:17" s="134" customFormat="1" ht="60.75" thickBot="1" x14ac:dyDescent="0.3">
      <c r="A67" s="134">
        <v>61</v>
      </c>
      <c r="B67" s="43" t="s">
        <v>793</v>
      </c>
      <c r="C67" s="44" t="s">
        <v>20</v>
      </c>
      <c r="D67" s="44" t="s">
        <v>790</v>
      </c>
      <c r="E67" s="44" t="s">
        <v>395</v>
      </c>
      <c r="F67" s="48" t="s">
        <v>7</v>
      </c>
      <c r="G67" s="45" t="s">
        <v>796</v>
      </c>
      <c r="H67" s="45" t="s">
        <v>797</v>
      </c>
      <c r="I67" s="44" t="s">
        <v>33</v>
      </c>
      <c r="J67" s="44" t="s">
        <v>798</v>
      </c>
      <c r="K67" s="44" t="s">
        <v>799</v>
      </c>
      <c r="L67" s="144">
        <v>4500</v>
      </c>
      <c r="M67" s="41" t="str">
        <f>CONCATENATE(A67,".",D67,," ","-"," ",K67,"     ", "(","Tipo do objeto: ",Tabela15[[#This Row],[TIPO DO OBJETO]],")")</f>
        <v>61.TLB-CTR-2024/00086 - OTT SERVIÇOES GRÁFICOS LTDA     (Tipo do objeto: Serviços)</v>
      </c>
      <c r="P67" s="135"/>
      <c r="Q67" s="135"/>
    </row>
    <row r="68" spans="1:17" s="134" customFormat="1" ht="45.75" thickBot="1" x14ac:dyDescent="0.3">
      <c r="A68" s="134">
        <v>62</v>
      </c>
      <c r="B68" s="43" t="s">
        <v>801</v>
      </c>
      <c r="C68" s="44" t="s">
        <v>20</v>
      </c>
      <c r="D68" s="44" t="s">
        <v>791</v>
      </c>
      <c r="E68" s="44" t="s">
        <v>811</v>
      </c>
      <c r="F68" s="48" t="s">
        <v>7</v>
      </c>
      <c r="G68" s="45" t="s">
        <v>804</v>
      </c>
      <c r="H68" s="45" t="s">
        <v>805</v>
      </c>
      <c r="I68" s="44" t="s">
        <v>33</v>
      </c>
      <c r="J68" s="44" t="s">
        <v>806</v>
      </c>
      <c r="K68" s="44" t="s">
        <v>807</v>
      </c>
      <c r="L68" s="144">
        <v>10259.4</v>
      </c>
      <c r="M68" s="41" t="str">
        <f>CONCATENATE(A68,".",D68,," ","-"," ",K68,"     ", "(","Tipo do objeto: ",Tabela15[[#This Row],[TIPO DO OBJETO]],")")</f>
        <v>62.TLB-CTR-2024/00090 - PRIME COMÉRCIO E SERVIÇOS DE EXTINTORES     (Tipo do objeto: Serviços)</v>
      </c>
      <c r="P68" s="135"/>
      <c r="Q68" s="135"/>
    </row>
    <row r="69" spans="1:17" s="134" customFormat="1" ht="45.75" thickBot="1" x14ac:dyDescent="0.3">
      <c r="A69" s="134">
        <v>63</v>
      </c>
      <c r="B69" s="43" t="s">
        <v>817</v>
      </c>
      <c r="C69" s="44" t="s">
        <v>20</v>
      </c>
      <c r="D69" s="44" t="s">
        <v>812</v>
      </c>
      <c r="E69" s="44" t="s">
        <v>820</v>
      </c>
      <c r="F69" s="48" t="s">
        <v>11</v>
      </c>
      <c r="G69" s="45" t="s">
        <v>821</v>
      </c>
      <c r="H69" s="45" t="s">
        <v>822</v>
      </c>
      <c r="I69" s="44" t="s">
        <v>1224</v>
      </c>
      <c r="J69" s="44" t="s">
        <v>826</v>
      </c>
      <c r="K69" s="44" t="s">
        <v>827</v>
      </c>
      <c r="L69" s="144">
        <v>1284821.3700000001</v>
      </c>
      <c r="M69" s="41" t="str">
        <f>CONCATENATE(A69,".",D69,," ","-"," ",K69,"     ", "(","Tipo do objeto: ",Tabela15[[#This Row],[TIPO DO OBJETO]],")")</f>
        <v>63.TLB-CTR-2024/00091 - CLEMAR ENGENHARIA LTDA     (Tipo do objeto: Obras e Serviço de Engenharia)</v>
      </c>
      <c r="P69" s="135"/>
      <c r="Q69" s="135"/>
    </row>
    <row r="70" spans="1:17" s="134" customFormat="1" ht="45.75" thickBot="1" x14ac:dyDescent="0.3">
      <c r="A70" s="134">
        <v>64</v>
      </c>
      <c r="B70" s="43" t="s">
        <v>817</v>
      </c>
      <c r="C70" s="44" t="s">
        <v>20</v>
      </c>
      <c r="D70" s="44" t="s">
        <v>813</v>
      </c>
      <c r="E70" s="44" t="s">
        <v>820</v>
      </c>
      <c r="F70" s="48" t="s">
        <v>11</v>
      </c>
      <c r="G70" s="45" t="s">
        <v>821</v>
      </c>
      <c r="H70" s="45" t="s">
        <v>822</v>
      </c>
      <c r="I70" s="44" t="s">
        <v>1224</v>
      </c>
      <c r="J70" s="44" t="s">
        <v>826</v>
      </c>
      <c r="K70" s="44" t="s">
        <v>828</v>
      </c>
      <c r="L70" s="144">
        <v>9598604.4000000004</v>
      </c>
      <c r="M70" s="41" t="str">
        <f>CONCATENATE(A70,".",D70,," ","-"," ",K70,"     ", "(","Tipo do objeto: ",Tabela15[[#This Row],[TIPO DO OBJETO]],")")</f>
        <v>64.TLB-CTR-2024/00092 - ADTK COMERCIO E SERVIÇOS DE INFORMÁTICA E TELECOMUNICAÇÕES S.A     (Tipo do objeto: Obras e Serviço de Engenharia)</v>
      </c>
      <c r="P70" s="135"/>
      <c r="Q70" s="135"/>
    </row>
    <row r="71" spans="1:17" s="134" customFormat="1" ht="45.75" thickBot="1" x14ac:dyDescent="0.3">
      <c r="A71" s="134">
        <v>65</v>
      </c>
      <c r="B71" s="43" t="s">
        <v>817</v>
      </c>
      <c r="C71" s="44" t="s">
        <v>20</v>
      </c>
      <c r="D71" s="44" t="s">
        <v>814</v>
      </c>
      <c r="E71" s="44" t="s">
        <v>820</v>
      </c>
      <c r="F71" s="48" t="s">
        <v>11</v>
      </c>
      <c r="G71" s="45" t="s">
        <v>823</v>
      </c>
      <c r="H71" s="45" t="s">
        <v>824</v>
      </c>
      <c r="I71" s="44" t="s">
        <v>1224</v>
      </c>
      <c r="J71" s="44" t="s">
        <v>825</v>
      </c>
      <c r="K71" s="44" t="s">
        <v>829</v>
      </c>
      <c r="L71" s="144">
        <v>578402.9</v>
      </c>
      <c r="M71" s="41" t="str">
        <f>CONCATENATE(A71,".",D71,," ","-"," ",K71,"     ", "(","Tipo do objeto: ",Tabela15[[#This Row],[TIPO DO OBJETO]],")")</f>
        <v>65.TLB-CTR-2024/00093 - 3CORP TECHNOLOGY INFRAESTRUTURA DE TELECOM LTDA     (Tipo do objeto: Obras e Serviço de Engenharia)</v>
      </c>
      <c r="P71" s="135"/>
      <c r="Q71" s="135"/>
    </row>
    <row r="72" spans="1:17" s="134" customFormat="1" ht="45.75" thickBot="1" x14ac:dyDescent="0.3">
      <c r="A72" s="134">
        <v>66</v>
      </c>
      <c r="B72" s="43" t="s">
        <v>833</v>
      </c>
      <c r="C72" s="44" t="s">
        <v>20</v>
      </c>
      <c r="D72" s="44" t="s">
        <v>815</v>
      </c>
      <c r="E72" s="44" t="s">
        <v>820</v>
      </c>
      <c r="F72" s="48" t="s">
        <v>11</v>
      </c>
      <c r="G72" s="45" t="s">
        <v>836</v>
      </c>
      <c r="H72" s="45" t="s">
        <v>837</v>
      </c>
      <c r="I72" s="44" t="s">
        <v>1224</v>
      </c>
      <c r="J72" s="44" t="s">
        <v>838</v>
      </c>
      <c r="K72" s="44" t="s">
        <v>828</v>
      </c>
      <c r="L72" s="144">
        <v>44728467.780000001</v>
      </c>
      <c r="M72" s="41" t="str">
        <f>CONCATENATE(A72,".",D72,," ","-"," ",K72,"     ", "(","Tipo do objeto: ",Tabela15[[#This Row],[TIPO DO OBJETO]],")")</f>
        <v>66.TLB-CTR-2024/00095 - ADTK COMERCIO E SERVIÇOS DE INFORMÁTICA E TELECOMUNICAÇÕES S.A     (Tipo do objeto: Obras e Serviço de Engenharia)</v>
      </c>
      <c r="P72" s="135"/>
      <c r="Q72" s="135"/>
    </row>
    <row r="73" spans="1:17" s="134" customFormat="1" ht="45.75" thickBot="1" x14ac:dyDescent="0.3">
      <c r="A73" s="134">
        <v>67</v>
      </c>
      <c r="B73" s="43" t="s">
        <v>833</v>
      </c>
      <c r="C73" s="44" t="s">
        <v>20</v>
      </c>
      <c r="D73" s="44" t="s">
        <v>816</v>
      </c>
      <c r="E73" s="44" t="s">
        <v>820</v>
      </c>
      <c r="F73" s="48" t="s">
        <v>11</v>
      </c>
      <c r="G73" s="45" t="s">
        <v>836</v>
      </c>
      <c r="H73" s="45" t="s">
        <v>837</v>
      </c>
      <c r="I73" s="44" t="s">
        <v>1224</v>
      </c>
      <c r="J73" s="44" t="s">
        <v>841</v>
      </c>
      <c r="K73" s="44" t="s">
        <v>839</v>
      </c>
      <c r="L73" s="144">
        <v>2564723.75</v>
      </c>
      <c r="M73" s="41" t="str">
        <f>CONCATENATE(A73,".",D73,," ","-"," ",K73,"     ", "(","Tipo do objeto: ",Tabela15[[#This Row],[TIPO DO OBJETO]],")")</f>
        <v>67.TLB-CTR-2024/00096 - HC COMUNICAÇÃO DE DADOS LTDA     (Tipo do objeto: Obras e Serviço de Engenharia)</v>
      </c>
      <c r="P73" s="135"/>
      <c r="Q73" s="135"/>
    </row>
    <row r="74" spans="1:17" s="134" customFormat="1" ht="45.75" customHeight="1" thickBot="1" x14ac:dyDescent="0.3">
      <c r="A74" s="134">
        <v>68</v>
      </c>
      <c r="B74" s="43" t="s">
        <v>863</v>
      </c>
      <c r="C74" s="43" t="s">
        <v>21</v>
      </c>
      <c r="D74" s="43" t="s">
        <v>879</v>
      </c>
      <c r="E74" s="43" t="s">
        <v>706</v>
      </c>
      <c r="F74" s="48" t="s">
        <v>4</v>
      </c>
      <c r="G74" s="43" t="s">
        <v>926</v>
      </c>
      <c r="H74" s="43" t="s">
        <v>927</v>
      </c>
      <c r="I74" s="43" t="s">
        <v>33</v>
      </c>
      <c r="J74" s="43" t="s">
        <v>895</v>
      </c>
      <c r="K74" s="43" t="s">
        <v>928</v>
      </c>
      <c r="L74" s="234">
        <v>2992.8</v>
      </c>
      <c r="M74" s="41" t="str">
        <f>CONCATENATE(A74,".",D74,," ","-"," ",K74,"     ", "(","Tipo do objeto: ",Tabela15[[#This Row],[TIPO DO OBJETO]],")")</f>
        <v>68.2024NE000946 - Fundação Getulio Vargas     (Tipo do objeto: Serviços)</v>
      </c>
      <c r="P74" s="135"/>
      <c r="Q74" s="135"/>
    </row>
    <row r="75" spans="1:17" s="134" customFormat="1" ht="45.75" customHeight="1" thickBot="1" x14ac:dyDescent="0.3">
      <c r="A75" s="134">
        <v>69</v>
      </c>
      <c r="B75" s="43" t="s">
        <v>864</v>
      </c>
      <c r="C75" s="43" t="s">
        <v>21</v>
      </c>
      <c r="D75" s="43" t="s">
        <v>880</v>
      </c>
      <c r="E75" s="43" t="s">
        <v>562</v>
      </c>
      <c r="F75" s="48" t="s">
        <v>7</v>
      </c>
      <c r="G75" s="43" t="s">
        <v>933</v>
      </c>
      <c r="H75" s="43" t="s">
        <v>934</v>
      </c>
      <c r="I75" s="43" t="s">
        <v>33</v>
      </c>
      <c r="J75" s="43" t="s">
        <v>896</v>
      </c>
      <c r="K75" s="43" t="s">
        <v>935</v>
      </c>
      <c r="L75" s="234">
        <v>29500</v>
      </c>
      <c r="M75" s="41" t="str">
        <f>CONCATENATE(A75,".",D75,," ","-"," ",K75,"     ", "(","Tipo do objeto: ",Tabela15[[#This Row],[TIPO DO OBJETO]],")")</f>
        <v>69.2024NE001059 - MARCIA GONCALVES FARIA ROSA     (Tipo do objeto: Serviços)</v>
      </c>
      <c r="P75" s="135"/>
      <c r="Q75" s="135"/>
    </row>
    <row r="76" spans="1:17" s="134" customFormat="1" ht="45.75" customHeight="1" thickBot="1" x14ac:dyDescent="0.3">
      <c r="A76" s="134">
        <v>70</v>
      </c>
      <c r="B76" s="43" t="s">
        <v>865</v>
      </c>
      <c r="C76" s="43" t="s">
        <v>21</v>
      </c>
      <c r="D76" s="43" t="s">
        <v>881</v>
      </c>
      <c r="E76" s="43" t="s">
        <v>738</v>
      </c>
      <c r="F76" s="48" t="s">
        <v>4</v>
      </c>
      <c r="G76" s="43" t="s">
        <v>940</v>
      </c>
      <c r="H76" s="43" t="s">
        <v>941</v>
      </c>
      <c r="I76" s="43" t="s">
        <v>33</v>
      </c>
      <c r="J76" s="43" t="s">
        <v>897</v>
      </c>
      <c r="K76" s="43" t="s">
        <v>235</v>
      </c>
      <c r="L76" s="234">
        <v>3944</v>
      </c>
      <c r="M76" s="41" t="str">
        <f>CONCATENATE(A76,".",D76,," ","-"," ",K76,"     ", "(","Tipo do objeto: ",Tabela15[[#This Row],[TIPO DO OBJETO]],")")</f>
        <v>70.2024NE001078 - ZENITE INFORMACAO E CONSULTORIA S/A     (Tipo do objeto: Serviços)</v>
      </c>
      <c r="P76" s="135"/>
      <c r="Q76" s="135"/>
    </row>
    <row r="77" spans="1:17" s="134" customFormat="1" ht="45.75" customHeight="1" thickBot="1" x14ac:dyDescent="0.3">
      <c r="A77" s="134">
        <v>71</v>
      </c>
      <c r="B77" s="43" t="s">
        <v>866</v>
      </c>
      <c r="C77" s="43" t="s">
        <v>21</v>
      </c>
      <c r="D77" s="43" t="s">
        <v>882</v>
      </c>
      <c r="E77" s="43" t="s">
        <v>510</v>
      </c>
      <c r="F77" s="48" t="s">
        <v>4</v>
      </c>
      <c r="G77" s="43" t="s">
        <v>944</v>
      </c>
      <c r="H77" s="43" t="s">
        <v>945</v>
      </c>
      <c r="I77" s="43" t="s">
        <v>33</v>
      </c>
      <c r="J77" s="43" t="s">
        <v>898</v>
      </c>
      <c r="K77" s="43" t="s">
        <v>946</v>
      </c>
      <c r="L77" s="234">
        <v>36800</v>
      </c>
      <c r="M77" s="41" t="str">
        <f>CONCATENATE(A77,".",D77,," ","-"," ",K77,"     ", "(","Tipo do objeto: ",Tabela15[[#This Row],[TIPO DO OBJETO]],")")</f>
        <v>71.2024NE001081 - INSTITUTO BRASILEIRO DE GOVERNANCA CORPORATIV     (Tipo do objeto: Serviços)</v>
      </c>
      <c r="P77" s="135"/>
      <c r="Q77" s="135"/>
    </row>
    <row r="78" spans="1:17" s="134" customFormat="1" ht="45.75" customHeight="1" thickBot="1" x14ac:dyDescent="0.3">
      <c r="A78" s="134">
        <v>72</v>
      </c>
      <c r="B78" s="43" t="s">
        <v>867</v>
      </c>
      <c r="C78" s="43" t="s">
        <v>21</v>
      </c>
      <c r="D78" s="43" t="s">
        <v>883</v>
      </c>
      <c r="E78" s="43" t="s">
        <v>510</v>
      </c>
      <c r="F78" s="48" t="s">
        <v>4</v>
      </c>
      <c r="G78" s="43" t="s">
        <v>952</v>
      </c>
      <c r="H78" s="43" t="s">
        <v>953</v>
      </c>
      <c r="I78" s="43" t="s">
        <v>33</v>
      </c>
      <c r="J78" s="43" t="s">
        <v>899</v>
      </c>
      <c r="K78" s="43" t="s">
        <v>954</v>
      </c>
      <c r="L78" s="234">
        <v>5397.3</v>
      </c>
      <c r="M78" s="41" t="str">
        <f>CONCATENATE(A78,".",D78,," ","-"," ",K78,"     ", "(","Tipo do objeto: ",Tabela15[[#This Row],[TIPO DO OBJETO]],")")</f>
        <v>72.2024NE001084 - FUNDACAO INSTITUTO NACIONAL DE TELECOMUNICACO     (Tipo do objeto: Serviços)</v>
      </c>
      <c r="P78" s="135"/>
      <c r="Q78" s="135"/>
    </row>
    <row r="79" spans="1:17" s="134" customFormat="1" ht="45.75" customHeight="1" thickBot="1" x14ac:dyDescent="0.3">
      <c r="A79" s="134">
        <v>73</v>
      </c>
      <c r="B79" s="43" t="s">
        <v>868</v>
      </c>
      <c r="C79" s="43" t="s">
        <v>21</v>
      </c>
      <c r="D79" s="43" t="s">
        <v>884</v>
      </c>
      <c r="E79" s="43" t="s">
        <v>959</v>
      </c>
      <c r="F79" s="48" t="s">
        <v>4</v>
      </c>
      <c r="G79" s="43" t="s">
        <v>952</v>
      </c>
      <c r="H79" s="43" t="s">
        <v>953</v>
      </c>
      <c r="I79" s="43" t="s">
        <v>33</v>
      </c>
      <c r="J79" s="43" t="s">
        <v>900</v>
      </c>
      <c r="K79" s="43" t="s">
        <v>960</v>
      </c>
      <c r="L79" s="234">
        <v>2497</v>
      </c>
      <c r="M79" s="41" t="str">
        <f>CONCATENATE(A79,".",D79,," ","-"," ",K79,"     ", "(","Tipo do objeto: ",Tabela15[[#This Row],[TIPO DO OBJETO]],")")</f>
        <v>73.2024NE001085 - AKADEMIA DE TRANSFORMACAO ORGANIZACIONAL LTDA     (Tipo do objeto: Serviços)</v>
      </c>
      <c r="P79" s="135"/>
      <c r="Q79" s="135"/>
    </row>
    <row r="80" spans="1:17" s="134" customFormat="1" ht="45.75" customHeight="1" thickBot="1" x14ac:dyDescent="0.3">
      <c r="A80" s="134">
        <v>74</v>
      </c>
      <c r="B80" s="43" t="s">
        <v>869</v>
      </c>
      <c r="C80" s="43" t="s">
        <v>21</v>
      </c>
      <c r="D80" s="43" t="s">
        <v>885</v>
      </c>
      <c r="E80" s="43" t="s">
        <v>965</v>
      </c>
      <c r="F80" s="48" t="s">
        <v>4</v>
      </c>
      <c r="G80" s="43" t="s">
        <v>952</v>
      </c>
      <c r="H80" s="43" t="s">
        <v>953</v>
      </c>
      <c r="I80" s="43" t="s">
        <v>33</v>
      </c>
      <c r="J80" s="43" t="s">
        <v>901</v>
      </c>
      <c r="K80" s="43" t="s">
        <v>966</v>
      </c>
      <c r="L80" s="234">
        <v>8000</v>
      </c>
      <c r="M80" s="41" t="str">
        <f>CONCATENATE(A80,".",D80,," ","-"," ",K80,"     ", "(","Tipo do objeto: ",Tabela15[[#This Row],[TIPO DO OBJETO]],")")</f>
        <v>74.2024NE001082 - MARIANA RODRIGUES DE LIMA     (Tipo do objeto: Serviços)</v>
      </c>
      <c r="P80" s="135"/>
      <c r="Q80" s="135"/>
    </row>
    <row r="81" spans="1:17" s="134" customFormat="1" ht="45.75" customHeight="1" thickBot="1" x14ac:dyDescent="0.3">
      <c r="A81" s="134">
        <v>75</v>
      </c>
      <c r="B81" s="43" t="s">
        <v>870</v>
      </c>
      <c r="C81" s="43" t="s">
        <v>21</v>
      </c>
      <c r="D81" s="43" t="s">
        <v>886</v>
      </c>
      <c r="E81" s="43" t="s">
        <v>510</v>
      </c>
      <c r="F81" s="48" t="s">
        <v>4</v>
      </c>
      <c r="G81" s="43" t="s">
        <v>971</v>
      </c>
      <c r="H81" s="43" t="s">
        <v>972</v>
      </c>
      <c r="I81" s="43" t="s">
        <v>33</v>
      </c>
      <c r="J81" s="43" t="s">
        <v>902</v>
      </c>
      <c r="K81" s="43" t="s">
        <v>973</v>
      </c>
      <c r="L81" s="234">
        <v>499</v>
      </c>
      <c r="M81" s="41" t="str">
        <f>CONCATENATE(A81,".",D81,," ","-"," ",K81,"     ", "(","Tipo do objeto: ",Tabela15[[#This Row],[TIPO DO OBJETO]],")")</f>
        <v>75.2024NE001088 - BMEC EDUCACIONAL LTDA     (Tipo do objeto: Serviços)</v>
      </c>
      <c r="P81" s="135"/>
      <c r="Q81" s="135"/>
    </row>
    <row r="82" spans="1:17" s="134" customFormat="1" ht="45.75" customHeight="1" thickBot="1" x14ac:dyDescent="0.3">
      <c r="A82" s="134">
        <v>76</v>
      </c>
      <c r="B82" s="43" t="s">
        <v>871</v>
      </c>
      <c r="C82" s="43" t="s">
        <v>21</v>
      </c>
      <c r="D82" s="43" t="s">
        <v>887</v>
      </c>
      <c r="E82" s="43" t="s">
        <v>510</v>
      </c>
      <c r="F82" s="48" t="s">
        <v>4</v>
      </c>
      <c r="G82" s="43" t="s">
        <v>980</v>
      </c>
      <c r="H82" s="43" t="s">
        <v>981</v>
      </c>
      <c r="I82" s="43" t="s">
        <v>33</v>
      </c>
      <c r="J82" s="43" t="s">
        <v>903</v>
      </c>
      <c r="K82" s="43" t="s">
        <v>978</v>
      </c>
      <c r="L82" s="234">
        <v>5850</v>
      </c>
      <c r="M82" s="41" t="str">
        <f>CONCATENATE(A82,".",D82,," ","-"," ",K82,"     ", "(","Tipo do objeto: ",Tabela15[[#This Row],[TIPO DO OBJETO]],")")</f>
        <v>76.2024NE001105 - SINGULARES TECNOLOGIA DA INFORMACAO LTDA     (Tipo do objeto: Serviços)</v>
      </c>
      <c r="P82" s="135"/>
      <c r="Q82" s="135"/>
    </row>
    <row r="83" spans="1:17" s="134" customFormat="1" ht="45.75" customHeight="1" thickBot="1" x14ac:dyDescent="0.3">
      <c r="A83" s="134">
        <v>77</v>
      </c>
      <c r="B83" s="43" t="s">
        <v>872</v>
      </c>
      <c r="C83" s="43" t="s">
        <v>21</v>
      </c>
      <c r="D83" s="43" t="s">
        <v>888</v>
      </c>
      <c r="E83" s="43" t="s">
        <v>510</v>
      </c>
      <c r="F83" s="48" t="s">
        <v>4</v>
      </c>
      <c r="G83" s="43" t="s">
        <v>980</v>
      </c>
      <c r="H83" s="43" t="s">
        <v>981</v>
      </c>
      <c r="I83" s="43" t="s">
        <v>33</v>
      </c>
      <c r="J83" s="43" t="s">
        <v>904</v>
      </c>
      <c r="K83" s="43" t="s">
        <v>984</v>
      </c>
      <c r="L83" s="234">
        <v>5170</v>
      </c>
      <c r="M83" s="41" t="str">
        <f>CONCATENATE(A83,".",D83,," ","-"," ",K83,"     ", "(","Tipo do objeto: ",Tabela15[[#This Row],[TIPO DO OBJETO]],")")</f>
        <v>77.2024NE001098 - MINDWORKS - TECNOLOGIA E TREINAMENTO LTDA     (Tipo do objeto: Serviços)</v>
      </c>
      <c r="P83" s="135"/>
      <c r="Q83" s="135"/>
    </row>
    <row r="84" spans="1:17" s="134" customFormat="1" ht="45.75" customHeight="1" thickBot="1" x14ac:dyDescent="0.3">
      <c r="A84" s="134">
        <v>78</v>
      </c>
      <c r="B84" s="43" t="s">
        <v>873</v>
      </c>
      <c r="C84" s="43" t="s">
        <v>21</v>
      </c>
      <c r="D84" s="43" t="s">
        <v>889</v>
      </c>
      <c r="E84" s="43" t="s">
        <v>510</v>
      </c>
      <c r="F84" s="48" t="s">
        <v>4</v>
      </c>
      <c r="G84" s="43" t="s">
        <v>980</v>
      </c>
      <c r="H84" s="43" t="s">
        <v>981</v>
      </c>
      <c r="I84" s="43" t="s">
        <v>33</v>
      </c>
      <c r="J84" s="43" t="s">
        <v>905</v>
      </c>
      <c r="K84" s="43" t="s">
        <v>990</v>
      </c>
      <c r="L84" s="234">
        <v>2805</v>
      </c>
      <c r="M84" s="41" t="str">
        <f>CONCATENATE(A84,".",D84,," ","-"," ",K84,"     ", "(","Tipo do objeto: ",Tabela15[[#This Row],[TIPO DO OBJETO]],")")</f>
        <v>78.2024NE001103 - FUNDACAO INSTITUTO DE PESQUISAS CONTABEIS, AT     (Tipo do objeto: Serviços)</v>
      </c>
      <c r="P84" s="135"/>
      <c r="Q84" s="135"/>
    </row>
    <row r="85" spans="1:17" s="134" customFormat="1" ht="45.75" customHeight="1" thickBot="1" x14ac:dyDescent="0.3">
      <c r="A85" s="134">
        <v>79</v>
      </c>
      <c r="B85" s="43" t="s">
        <v>874</v>
      </c>
      <c r="C85" s="43" t="s">
        <v>21</v>
      </c>
      <c r="D85" s="43" t="s">
        <v>890</v>
      </c>
      <c r="E85" s="43" t="s">
        <v>510</v>
      </c>
      <c r="F85" s="48" t="s">
        <v>4</v>
      </c>
      <c r="G85" s="43" t="s">
        <v>980</v>
      </c>
      <c r="H85" s="43" t="s">
        <v>981</v>
      </c>
      <c r="I85" s="43" t="s">
        <v>33</v>
      </c>
      <c r="J85" s="43" t="s">
        <v>906</v>
      </c>
      <c r="K85" s="43" t="s">
        <v>984</v>
      </c>
      <c r="L85" s="234">
        <v>7080</v>
      </c>
      <c r="M85" s="41" t="str">
        <f>CONCATENATE(A85,".",D85,," ","-"," ",K85,"     ", "(","Tipo do objeto: ",Tabela15[[#This Row],[TIPO DO OBJETO]],")")</f>
        <v>79.2024NE001108 - MINDWORKS - TECNOLOGIA E TREINAMENTO LTDA     (Tipo do objeto: Serviços)</v>
      </c>
      <c r="P85" s="135"/>
      <c r="Q85" s="135"/>
    </row>
    <row r="86" spans="1:17" s="134" customFormat="1" ht="45.75" customHeight="1" thickBot="1" x14ac:dyDescent="0.3">
      <c r="A86" s="134">
        <v>80</v>
      </c>
      <c r="B86" s="43" t="s">
        <v>875</v>
      </c>
      <c r="C86" s="43" t="s">
        <v>21</v>
      </c>
      <c r="D86" s="43" t="s">
        <v>891</v>
      </c>
      <c r="E86" s="43" t="s">
        <v>510</v>
      </c>
      <c r="F86" s="48" t="s">
        <v>4</v>
      </c>
      <c r="G86" s="43" t="s">
        <v>980</v>
      </c>
      <c r="H86" s="43" t="s">
        <v>981</v>
      </c>
      <c r="I86" s="43" t="s">
        <v>33</v>
      </c>
      <c r="J86" s="43" t="s">
        <v>907</v>
      </c>
      <c r="K86" s="43" t="s">
        <v>984</v>
      </c>
      <c r="L86" s="234">
        <v>5415</v>
      </c>
      <c r="M86" s="41" t="str">
        <f>CONCATENATE(A86,".",D86,," ","-"," ",K86,"     ", "(","Tipo do objeto: ",Tabela15[[#This Row],[TIPO DO OBJETO]],")")</f>
        <v>80.2024NE001104 - MINDWORKS - TECNOLOGIA E TREINAMENTO LTDA     (Tipo do objeto: Serviços)</v>
      </c>
      <c r="P86" s="135"/>
      <c r="Q86" s="135"/>
    </row>
    <row r="87" spans="1:17" s="134" customFormat="1" ht="45.75" customHeight="1" thickBot="1" x14ac:dyDescent="0.3">
      <c r="A87" s="134">
        <v>81</v>
      </c>
      <c r="B87" s="43" t="s">
        <v>876</v>
      </c>
      <c r="C87" s="43" t="s">
        <v>21</v>
      </c>
      <c r="D87" s="43" t="s">
        <v>892</v>
      </c>
      <c r="E87" s="43" t="s">
        <v>510</v>
      </c>
      <c r="F87" s="48" t="s">
        <v>4</v>
      </c>
      <c r="G87" s="43" t="s">
        <v>980</v>
      </c>
      <c r="H87" s="43" t="s">
        <v>981</v>
      </c>
      <c r="I87" s="43" t="s">
        <v>33</v>
      </c>
      <c r="J87" s="43" t="s">
        <v>908</v>
      </c>
      <c r="K87" s="43" t="s">
        <v>1002</v>
      </c>
      <c r="L87" s="234">
        <v>22066</v>
      </c>
      <c r="M87" s="41" t="str">
        <f>CONCATENATE(A87,".",D87,," ","-"," ",K87,"     ", "(","Tipo do objeto: ",Tabela15[[#This Row],[TIPO DO OBJETO]],")")</f>
        <v>81.2024NE001110 - KPMG ASSURANCE SERVICES LTDA     (Tipo do objeto: Serviços)</v>
      </c>
      <c r="P87" s="135"/>
      <c r="Q87" s="135"/>
    </row>
    <row r="88" spans="1:17" s="134" customFormat="1" ht="45.75" customHeight="1" thickBot="1" x14ac:dyDescent="0.3">
      <c r="A88" s="134">
        <v>82</v>
      </c>
      <c r="B88" s="43" t="s">
        <v>877</v>
      </c>
      <c r="C88" s="43" t="s">
        <v>21</v>
      </c>
      <c r="D88" s="43" t="s">
        <v>893</v>
      </c>
      <c r="E88" s="43" t="s">
        <v>510</v>
      </c>
      <c r="F88" s="48" t="s">
        <v>4</v>
      </c>
      <c r="G88" s="43" t="s">
        <v>980</v>
      </c>
      <c r="H88" s="43" t="s">
        <v>981</v>
      </c>
      <c r="I88" s="43" t="s">
        <v>33</v>
      </c>
      <c r="J88" s="43" t="s">
        <v>909</v>
      </c>
      <c r="K88" s="43" t="s">
        <v>1006</v>
      </c>
      <c r="L88" s="234">
        <v>2480</v>
      </c>
      <c r="M88" s="41" t="str">
        <f>CONCATENATE(A88,".",D88,," ","-"," ",K88,"     ", "(","Tipo do objeto: ",Tabela15[[#This Row],[TIPO DO OBJETO]],")")</f>
        <v>82.2024NE001109 - ABTD ASSOCIACAO BRASILEIRA DE TREINAMENTO     (Tipo do objeto: Serviços)</v>
      </c>
      <c r="P88" s="135"/>
      <c r="Q88" s="135"/>
    </row>
    <row r="89" spans="1:17" s="134" customFormat="1" ht="45.75" customHeight="1" thickBot="1" x14ac:dyDescent="0.3">
      <c r="A89" s="134">
        <v>83</v>
      </c>
      <c r="B89" s="43" t="s">
        <v>878</v>
      </c>
      <c r="C89" s="43" t="s">
        <v>21</v>
      </c>
      <c r="D89" s="43" t="s">
        <v>894</v>
      </c>
      <c r="E89" s="43" t="s">
        <v>510</v>
      </c>
      <c r="F89" s="48" t="s">
        <v>4</v>
      </c>
      <c r="G89" s="43" t="s">
        <v>804</v>
      </c>
      <c r="H89" s="43" t="s">
        <v>1011</v>
      </c>
      <c r="I89" s="43" t="s">
        <v>33</v>
      </c>
      <c r="J89" s="43" t="s">
        <v>910</v>
      </c>
      <c r="K89" s="43" t="s">
        <v>1012</v>
      </c>
      <c r="L89" s="234">
        <v>13234.53</v>
      </c>
      <c r="M89" s="41" t="str">
        <f>CONCATENATE(A89,".",D89,," ","-"," ",K89,"     ", "(","Tipo do objeto: ",Tabela15[[#This Row],[TIPO DO OBJETO]],")")</f>
        <v>83.2024NE001137 - KA SOLUTION INFORMATICA LTDA     (Tipo do objeto: Serviços)</v>
      </c>
      <c r="P89" s="135"/>
      <c r="Q89" s="135"/>
    </row>
    <row r="90" spans="1:17" s="134" customFormat="1" ht="45.75" customHeight="1" thickBot="1" x14ac:dyDescent="0.3">
      <c r="A90" s="134">
        <v>84</v>
      </c>
      <c r="B90" s="43" t="s">
        <v>1036</v>
      </c>
      <c r="C90" s="43" t="s">
        <v>85</v>
      </c>
      <c r="D90" s="43" t="s">
        <v>1038</v>
      </c>
      <c r="E90" s="43" t="s">
        <v>1040</v>
      </c>
      <c r="F90" s="48" t="s">
        <v>4</v>
      </c>
      <c r="G90" s="43" t="s">
        <v>1041</v>
      </c>
      <c r="H90" s="43" t="s">
        <v>1042</v>
      </c>
      <c r="I90" s="43" t="s">
        <v>33</v>
      </c>
      <c r="J90" s="43" t="s">
        <v>1043</v>
      </c>
      <c r="K90" s="43" t="s">
        <v>1044</v>
      </c>
      <c r="L90" s="234">
        <v>6150</v>
      </c>
      <c r="M90" s="41" t="str">
        <f>CONCATENATE(A90,".",D90,," ","-"," ",K90,"     ", "(","Tipo do objeto: ",Tabela15[[#This Row],[TIPO DO OBJETO]],")")</f>
        <v>84.TLB-ASS-2024/11008 - Fundação Nacional da Qualidade (FNQ)     (Tipo do objeto: Serviços)</v>
      </c>
      <c r="P90" s="135"/>
      <c r="Q90" s="135"/>
    </row>
    <row r="91" spans="1:17" s="41" customFormat="1" ht="15.75" x14ac:dyDescent="0.25">
      <c r="B91" s="231" t="s">
        <v>65</v>
      </c>
      <c r="C91" s="231"/>
      <c r="D91" s="231">
        <f>SUBTOTAL(103,Tabela15[Nº CONTRATO])</f>
        <v>85</v>
      </c>
      <c r="E91" s="231"/>
      <c r="F91" s="232"/>
      <c r="G91" s="231"/>
      <c r="H91" s="231"/>
      <c r="I91" s="231"/>
      <c r="J91" s="231"/>
      <c r="K91" s="231"/>
      <c r="L91" s="233">
        <f>SUBTOTAL(109,Tabela15[VALOR DO CONTRATO])</f>
        <v>96502870.229999989</v>
      </c>
      <c r="P91" s="42"/>
      <c r="Q91" s="42"/>
    </row>
    <row r="92" spans="1:17" s="41" customFormat="1" x14ac:dyDescent="0.25">
      <c r="B92"/>
      <c r="C92"/>
      <c r="D92"/>
      <c r="E92"/>
      <c r="F92"/>
      <c r="G92"/>
      <c r="H92"/>
      <c r="I92"/>
      <c r="J92"/>
      <c r="K92"/>
      <c r="L92" s="115"/>
      <c r="P92" s="42"/>
      <c r="Q92" s="42"/>
    </row>
    <row r="93" spans="1:17" x14ac:dyDescent="0.25">
      <c r="B93"/>
      <c r="C93"/>
      <c r="D93"/>
      <c r="E93"/>
      <c r="F93"/>
      <c r="G93"/>
      <c r="H93"/>
      <c r="I93"/>
      <c r="J93"/>
      <c r="K93"/>
      <c r="L93" s="115"/>
    </row>
    <row r="94" spans="1:17" x14ac:dyDescent="0.25">
      <c r="B94"/>
      <c r="C94"/>
      <c r="D94"/>
      <c r="E94"/>
      <c r="F94"/>
      <c r="G94"/>
      <c r="H94"/>
      <c r="I94"/>
      <c r="J94"/>
      <c r="K94"/>
      <c r="L94" s="115"/>
    </row>
    <row r="95" spans="1:17" x14ac:dyDescent="0.25">
      <c r="B95"/>
      <c r="C95"/>
      <c r="D95"/>
      <c r="E95"/>
      <c r="F95"/>
      <c r="G95"/>
      <c r="H95"/>
      <c r="I95"/>
      <c r="J95"/>
      <c r="K95"/>
      <c r="L95" s="115"/>
    </row>
    <row r="96" spans="1:17" x14ac:dyDescent="0.25">
      <c r="B96"/>
      <c r="C96"/>
      <c r="D96"/>
      <c r="E96"/>
      <c r="F96"/>
      <c r="G96"/>
      <c r="H96"/>
      <c r="I96"/>
      <c r="J96"/>
      <c r="K96"/>
      <c r="L96" s="115"/>
    </row>
    <row r="97" spans="2:12" x14ac:dyDescent="0.25">
      <c r="B97"/>
      <c r="C97"/>
      <c r="D97"/>
      <c r="E97"/>
      <c r="F97"/>
      <c r="G97"/>
      <c r="H97"/>
      <c r="I97"/>
      <c r="J97"/>
      <c r="K97"/>
      <c r="L97" s="115"/>
    </row>
    <row r="98" spans="2:12" x14ac:dyDescent="0.25">
      <c r="B98"/>
      <c r="C98"/>
      <c r="D98"/>
      <c r="E98"/>
      <c r="F98"/>
      <c r="G98"/>
      <c r="H98"/>
      <c r="I98"/>
      <c r="J98"/>
      <c r="K98"/>
      <c r="L98" s="115"/>
    </row>
    <row r="99" spans="2:12" x14ac:dyDescent="0.25">
      <c r="B99"/>
      <c r="C99"/>
      <c r="D99"/>
      <c r="E99"/>
      <c r="F99"/>
      <c r="G99"/>
      <c r="H99"/>
      <c r="I99"/>
      <c r="J99"/>
      <c r="K99"/>
      <c r="L99" s="115"/>
    </row>
    <row r="100" spans="2:12" x14ac:dyDescent="0.25">
      <c r="B100"/>
      <c r="C100"/>
      <c r="D100"/>
      <c r="E100"/>
      <c r="F100"/>
      <c r="G100"/>
      <c r="H100"/>
      <c r="I100"/>
      <c r="J100"/>
      <c r="K100"/>
      <c r="L100" s="115"/>
    </row>
    <row r="101" spans="2:12" x14ac:dyDescent="0.25">
      <c r="B101"/>
      <c r="C101"/>
      <c r="D101"/>
      <c r="E101"/>
      <c r="F101"/>
      <c r="G101"/>
      <c r="H101"/>
      <c r="I101"/>
      <c r="J101"/>
      <c r="K101"/>
      <c r="L101" s="115"/>
    </row>
    <row r="102" spans="2:12" x14ac:dyDescent="0.25">
      <c r="B102"/>
      <c r="C102"/>
      <c r="D102"/>
      <c r="E102"/>
      <c r="F102"/>
      <c r="G102"/>
      <c r="H102"/>
      <c r="I102"/>
      <c r="J102"/>
      <c r="K102"/>
      <c r="L102" s="115"/>
    </row>
    <row r="103" spans="2:12" x14ac:dyDescent="0.25">
      <c r="B103"/>
      <c r="C103"/>
      <c r="D103"/>
      <c r="E103"/>
      <c r="F103"/>
      <c r="G103"/>
      <c r="H103"/>
      <c r="I103"/>
      <c r="J103"/>
      <c r="K103"/>
      <c r="L103" s="115"/>
    </row>
    <row r="104" spans="2:12" x14ac:dyDescent="0.25">
      <c r="B104"/>
      <c r="C104"/>
      <c r="D104"/>
      <c r="E104"/>
      <c r="F104"/>
      <c r="G104"/>
      <c r="H104"/>
      <c r="I104"/>
      <c r="J104"/>
      <c r="K104"/>
      <c r="L104" s="115"/>
    </row>
    <row r="105" spans="2:12" x14ac:dyDescent="0.25">
      <c r="B105"/>
      <c r="C105"/>
      <c r="D105"/>
      <c r="E105"/>
      <c r="F105"/>
      <c r="G105"/>
      <c r="H105"/>
      <c r="I105"/>
      <c r="J105"/>
      <c r="K105"/>
      <c r="L105" s="115"/>
    </row>
    <row r="106" spans="2:12" x14ac:dyDescent="0.25">
      <c r="B106"/>
      <c r="C106"/>
      <c r="D106"/>
      <c r="E106"/>
      <c r="F106"/>
      <c r="G106"/>
      <c r="H106"/>
      <c r="I106"/>
      <c r="J106"/>
      <c r="K106"/>
      <c r="L106" s="115"/>
    </row>
    <row r="107" spans="2:12" x14ac:dyDescent="0.25">
      <c r="B107"/>
      <c r="C107"/>
      <c r="D107"/>
      <c r="E107"/>
      <c r="F107"/>
      <c r="G107"/>
      <c r="H107"/>
      <c r="I107"/>
      <c r="J107"/>
      <c r="K107"/>
      <c r="L107" s="115"/>
    </row>
    <row r="108" spans="2:12" x14ac:dyDescent="0.25">
      <c r="B108"/>
      <c r="C108"/>
      <c r="D108"/>
      <c r="E108"/>
      <c r="F108"/>
      <c r="G108"/>
      <c r="H108"/>
      <c r="I108"/>
      <c r="J108"/>
      <c r="K108"/>
      <c r="L108" s="115"/>
    </row>
    <row r="109" spans="2:12" x14ac:dyDescent="0.25">
      <c r="B109"/>
      <c r="C109"/>
      <c r="D109"/>
      <c r="E109"/>
      <c r="F109"/>
      <c r="G109"/>
      <c r="H109"/>
      <c r="I109"/>
      <c r="J109"/>
      <c r="K109"/>
      <c r="L109" s="115"/>
    </row>
    <row r="110" spans="2:12" x14ac:dyDescent="0.25">
      <c r="B110"/>
      <c r="C110"/>
      <c r="D110"/>
      <c r="E110"/>
      <c r="F110"/>
      <c r="G110"/>
      <c r="H110"/>
      <c r="I110"/>
      <c r="J110"/>
      <c r="K110"/>
      <c r="L110" s="115"/>
    </row>
    <row r="111" spans="2:12" x14ac:dyDescent="0.25">
      <c r="B111"/>
      <c r="C111"/>
      <c r="D111"/>
      <c r="E111"/>
      <c r="F111"/>
      <c r="G111"/>
      <c r="H111"/>
      <c r="I111"/>
      <c r="J111"/>
      <c r="K111"/>
      <c r="L111" s="115"/>
    </row>
    <row r="112" spans="2:12" x14ac:dyDescent="0.25">
      <c r="B112"/>
      <c r="C112"/>
      <c r="D112"/>
      <c r="E112"/>
      <c r="F112"/>
      <c r="G112"/>
      <c r="H112"/>
      <c r="I112"/>
      <c r="J112"/>
      <c r="K112"/>
      <c r="L112" s="115"/>
    </row>
    <row r="113" spans="2:12" x14ac:dyDescent="0.25">
      <c r="B113"/>
      <c r="C113"/>
      <c r="D113"/>
      <c r="E113"/>
      <c r="F113"/>
      <c r="G113"/>
      <c r="H113"/>
      <c r="I113"/>
      <c r="J113"/>
      <c r="K113"/>
      <c r="L113" s="115"/>
    </row>
    <row r="114" spans="2:12" x14ac:dyDescent="0.25">
      <c r="B114"/>
      <c r="C114"/>
      <c r="D114"/>
      <c r="E114"/>
      <c r="F114"/>
      <c r="G114"/>
      <c r="H114"/>
      <c r="I114"/>
      <c r="J114"/>
      <c r="K114"/>
      <c r="L114" s="115"/>
    </row>
    <row r="115" spans="2:12" x14ac:dyDescent="0.25">
      <c r="B115"/>
      <c r="C115"/>
      <c r="D115"/>
      <c r="E115"/>
      <c r="F115"/>
      <c r="G115"/>
      <c r="H115"/>
      <c r="I115"/>
      <c r="J115"/>
      <c r="K115"/>
      <c r="L115" s="115"/>
    </row>
    <row r="116" spans="2:12" x14ac:dyDescent="0.25">
      <c r="B116"/>
      <c r="C116"/>
      <c r="D116"/>
      <c r="E116"/>
      <c r="F116"/>
      <c r="G116"/>
      <c r="H116"/>
      <c r="I116"/>
      <c r="J116"/>
      <c r="K116"/>
      <c r="L116" s="115"/>
    </row>
    <row r="117" spans="2:12" x14ac:dyDescent="0.25">
      <c r="B117"/>
      <c r="C117"/>
      <c r="D117"/>
      <c r="E117"/>
      <c r="F117"/>
      <c r="G117"/>
      <c r="H117"/>
      <c r="I117"/>
      <c r="J117"/>
      <c r="K117"/>
      <c r="L117" s="115"/>
    </row>
    <row r="118" spans="2:12" x14ac:dyDescent="0.25">
      <c r="B118"/>
      <c r="C118"/>
      <c r="D118"/>
      <c r="E118"/>
      <c r="F118"/>
      <c r="G118"/>
      <c r="H118"/>
      <c r="I118"/>
      <c r="J118"/>
      <c r="K118"/>
      <c r="L118" s="115"/>
    </row>
    <row r="119" spans="2:12" x14ac:dyDescent="0.25">
      <c r="B119"/>
      <c r="C119"/>
      <c r="D119"/>
      <c r="E119"/>
      <c r="F119"/>
      <c r="G119"/>
      <c r="H119"/>
      <c r="I119"/>
      <c r="J119"/>
      <c r="K119"/>
      <c r="L119" s="115"/>
    </row>
    <row r="120" spans="2:12" x14ac:dyDescent="0.25">
      <c r="B120"/>
      <c r="C120"/>
      <c r="D120"/>
      <c r="E120"/>
      <c r="F120"/>
      <c r="G120"/>
      <c r="H120"/>
      <c r="I120"/>
      <c r="J120"/>
      <c r="K120"/>
      <c r="L120" s="115"/>
    </row>
    <row r="121" spans="2:12" x14ac:dyDescent="0.25">
      <c r="B121"/>
      <c r="C121"/>
      <c r="D121"/>
      <c r="E121"/>
      <c r="F121"/>
      <c r="G121"/>
      <c r="H121"/>
      <c r="I121"/>
      <c r="J121"/>
      <c r="K121"/>
      <c r="L121" s="115"/>
    </row>
    <row r="122" spans="2:12" x14ac:dyDescent="0.25">
      <c r="B122"/>
      <c r="C122"/>
      <c r="D122"/>
      <c r="E122"/>
      <c r="F122"/>
      <c r="G122"/>
      <c r="H122"/>
      <c r="I122"/>
      <c r="J122"/>
      <c r="K122"/>
      <c r="L122" s="115"/>
    </row>
    <row r="123" spans="2:12" x14ac:dyDescent="0.25">
      <c r="B123"/>
      <c r="C123"/>
      <c r="D123"/>
      <c r="E123"/>
      <c r="F123"/>
      <c r="G123"/>
      <c r="H123"/>
      <c r="I123"/>
      <c r="J123"/>
      <c r="K123"/>
      <c r="L123" s="115"/>
    </row>
    <row r="124" spans="2:12" x14ac:dyDescent="0.25">
      <c r="B124"/>
      <c r="C124"/>
      <c r="D124"/>
      <c r="E124"/>
      <c r="F124"/>
      <c r="G124"/>
      <c r="H124"/>
      <c r="I124"/>
      <c r="J124"/>
      <c r="K124"/>
      <c r="L124" s="115"/>
    </row>
    <row r="125" spans="2:12" x14ac:dyDescent="0.25">
      <c r="B125"/>
      <c r="C125"/>
      <c r="D125"/>
      <c r="E125"/>
      <c r="F125"/>
      <c r="G125"/>
      <c r="H125"/>
      <c r="I125"/>
      <c r="J125"/>
      <c r="K125"/>
      <c r="L125" s="115"/>
    </row>
    <row r="126" spans="2:12" x14ac:dyDescent="0.25">
      <c r="B126"/>
      <c r="C126"/>
      <c r="D126"/>
      <c r="E126"/>
      <c r="F126"/>
      <c r="G126"/>
      <c r="H126"/>
      <c r="I126"/>
      <c r="J126"/>
      <c r="K126"/>
      <c r="L126" s="115"/>
    </row>
    <row r="127" spans="2:12" x14ac:dyDescent="0.25">
      <c r="B127"/>
      <c r="C127"/>
      <c r="D127"/>
      <c r="E127"/>
      <c r="F127"/>
      <c r="G127"/>
      <c r="H127"/>
      <c r="I127"/>
      <c r="J127"/>
      <c r="K127"/>
      <c r="L127" s="115"/>
    </row>
    <row r="128" spans="2:12" x14ac:dyDescent="0.25">
      <c r="B128"/>
      <c r="C128"/>
      <c r="D128"/>
      <c r="E128"/>
      <c r="F128"/>
      <c r="G128"/>
      <c r="H128"/>
      <c r="I128"/>
      <c r="J128"/>
      <c r="K128"/>
      <c r="L128" s="115"/>
    </row>
    <row r="129" spans="2:12" x14ac:dyDescent="0.25">
      <c r="B129"/>
      <c r="C129"/>
      <c r="D129"/>
      <c r="E129"/>
      <c r="F129"/>
      <c r="G129"/>
      <c r="H129"/>
      <c r="I129"/>
      <c r="J129"/>
      <c r="K129"/>
      <c r="L129" s="115"/>
    </row>
    <row r="130" spans="2:12" x14ac:dyDescent="0.25">
      <c r="B130"/>
      <c r="C130"/>
      <c r="D130"/>
      <c r="E130"/>
      <c r="F130"/>
      <c r="G130"/>
      <c r="H130"/>
      <c r="I130"/>
      <c r="J130"/>
      <c r="K130"/>
      <c r="L130" s="115"/>
    </row>
    <row r="131" spans="2:12" x14ac:dyDescent="0.25">
      <c r="B131"/>
      <c r="C131"/>
      <c r="D131"/>
      <c r="E131"/>
      <c r="F131"/>
      <c r="G131"/>
      <c r="H131"/>
      <c r="I131"/>
      <c r="J131"/>
      <c r="K131"/>
      <c r="L131" s="115"/>
    </row>
    <row r="132" spans="2:12" x14ac:dyDescent="0.25">
      <c r="B132"/>
      <c r="C132"/>
      <c r="D132"/>
      <c r="E132"/>
      <c r="F132"/>
      <c r="G132"/>
      <c r="H132"/>
      <c r="I132"/>
      <c r="J132"/>
      <c r="K132"/>
      <c r="L132" s="115"/>
    </row>
    <row r="133" spans="2:12" x14ac:dyDescent="0.25">
      <c r="B133"/>
      <c r="C133"/>
      <c r="D133"/>
      <c r="E133"/>
      <c r="F133"/>
      <c r="G133"/>
      <c r="H133"/>
      <c r="I133"/>
      <c r="J133"/>
      <c r="K133"/>
      <c r="L133" s="115"/>
    </row>
    <row r="134" spans="2:12" x14ac:dyDescent="0.25">
      <c r="B134"/>
      <c r="C134"/>
      <c r="D134"/>
      <c r="E134"/>
      <c r="F134"/>
      <c r="G134"/>
      <c r="H134"/>
      <c r="I134"/>
      <c r="J134"/>
      <c r="K134"/>
      <c r="L134" s="115"/>
    </row>
    <row r="135" spans="2:12" x14ac:dyDescent="0.25">
      <c r="B135"/>
      <c r="C135"/>
      <c r="D135"/>
      <c r="E135"/>
      <c r="F135"/>
      <c r="G135"/>
      <c r="H135"/>
      <c r="I135"/>
      <c r="J135"/>
      <c r="K135"/>
      <c r="L135" s="115"/>
    </row>
    <row r="136" spans="2:12" x14ac:dyDescent="0.25">
      <c r="B136"/>
      <c r="C136"/>
      <c r="D136"/>
      <c r="E136"/>
      <c r="F136"/>
      <c r="G136"/>
      <c r="H136"/>
      <c r="I136"/>
      <c r="J136"/>
      <c r="K136"/>
      <c r="L136" s="115"/>
    </row>
    <row r="137" spans="2:12" x14ac:dyDescent="0.25">
      <c r="B137"/>
      <c r="C137"/>
      <c r="D137"/>
      <c r="E137"/>
      <c r="F137"/>
      <c r="G137"/>
      <c r="H137"/>
      <c r="I137"/>
      <c r="J137"/>
      <c r="K137"/>
      <c r="L137" s="115"/>
    </row>
    <row r="138" spans="2:12" x14ac:dyDescent="0.25">
      <c r="B138"/>
      <c r="C138"/>
      <c r="D138"/>
      <c r="E138"/>
      <c r="F138"/>
      <c r="G138"/>
      <c r="H138"/>
      <c r="I138"/>
      <c r="J138"/>
      <c r="K138"/>
      <c r="L138" s="115"/>
    </row>
    <row r="139" spans="2:12" x14ac:dyDescent="0.25">
      <c r="B139"/>
      <c r="C139"/>
      <c r="D139"/>
      <c r="E139"/>
      <c r="F139"/>
      <c r="G139"/>
      <c r="H139"/>
      <c r="I139"/>
      <c r="J139"/>
      <c r="K139"/>
      <c r="L139" s="115"/>
    </row>
    <row r="140" spans="2:12" x14ac:dyDescent="0.25">
      <c r="B140"/>
      <c r="C140"/>
      <c r="D140"/>
      <c r="E140"/>
      <c r="F140"/>
      <c r="G140"/>
      <c r="H140"/>
      <c r="I140"/>
      <c r="J140"/>
      <c r="K140"/>
      <c r="L140" s="115"/>
    </row>
    <row r="141" spans="2:12" x14ac:dyDescent="0.25">
      <c r="B141"/>
      <c r="C141"/>
      <c r="D141"/>
      <c r="E141"/>
      <c r="F141"/>
      <c r="G141"/>
      <c r="H141"/>
      <c r="I141"/>
      <c r="J141"/>
      <c r="K141"/>
      <c r="L141" s="115"/>
    </row>
    <row r="142" spans="2:12" x14ac:dyDescent="0.25">
      <c r="B142"/>
      <c r="C142"/>
      <c r="D142"/>
      <c r="E142"/>
      <c r="F142"/>
      <c r="G142"/>
      <c r="H142"/>
      <c r="I142"/>
      <c r="J142"/>
      <c r="K142"/>
      <c r="L142" s="115"/>
    </row>
    <row r="143" spans="2:12" x14ac:dyDescent="0.25">
      <c r="B143"/>
      <c r="C143"/>
      <c r="D143"/>
      <c r="E143"/>
      <c r="F143"/>
      <c r="G143"/>
      <c r="H143"/>
      <c r="I143"/>
      <c r="J143"/>
      <c r="K143"/>
      <c r="L143" s="115"/>
    </row>
    <row r="144" spans="2:12" x14ac:dyDescent="0.25">
      <c r="B144"/>
      <c r="C144"/>
      <c r="D144"/>
      <c r="E144"/>
      <c r="F144"/>
      <c r="G144"/>
      <c r="H144"/>
      <c r="I144"/>
      <c r="J144"/>
      <c r="K144"/>
      <c r="L144" s="115"/>
    </row>
    <row r="145" spans="2:12" x14ac:dyDescent="0.25">
      <c r="B145"/>
      <c r="C145"/>
      <c r="D145"/>
      <c r="E145"/>
      <c r="F145"/>
      <c r="G145"/>
      <c r="H145"/>
      <c r="I145"/>
      <c r="J145"/>
      <c r="K145"/>
      <c r="L145" s="115"/>
    </row>
    <row r="146" spans="2:12" x14ac:dyDescent="0.25">
      <c r="B146"/>
      <c r="C146"/>
      <c r="D146"/>
      <c r="E146"/>
      <c r="F146"/>
      <c r="G146"/>
      <c r="H146"/>
      <c r="I146"/>
      <c r="J146"/>
      <c r="K146"/>
      <c r="L146" s="115"/>
    </row>
    <row r="147" spans="2:12" x14ac:dyDescent="0.25">
      <c r="B147"/>
      <c r="C147"/>
      <c r="D147"/>
      <c r="E147"/>
      <c r="F147"/>
      <c r="G147"/>
      <c r="H147"/>
      <c r="I147"/>
      <c r="J147"/>
      <c r="K147"/>
      <c r="L147" s="115"/>
    </row>
    <row r="148" spans="2:12" x14ac:dyDescent="0.25">
      <c r="B148"/>
      <c r="C148"/>
      <c r="D148"/>
      <c r="E148"/>
      <c r="F148"/>
      <c r="G148"/>
      <c r="H148"/>
      <c r="I148"/>
      <c r="J148"/>
      <c r="K148"/>
      <c r="L148" s="115"/>
    </row>
    <row r="149" spans="2:12" x14ac:dyDescent="0.25">
      <c r="B149"/>
      <c r="C149"/>
      <c r="D149"/>
      <c r="E149"/>
      <c r="F149"/>
      <c r="G149"/>
      <c r="H149"/>
      <c r="I149"/>
      <c r="J149"/>
      <c r="K149"/>
      <c r="L149" s="115"/>
    </row>
    <row r="150" spans="2:12" x14ac:dyDescent="0.25">
      <c r="B150"/>
      <c r="C150"/>
      <c r="D150"/>
      <c r="E150"/>
      <c r="F150"/>
      <c r="G150"/>
      <c r="H150"/>
      <c r="I150"/>
      <c r="J150"/>
      <c r="K150"/>
      <c r="L150" s="115"/>
    </row>
    <row r="151" spans="2:12" x14ac:dyDescent="0.25">
      <c r="B151"/>
      <c r="C151"/>
      <c r="D151"/>
      <c r="E151"/>
      <c r="F151"/>
      <c r="G151"/>
      <c r="H151"/>
      <c r="I151"/>
      <c r="J151"/>
      <c r="K151"/>
      <c r="L151" s="115"/>
    </row>
    <row r="152" spans="2:12" x14ac:dyDescent="0.25">
      <c r="B152"/>
      <c r="C152"/>
      <c r="D152"/>
      <c r="E152"/>
      <c r="F152"/>
      <c r="G152"/>
      <c r="H152"/>
      <c r="I152"/>
      <c r="J152"/>
      <c r="K152"/>
      <c r="L152" s="115"/>
    </row>
    <row r="153" spans="2:12" x14ac:dyDescent="0.25">
      <c r="B153"/>
      <c r="C153"/>
      <c r="D153"/>
      <c r="E153"/>
      <c r="F153"/>
      <c r="G153"/>
      <c r="H153"/>
      <c r="I153"/>
      <c r="J153"/>
      <c r="K153"/>
      <c r="L153" s="115"/>
    </row>
    <row r="154" spans="2:12" x14ac:dyDescent="0.25">
      <c r="B154"/>
      <c r="C154"/>
      <c r="D154"/>
      <c r="E154"/>
      <c r="F154"/>
      <c r="G154"/>
      <c r="H154"/>
      <c r="I154"/>
      <c r="J154"/>
      <c r="K154"/>
      <c r="L154" s="115"/>
    </row>
    <row r="155" spans="2:12" x14ac:dyDescent="0.25">
      <c r="B155"/>
      <c r="C155"/>
      <c r="D155"/>
      <c r="E155"/>
      <c r="F155"/>
      <c r="G155"/>
      <c r="H155"/>
      <c r="I155"/>
      <c r="J155"/>
      <c r="K155"/>
      <c r="L155" s="115"/>
    </row>
    <row r="156" spans="2:12" x14ac:dyDescent="0.25">
      <c r="B156"/>
      <c r="C156"/>
      <c r="D156"/>
      <c r="E156"/>
      <c r="F156"/>
      <c r="G156"/>
      <c r="H156"/>
      <c r="I156"/>
      <c r="J156"/>
      <c r="K156"/>
      <c r="L156" s="115"/>
    </row>
    <row r="157" spans="2:12" x14ac:dyDescent="0.25">
      <c r="B157"/>
      <c r="C157"/>
      <c r="D157"/>
      <c r="E157"/>
      <c r="F157"/>
      <c r="G157"/>
      <c r="H157"/>
      <c r="I157"/>
      <c r="J157"/>
      <c r="K157"/>
      <c r="L157" s="115"/>
    </row>
    <row r="158" spans="2:12" x14ac:dyDescent="0.25">
      <c r="B158"/>
      <c r="C158"/>
      <c r="D158"/>
      <c r="E158"/>
      <c r="F158"/>
      <c r="G158"/>
      <c r="H158"/>
      <c r="I158"/>
      <c r="J158"/>
      <c r="K158"/>
      <c r="L158" s="115"/>
    </row>
    <row r="159" spans="2:12" x14ac:dyDescent="0.25">
      <c r="B159"/>
      <c r="C159"/>
      <c r="D159"/>
      <c r="E159"/>
      <c r="F159"/>
      <c r="G159"/>
      <c r="H159"/>
      <c r="I159"/>
      <c r="J159"/>
      <c r="K159"/>
      <c r="L159" s="115"/>
    </row>
    <row r="160" spans="2:12" x14ac:dyDescent="0.25">
      <c r="B160"/>
      <c r="C160"/>
      <c r="D160"/>
      <c r="E160"/>
      <c r="F160"/>
      <c r="G160"/>
      <c r="H160"/>
      <c r="I160"/>
      <c r="J160"/>
      <c r="K160"/>
      <c r="L160" s="115"/>
    </row>
    <row r="161" spans="2:12" x14ac:dyDescent="0.25">
      <c r="B161"/>
      <c r="C161"/>
      <c r="D161"/>
      <c r="E161"/>
      <c r="F161"/>
      <c r="G161"/>
      <c r="H161"/>
      <c r="I161"/>
      <c r="J161"/>
      <c r="K161"/>
      <c r="L161" s="115"/>
    </row>
    <row r="162" spans="2:12" x14ac:dyDescent="0.25">
      <c r="B162"/>
      <c r="C162"/>
      <c r="D162"/>
      <c r="E162"/>
      <c r="F162"/>
      <c r="G162"/>
      <c r="H162"/>
      <c r="I162"/>
      <c r="J162"/>
      <c r="K162"/>
      <c r="L162" s="115"/>
    </row>
    <row r="163" spans="2:12" x14ac:dyDescent="0.25">
      <c r="B163"/>
      <c r="C163"/>
      <c r="D163"/>
      <c r="E163"/>
      <c r="F163"/>
      <c r="G163"/>
      <c r="H163"/>
      <c r="I163"/>
      <c r="J163"/>
      <c r="K163"/>
      <c r="L163" s="115"/>
    </row>
    <row r="164" spans="2:12" x14ac:dyDescent="0.25">
      <c r="B164"/>
      <c r="C164"/>
      <c r="D164"/>
      <c r="E164"/>
      <c r="F164"/>
      <c r="G164"/>
      <c r="H164"/>
      <c r="I164"/>
      <c r="J164"/>
      <c r="K164"/>
      <c r="L164" s="115"/>
    </row>
    <row r="165" spans="2:12" x14ac:dyDescent="0.25">
      <c r="B165"/>
      <c r="C165"/>
      <c r="D165"/>
      <c r="E165"/>
      <c r="F165"/>
      <c r="G165"/>
      <c r="H165"/>
      <c r="I165"/>
      <c r="J165"/>
      <c r="K165"/>
      <c r="L165" s="115"/>
    </row>
    <row r="166" spans="2:12" x14ac:dyDescent="0.25">
      <c r="B166"/>
      <c r="C166"/>
      <c r="D166"/>
      <c r="E166"/>
      <c r="F166"/>
      <c r="G166"/>
      <c r="H166"/>
      <c r="I166"/>
      <c r="J166"/>
      <c r="K166"/>
      <c r="L166" s="115"/>
    </row>
    <row r="167" spans="2:12" x14ac:dyDescent="0.25">
      <c r="B167"/>
      <c r="C167"/>
      <c r="D167"/>
      <c r="E167"/>
      <c r="F167"/>
      <c r="G167"/>
      <c r="H167"/>
      <c r="I167"/>
      <c r="J167"/>
      <c r="K167"/>
      <c r="L167" s="115"/>
    </row>
    <row r="168" spans="2:12" x14ac:dyDescent="0.25">
      <c r="B168"/>
      <c r="C168"/>
      <c r="D168"/>
      <c r="E168"/>
      <c r="F168"/>
      <c r="G168"/>
      <c r="H168"/>
      <c r="I168"/>
      <c r="J168"/>
      <c r="K168"/>
      <c r="L168" s="115"/>
    </row>
    <row r="169" spans="2:12" x14ac:dyDescent="0.25">
      <c r="B169"/>
      <c r="C169"/>
      <c r="D169"/>
      <c r="E169"/>
      <c r="F169"/>
      <c r="G169"/>
      <c r="H169"/>
      <c r="I169"/>
      <c r="J169"/>
      <c r="K169"/>
      <c r="L169" s="115"/>
    </row>
    <row r="170" spans="2:12" x14ac:dyDescent="0.25">
      <c r="B170"/>
      <c r="C170"/>
      <c r="D170"/>
      <c r="E170"/>
      <c r="F170"/>
      <c r="G170"/>
      <c r="H170"/>
      <c r="I170"/>
      <c r="J170"/>
      <c r="K170"/>
      <c r="L170" s="115"/>
    </row>
    <row r="171" spans="2:12" x14ac:dyDescent="0.25">
      <c r="B171"/>
      <c r="C171"/>
      <c r="D171"/>
      <c r="E171"/>
      <c r="F171"/>
      <c r="G171"/>
      <c r="H171"/>
      <c r="I171"/>
      <c r="J171"/>
      <c r="K171"/>
      <c r="L171" s="115"/>
    </row>
    <row r="172" spans="2:12" x14ac:dyDescent="0.25">
      <c r="B172"/>
      <c r="C172"/>
      <c r="D172"/>
      <c r="E172"/>
      <c r="F172"/>
      <c r="G172"/>
      <c r="H172"/>
      <c r="I172"/>
      <c r="J172"/>
      <c r="K172"/>
      <c r="L172" s="115"/>
    </row>
    <row r="173" spans="2:12" x14ac:dyDescent="0.25">
      <c r="B173"/>
      <c r="C173"/>
      <c r="D173"/>
      <c r="E173"/>
      <c r="F173"/>
      <c r="G173"/>
      <c r="H173"/>
      <c r="I173"/>
      <c r="J173"/>
      <c r="K173"/>
      <c r="L173" s="115"/>
    </row>
    <row r="174" spans="2:12" x14ac:dyDescent="0.25">
      <c r="B174"/>
      <c r="C174"/>
      <c r="D174"/>
      <c r="E174"/>
      <c r="F174"/>
      <c r="G174"/>
      <c r="H174"/>
      <c r="I174"/>
      <c r="J174"/>
      <c r="K174"/>
      <c r="L174" s="115"/>
    </row>
    <row r="175" spans="2:12" x14ac:dyDescent="0.25">
      <c r="B175"/>
      <c r="C175"/>
      <c r="D175"/>
      <c r="E175"/>
      <c r="F175"/>
      <c r="G175"/>
      <c r="H175"/>
      <c r="I175"/>
      <c r="J175"/>
      <c r="K175"/>
      <c r="L175" s="115"/>
    </row>
    <row r="176" spans="2:12" x14ac:dyDescent="0.25">
      <c r="B176"/>
      <c r="C176"/>
      <c r="D176"/>
      <c r="E176"/>
      <c r="F176"/>
      <c r="G176"/>
      <c r="H176"/>
      <c r="I176"/>
      <c r="J176"/>
      <c r="K176"/>
      <c r="L176" s="115"/>
    </row>
    <row r="177" spans="2:12" x14ac:dyDescent="0.25">
      <c r="B177"/>
      <c r="C177"/>
      <c r="D177"/>
      <c r="E177"/>
      <c r="F177"/>
      <c r="G177"/>
      <c r="H177"/>
      <c r="I177"/>
      <c r="J177"/>
      <c r="K177"/>
      <c r="L177" s="115"/>
    </row>
    <row r="178" spans="2:12" x14ac:dyDescent="0.25">
      <c r="B178"/>
      <c r="C178"/>
      <c r="D178"/>
      <c r="E178"/>
      <c r="F178"/>
      <c r="G178"/>
      <c r="H178"/>
      <c r="I178"/>
      <c r="J178"/>
      <c r="K178"/>
      <c r="L178" s="115"/>
    </row>
    <row r="179" spans="2:12" x14ac:dyDescent="0.25">
      <c r="B179"/>
      <c r="C179"/>
      <c r="D179"/>
      <c r="E179"/>
      <c r="F179"/>
      <c r="G179"/>
      <c r="H179"/>
      <c r="I179"/>
      <c r="J179"/>
      <c r="K179"/>
      <c r="L179" s="115"/>
    </row>
    <row r="180" spans="2:12" x14ac:dyDescent="0.25">
      <c r="B180"/>
      <c r="C180"/>
      <c r="D180"/>
      <c r="E180"/>
      <c r="F180"/>
      <c r="G180"/>
      <c r="H180"/>
      <c r="I180"/>
      <c r="J180"/>
      <c r="K180"/>
      <c r="L180" s="115"/>
    </row>
    <row r="181" spans="2:12" x14ac:dyDescent="0.25">
      <c r="B181"/>
      <c r="C181"/>
      <c r="D181"/>
      <c r="E181"/>
      <c r="F181"/>
      <c r="G181"/>
      <c r="H181"/>
      <c r="I181"/>
      <c r="J181"/>
      <c r="K181"/>
      <c r="L181" s="115"/>
    </row>
    <row r="182" spans="2:12" x14ac:dyDescent="0.25">
      <c r="B182"/>
      <c r="C182"/>
      <c r="D182"/>
      <c r="E182"/>
      <c r="F182"/>
      <c r="G182"/>
      <c r="H182"/>
      <c r="I182"/>
      <c r="J182"/>
      <c r="K182"/>
      <c r="L182" s="115"/>
    </row>
    <row r="183" spans="2:12" x14ac:dyDescent="0.25">
      <c r="B183"/>
      <c r="C183"/>
      <c r="D183"/>
      <c r="E183"/>
      <c r="F183"/>
      <c r="G183"/>
      <c r="H183"/>
      <c r="I183"/>
      <c r="J183"/>
      <c r="K183"/>
      <c r="L183" s="115"/>
    </row>
    <row r="184" spans="2:12" x14ac:dyDescent="0.25">
      <c r="B184"/>
      <c r="C184"/>
      <c r="D184"/>
      <c r="E184"/>
      <c r="F184"/>
      <c r="G184"/>
      <c r="H184"/>
      <c r="I184"/>
      <c r="J184"/>
      <c r="K184"/>
      <c r="L184" s="115"/>
    </row>
    <row r="185" spans="2:12" x14ac:dyDescent="0.25">
      <c r="B185"/>
      <c r="C185"/>
      <c r="D185"/>
      <c r="E185"/>
      <c r="F185"/>
      <c r="G185"/>
      <c r="H185"/>
      <c r="I185"/>
      <c r="J185"/>
      <c r="K185"/>
      <c r="L185" s="115"/>
    </row>
    <row r="186" spans="2:12" x14ac:dyDescent="0.25">
      <c r="C186"/>
    </row>
    <row r="187" spans="2:12" x14ac:dyDescent="0.25">
      <c r="C187"/>
    </row>
  </sheetData>
  <pageMargins left="0.511811024" right="0.511811024" top="0.78740157499999996" bottom="0.78740157499999996" header="0.31496062000000002" footer="0.31496062000000002"/>
  <pageSetup paperSize="9"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0000000}">
          <x14:formula1>
            <xm:f>Lista!$D$4:$D$9</xm:f>
          </x14:formula1>
          <xm:sqref>C74:C89</xm:sqref>
        </x14:dataValidation>
        <x14:dataValidation type="list" allowBlank="1" showInputMessage="1" showErrorMessage="1" xr:uid="{00000000-0002-0000-0900-000001000000}">
          <x14:formula1>
            <xm:f>Lista!$F$4:$F$9</xm:f>
          </x14:formula1>
          <xm:sqref>F74:F89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FFE83-EB2A-40CC-8601-EFD2738EEF88}">
  <sheetPr>
    <tabColor rgb="FFFFFF00"/>
  </sheetPr>
  <dimension ref="A2:M140"/>
  <sheetViews>
    <sheetView showGridLines="0" topLeftCell="A18" workbookViewId="0">
      <selection activeCell="E35" sqref="E35"/>
    </sheetView>
  </sheetViews>
  <sheetFormatPr defaultRowHeight="15" x14ac:dyDescent="0.25"/>
  <cols>
    <col min="1" max="1" width="7.140625" customWidth="1"/>
    <col min="2" max="2" width="20.5703125" customWidth="1"/>
    <col min="3" max="3" width="13.85546875" customWidth="1"/>
    <col min="4" max="4" width="21.42578125" customWidth="1"/>
    <col min="5" max="5" width="21.85546875" style="5" customWidth="1"/>
    <col min="6" max="6" width="17.42578125" style="5" customWidth="1"/>
    <col min="7" max="7" width="17.28515625" style="5" customWidth="1"/>
    <col min="8" max="8" width="14.85546875" style="5" customWidth="1"/>
    <col min="9" max="9" width="15.140625" customWidth="1"/>
    <col min="10" max="10" width="11.85546875" customWidth="1"/>
    <col min="11" max="12" width="13.5703125" style="5" customWidth="1"/>
    <col min="13" max="13" width="14.28515625" customWidth="1"/>
  </cols>
  <sheetData>
    <row r="2" spans="1:13" ht="18.75" x14ac:dyDescent="0.3">
      <c r="B2" s="213" t="s">
        <v>1173</v>
      </c>
    </row>
    <row r="3" spans="1:13" x14ac:dyDescent="0.25">
      <c r="B3" s="214" t="s">
        <v>1175</v>
      </c>
    </row>
    <row r="5" spans="1:13" x14ac:dyDescent="0.25">
      <c r="B5" s="52" t="s">
        <v>93</v>
      </c>
      <c r="C5" t="s">
        <v>62</v>
      </c>
      <c r="E5"/>
    </row>
    <row r="6" spans="1:13" x14ac:dyDescent="0.25">
      <c r="B6" s="52" t="s">
        <v>8</v>
      </c>
      <c r="C6" t="s">
        <v>68</v>
      </c>
      <c r="E6"/>
    </row>
    <row r="7" spans="1:13" s="40" customFormat="1" x14ac:dyDescent="0.25">
      <c r="A7" s="88"/>
      <c r="B7"/>
      <c r="C7"/>
      <c r="D7"/>
      <c r="E7"/>
      <c r="F7" s="5"/>
      <c r="G7" s="5"/>
      <c r="H7" s="5"/>
      <c r="I7"/>
      <c r="J7"/>
      <c r="K7" s="5"/>
      <c r="L7" s="72"/>
    </row>
    <row r="8" spans="1:13" s="40" customFormat="1" x14ac:dyDescent="0.25">
      <c r="A8" s="88"/>
      <c r="B8" s="52" t="s">
        <v>19</v>
      </c>
      <c r="C8" s="52" t="s">
        <v>368</v>
      </c>
      <c r="D8" s="52" t="s">
        <v>26</v>
      </c>
      <c r="E8" s="52" t="s">
        <v>1</v>
      </c>
      <c r="F8" s="52" t="s">
        <v>6</v>
      </c>
      <c r="G8"/>
      <c r="H8"/>
      <c r="I8"/>
      <c r="J8"/>
      <c r="K8"/>
      <c r="L8"/>
      <c r="M8"/>
    </row>
    <row r="9" spans="1:13" s="89" customFormat="1" x14ac:dyDescent="0.25">
      <c r="A9" s="88"/>
      <c r="B9" t="s">
        <v>134</v>
      </c>
      <c r="C9" t="s">
        <v>377</v>
      </c>
      <c r="D9" t="s">
        <v>27</v>
      </c>
      <c r="E9" t="s">
        <v>137</v>
      </c>
      <c r="F9" t="s">
        <v>138</v>
      </c>
      <c r="G9"/>
      <c r="H9"/>
      <c r="I9"/>
      <c r="J9"/>
      <c r="K9"/>
      <c r="L9"/>
      <c r="M9"/>
    </row>
    <row r="10" spans="1:13" s="89" customFormat="1" x14ac:dyDescent="0.25">
      <c r="A10" s="88"/>
      <c r="B10" t="s">
        <v>187</v>
      </c>
      <c r="C10" t="s">
        <v>385</v>
      </c>
      <c r="D10" t="s">
        <v>33</v>
      </c>
      <c r="E10" t="s">
        <v>175</v>
      </c>
      <c r="F10" t="s">
        <v>176</v>
      </c>
      <c r="G10"/>
      <c r="H10"/>
      <c r="I10"/>
      <c r="J10"/>
      <c r="K10"/>
      <c r="L10"/>
      <c r="M10"/>
    </row>
    <row r="11" spans="1:13" s="89" customFormat="1" x14ac:dyDescent="0.25">
      <c r="A11" s="88"/>
      <c r="B11" t="s">
        <v>186</v>
      </c>
      <c r="C11" t="s">
        <v>384</v>
      </c>
      <c r="D11" t="s">
        <v>28</v>
      </c>
      <c r="E11" t="s">
        <v>166</v>
      </c>
      <c r="F11" t="s">
        <v>169</v>
      </c>
      <c r="G11"/>
      <c r="H11"/>
      <c r="I11"/>
      <c r="J11"/>
      <c r="K11"/>
      <c r="L11"/>
      <c r="M11"/>
    </row>
    <row r="12" spans="1:13" s="89" customFormat="1" x14ac:dyDescent="0.25">
      <c r="A12" s="88"/>
      <c r="B12" t="s">
        <v>185</v>
      </c>
      <c r="C12" t="s">
        <v>384</v>
      </c>
      <c r="D12" t="s">
        <v>28</v>
      </c>
      <c r="E12" t="s">
        <v>165</v>
      </c>
      <c r="F12" t="s">
        <v>167</v>
      </c>
      <c r="G12"/>
      <c r="H12"/>
      <c r="I12"/>
      <c r="J12"/>
      <c r="K12"/>
      <c r="L12"/>
      <c r="M12"/>
    </row>
    <row r="13" spans="1:13" s="89" customFormat="1" x14ac:dyDescent="0.25">
      <c r="A13" s="88"/>
      <c r="B13" t="s">
        <v>156</v>
      </c>
      <c r="C13" t="s">
        <v>385</v>
      </c>
      <c r="D13" t="s">
        <v>33</v>
      </c>
      <c r="E13" t="s">
        <v>158</v>
      </c>
      <c r="F13" t="s">
        <v>159</v>
      </c>
      <c r="G13"/>
      <c r="H13"/>
      <c r="I13"/>
      <c r="J13"/>
      <c r="K13"/>
      <c r="L13"/>
      <c r="M13"/>
    </row>
    <row r="14" spans="1:13" s="89" customFormat="1" x14ac:dyDescent="0.25">
      <c r="A14" s="88"/>
      <c r="B14" t="s">
        <v>188</v>
      </c>
      <c r="C14" t="s">
        <v>387</v>
      </c>
      <c r="D14" t="s">
        <v>33</v>
      </c>
      <c r="E14" t="s">
        <v>182</v>
      </c>
      <c r="F14" t="s">
        <v>183</v>
      </c>
      <c r="G14"/>
      <c r="H14"/>
      <c r="I14"/>
      <c r="J14"/>
      <c r="K14"/>
      <c r="L14"/>
      <c r="M14"/>
    </row>
    <row r="15" spans="1:13" s="89" customFormat="1" x14ac:dyDescent="0.25">
      <c r="A15" s="88"/>
      <c r="B15" t="s">
        <v>240</v>
      </c>
      <c r="C15" t="s">
        <v>400</v>
      </c>
      <c r="D15" t="s">
        <v>33</v>
      </c>
      <c r="E15" t="s">
        <v>241</v>
      </c>
      <c r="F15" t="s">
        <v>242</v>
      </c>
      <c r="G15"/>
      <c r="H15"/>
      <c r="I15"/>
      <c r="J15"/>
      <c r="K15"/>
      <c r="L15"/>
      <c r="M15"/>
    </row>
    <row r="16" spans="1:13" s="89" customFormat="1" x14ac:dyDescent="0.25">
      <c r="A16" s="88"/>
      <c r="B16" t="s">
        <v>233</v>
      </c>
      <c r="C16" t="s">
        <v>397</v>
      </c>
      <c r="D16" t="s">
        <v>33</v>
      </c>
      <c r="E16" t="s">
        <v>234</v>
      </c>
      <c r="F16" t="s">
        <v>235</v>
      </c>
      <c r="G16"/>
      <c r="H16"/>
      <c r="I16"/>
      <c r="J16"/>
      <c r="K16"/>
      <c r="L16"/>
      <c r="M16"/>
    </row>
    <row r="17" spans="1:13" s="89" customFormat="1" x14ac:dyDescent="0.25">
      <c r="A17" s="88"/>
      <c r="B17" t="s">
        <v>247</v>
      </c>
      <c r="C17" t="s">
        <v>402</v>
      </c>
      <c r="D17" t="s">
        <v>33</v>
      </c>
      <c r="E17" t="s">
        <v>248</v>
      </c>
      <c r="F17" t="s">
        <v>249</v>
      </c>
      <c r="G17"/>
      <c r="H17"/>
      <c r="I17"/>
      <c r="J17"/>
      <c r="K17"/>
      <c r="L17"/>
      <c r="M17"/>
    </row>
    <row r="18" spans="1:13" s="89" customFormat="1" x14ac:dyDescent="0.25">
      <c r="A18" s="88"/>
      <c r="B18" t="s">
        <v>214</v>
      </c>
      <c r="C18" t="s">
        <v>393</v>
      </c>
      <c r="D18" t="s">
        <v>28</v>
      </c>
      <c r="E18" t="s">
        <v>215</v>
      </c>
      <c r="F18" t="s">
        <v>216</v>
      </c>
      <c r="G18"/>
      <c r="H18"/>
      <c r="I18"/>
      <c r="J18"/>
      <c r="K18"/>
      <c r="L18"/>
      <c r="M18"/>
    </row>
    <row r="19" spans="1:13" s="89" customFormat="1" x14ac:dyDescent="0.25">
      <c r="A19" s="88"/>
      <c r="B19" t="s">
        <v>226</v>
      </c>
      <c r="C19" t="s">
        <v>395</v>
      </c>
      <c r="D19" t="s">
        <v>28</v>
      </c>
      <c r="E19" t="s">
        <v>223</v>
      </c>
      <c r="F19" t="s">
        <v>227</v>
      </c>
      <c r="G19"/>
      <c r="H19"/>
      <c r="I19"/>
      <c r="J19"/>
      <c r="K19"/>
      <c r="L19"/>
      <c r="M19"/>
    </row>
    <row r="20" spans="1:13" s="89" customFormat="1" x14ac:dyDescent="0.25">
      <c r="A20" s="88"/>
      <c r="B20" t="s">
        <v>222</v>
      </c>
      <c r="C20" t="s">
        <v>395</v>
      </c>
      <c r="D20" t="s">
        <v>28</v>
      </c>
      <c r="E20" t="s">
        <v>223</v>
      </c>
      <c r="F20" t="s">
        <v>224</v>
      </c>
      <c r="G20"/>
      <c r="H20"/>
      <c r="I20"/>
      <c r="J20"/>
      <c r="K20"/>
      <c r="L20"/>
      <c r="M20"/>
    </row>
    <row r="21" spans="1:13" s="89" customFormat="1" x14ac:dyDescent="0.25">
      <c r="A21" s="88"/>
      <c r="B21" t="s">
        <v>120</v>
      </c>
      <c r="C21" t="s">
        <v>375</v>
      </c>
      <c r="D21" t="s">
        <v>33</v>
      </c>
      <c r="E21" t="s">
        <v>122</v>
      </c>
      <c r="F21" t="s">
        <v>123</v>
      </c>
      <c r="G21"/>
      <c r="H21"/>
      <c r="I21"/>
      <c r="J21"/>
      <c r="K21"/>
      <c r="L21"/>
      <c r="M21"/>
    </row>
    <row r="22" spans="1:13" s="89" customFormat="1" x14ac:dyDescent="0.25">
      <c r="A22" s="88"/>
      <c r="B22" t="s">
        <v>103</v>
      </c>
      <c r="C22" t="s">
        <v>373</v>
      </c>
      <c r="D22" t="s">
        <v>1224</v>
      </c>
      <c r="E22" t="s">
        <v>106</v>
      </c>
      <c r="F22" t="s">
        <v>107</v>
      </c>
      <c r="G22"/>
      <c r="H22"/>
      <c r="I22"/>
      <c r="J22"/>
      <c r="K22"/>
      <c r="L22"/>
      <c r="M22"/>
    </row>
    <row r="23" spans="1:13" s="89" customFormat="1" x14ac:dyDescent="0.25">
      <c r="A23" s="88"/>
      <c r="B23" t="s">
        <v>145</v>
      </c>
      <c r="C23" t="s">
        <v>379</v>
      </c>
      <c r="D23" t="s">
        <v>33</v>
      </c>
      <c r="E23" t="s">
        <v>144</v>
      </c>
      <c r="F23" t="s">
        <v>141</v>
      </c>
      <c r="G23"/>
      <c r="H23"/>
      <c r="I23"/>
      <c r="J23"/>
      <c r="K23"/>
      <c r="L23"/>
      <c r="M23"/>
    </row>
    <row r="24" spans="1:13" s="89" customFormat="1" x14ac:dyDescent="0.25">
      <c r="A24" s="88"/>
      <c r="B24" t="s">
        <v>111</v>
      </c>
      <c r="C24" t="s">
        <v>369</v>
      </c>
      <c r="D24" t="s">
        <v>28</v>
      </c>
      <c r="E24" t="s">
        <v>114</v>
      </c>
      <c r="F24" t="s">
        <v>115</v>
      </c>
      <c r="G24"/>
      <c r="H24"/>
      <c r="I24"/>
      <c r="J24"/>
      <c r="K24"/>
      <c r="L24"/>
      <c r="M24"/>
    </row>
    <row r="25" spans="1:13" s="89" customFormat="1" x14ac:dyDescent="0.25">
      <c r="A25" s="88"/>
      <c r="B25" t="s">
        <v>252</v>
      </c>
      <c r="C25" t="s">
        <v>388</v>
      </c>
      <c r="D25" t="s">
        <v>33</v>
      </c>
      <c r="E25" t="s">
        <v>199</v>
      </c>
      <c r="F25" t="s">
        <v>195</v>
      </c>
      <c r="G25"/>
      <c r="H25"/>
      <c r="I25"/>
      <c r="J25"/>
      <c r="K25"/>
      <c r="L25"/>
      <c r="M25"/>
    </row>
    <row r="26" spans="1:13" s="89" customFormat="1" x14ac:dyDescent="0.25">
      <c r="A26" s="88"/>
      <c r="B26" t="s">
        <v>258</v>
      </c>
      <c r="C26" t="s">
        <v>404</v>
      </c>
      <c r="D26" t="s">
        <v>1224</v>
      </c>
      <c r="E26" t="s">
        <v>264</v>
      </c>
      <c r="F26" t="s">
        <v>262</v>
      </c>
      <c r="G26"/>
      <c r="H26"/>
      <c r="I26"/>
      <c r="J26"/>
      <c r="K26"/>
      <c r="L26"/>
      <c r="M26"/>
    </row>
    <row r="27" spans="1:13" s="89" customFormat="1" x14ac:dyDescent="0.25">
      <c r="A27" s="88"/>
      <c r="B27" t="s">
        <v>263</v>
      </c>
      <c r="C27" t="s">
        <v>404</v>
      </c>
      <c r="D27" t="s">
        <v>1224</v>
      </c>
      <c r="E27" t="s">
        <v>261</v>
      </c>
      <c r="F27" t="s">
        <v>262</v>
      </c>
      <c r="G27"/>
      <c r="H27"/>
      <c r="I27"/>
      <c r="J27"/>
      <c r="K27"/>
      <c r="L27"/>
      <c r="M27"/>
    </row>
    <row r="28" spans="1:13" s="40" customFormat="1" x14ac:dyDescent="0.25">
      <c r="A28" s="72"/>
      <c r="B28" t="s">
        <v>271</v>
      </c>
      <c r="C28" t="s">
        <v>529</v>
      </c>
      <c r="D28" t="s">
        <v>28</v>
      </c>
      <c r="E28" t="s">
        <v>273</v>
      </c>
      <c r="F28" t="s">
        <v>274</v>
      </c>
      <c r="G28"/>
      <c r="H28"/>
      <c r="I28"/>
      <c r="J28"/>
      <c r="K28"/>
      <c r="L28"/>
      <c r="M28"/>
    </row>
    <row r="29" spans="1:13" s="40" customFormat="1" x14ac:dyDescent="0.25">
      <c r="A29" s="72"/>
      <c r="B29" t="s">
        <v>280</v>
      </c>
      <c r="C29" t="s">
        <v>408</v>
      </c>
      <c r="D29" t="s">
        <v>28</v>
      </c>
      <c r="E29" t="s">
        <v>281</v>
      </c>
      <c r="F29" t="s">
        <v>282</v>
      </c>
      <c r="G29"/>
      <c r="H29"/>
      <c r="I29"/>
      <c r="J29"/>
      <c r="K29"/>
      <c r="L29"/>
      <c r="M29"/>
    </row>
    <row r="30" spans="1:13" s="40" customFormat="1" x14ac:dyDescent="0.25">
      <c r="A30" s="72"/>
      <c r="B30" t="s">
        <v>288</v>
      </c>
      <c r="C30" t="s">
        <v>409</v>
      </c>
      <c r="D30" t="s">
        <v>28</v>
      </c>
      <c r="E30" t="s">
        <v>291</v>
      </c>
      <c r="F30" t="s">
        <v>292</v>
      </c>
      <c r="G30"/>
      <c r="H30"/>
      <c r="I30"/>
      <c r="J30"/>
      <c r="K30"/>
      <c r="L30"/>
      <c r="M30"/>
    </row>
    <row r="31" spans="1:13" s="40" customFormat="1" x14ac:dyDescent="0.25">
      <c r="A31" s="72"/>
      <c r="B31" t="s">
        <v>298</v>
      </c>
      <c r="C31" t="s">
        <v>411</v>
      </c>
      <c r="D31" t="s">
        <v>33</v>
      </c>
      <c r="E31" t="s">
        <v>299</v>
      </c>
      <c r="F31" t="s">
        <v>300</v>
      </c>
      <c r="G31"/>
      <c r="H31"/>
      <c r="I31"/>
      <c r="J31"/>
      <c r="K31"/>
      <c r="L31"/>
      <c r="M31"/>
    </row>
    <row r="32" spans="1:13" s="40" customFormat="1" x14ac:dyDescent="0.25">
      <c r="A32" s="72"/>
      <c r="B32" t="s">
        <v>305</v>
      </c>
      <c r="C32" t="s">
        <v>414</v>
      </c>
      <c r="D32" t="s">
        <v>33</v>
      </c>
      <c r="E32" t="s">
        <v>306</v>
      </c>
      <c r="F32" t="s">
        <v>307</v>
      </c>
      <c r="G32"/>
      <c r="H32"/>
      <c r="I32"/>
      <c r="J32"/>
      <c r="K32"/>
      <c r="L32"/>
      <c r="M32"/>
    </row>
    <row r="33" spans="1:13" s="40" customFormat="1" x14ac:dyDescent="0.25">
      <c r="A33" s="72"/>
      <c r="B33" t="s">
        <v>313</v>
      </c>
      <c r="C33" t="s">
        <v>415</v>
      </c>
      <c r="D33" t="s">
        <v>33</v>
      </c>
      <c r="E33" t="s">
        <v>314</v>
      </c>
      <c r="F33" t="s">
        <v>315</v>
      </c>
      <c r="G33"/>
      <c r="H33"/>
      <c r="I33"/>
      <c r="J33"/>
      <c r="K33"/>
      <c r="L33"/>
      <c r="M33"/>
    </row>
    <row r="34" spans="1:13" s="40" customFormat="1" x14ac:dyDescent="0.25">
      <c r="A34" s="72"/>
      <c r="B34" t="s">
        <v>321</v>
      </c>
      <c r="C34" t="s">
        <v>388</v>
      </c>
      <c r="D34" t="s">
        <v>33</v>
      </c>
      <c r="E34" t="s">
        <v>322</v>
      </c>
      <c r="F34" t="s">
        <v>323</v>
      </c>
      <c r="G34"/>
      <c r="H34"/>
      <c r="I34"/>
      <c r="J34"/>
      <c r="K34"/>
      <c r="L34"/>
      <c r="M34"/>
    </row>
    <row r="35" spans="1:13" s="40" customFormat="1" x14ac:dyDescent="0.25">
      <c r="A35" s="72" t="s">
        <v>1505</v>
      </c>
      <c r="B35" t="s">
        <v>325</v>
      </c>
      <c r="C35" t="s">
        <v>388</v>
      </c>
      <c r="D35" t="s">
        <v>33</v>
      </c>
      <c r="E35" t="s">
        <v>322</v>
      </c>
      <c r="F35" t="s">
        <v>323</v>
      </c>
      <c r="G35"/>
      <c r="H35"/>
      <c r="I35"/>
      <c r="J35"/>
      <c r="K35"/>
      <c r="L35"/>
      <c r="M35"/>
    </row>
    <row r="36" spans="1:13" s="89" customFormat="1" x14ac:dyDescent="0.25">
      <c r="A36" s="88"/>
      <c r="B36" t="s">
        <v>332</v>
      </c>
      <c r="C36" t="s">
        <v>418</v>
      </c>
      <c r="D36" t="s">
        <v>33</v>
      </c>
      <c r="E36" t="s">
        <v>333</v>
      </c>
      <c r="F36" t="s">
        <v>334</v>
      </c>
      <c r="G36"/>
      <c r="H36"/>
      <c r="I36"/>
      <c r="J36"/>
      <c r="K36"/>
      <c r="L36"/>
      <c r="M36"/>
    </row>
    <row r="37" spans="1:13" s="89" customFormat="1" x14ac:dyDescent="0.25">
      <c r="A37" s="88"/>
      <c r="B37" t="s">
        <v>341</v>
      </c>
      <c r="C37" t="s">
        <v>420</v>
      </c>
      <c r="D37" t="s">
        <v>33</v>
      </c>
      <c r="E37" t="s">
        <v>337</v>
      </c>
      <c r="F37" t="s">
        <v>338</v>
      </c>
      <c r="G37"/>
      <c r="H37"/>
      <c r="I37"/>
      <c r="J37"/>
      <c r="K37"/>
      <c r="L37"/>
      <c r="M37"/>
    </row>
    <row r="38" spans="1:13" s="89" customFormat="1" x14ac:dyDescent="0.25">
      <c r="A38" s="88"/>
      <c r="B38" t="s">
        <v>349</v>
      </c>
      <c r="C38" t="s">
        <v>423</v>
      </c>
      <c r="D38" t="s">
        <v>33</v>
      </c>
      <c r="E38" t="s">
        <v>350</v>
      </c>
      <c r="F38" t="s">
        <v>351</v>
      </c>
      <c r="G38"/>
      <c r="H38"/>
      <c r="I38"/>
      <c r="J38"/>
      <c r="K38"/>
      <c r="L38"/>
      <c r="M38"/>
    </row>
    <row r="39" spans="1:13" s="89" customFormat="1" x14ac:dyDescent="0.25">
      <c r="A39" s="88"/>
      <c r="B39" t="s">
        <v>357</v>
      </c>
      <c r="C39" t="s">
        <v>424</v>
      </c>
      <c r="D39" t="s">
        <v>33</v>
      </c>
      <c r="E39" t="s">
        <v>358</v>
      </c>
      <c r="F39" t="s">
        <v>359</v>
      </c>
      <c r="G39"/>
      <c r="H39"/>
      <c r="I39"/>
      <c r="J39"/>
      <c r="K39"/>
      <c r="L39"/>
      <c r="M39"/>
    </row>
    <row r="40" spans="1:13" s="89" customFormat="1" x14ac:dyDescent="0.25">
      <c r="A40" s="88"/>
      <c r="B40" t="s">
        <v>427</v>
      </c>
      <c r="C40" t="s">
        <v>388</v>
      </c>
      <c r="D40" t="s">
        <v>33</v>
      </c>
      <c r="E40" t="s">
        <v>199</v>
      </c>
      <c r="F40" t="s">
        <v>195</v>
      </c>
      <c r="G40"/>
      <c r="H40"/>
      <c r="I40"/>
      <c r="J40"/>
      <c r="K40"/>
      <c r="L40"/>
      <c r="M40"/>
    </row>
    <row r="41" spans="1:13" s="89" customFormat="1" x14ac:dyDescent="0.25">
      <c r="A41" s="88"/>
      <c r="B41" t="s">
        <v>430</v>
      </c>
      <c r="C41" t="s">
        <v>468</v>
      </c>
      <c r="D41" t="s">
        <v>33</v>
      </c>
      <c r="E41" t="s">
        <v>469</v>
      </c>
      <c r="F41" t="s">
        <v>470</v>
      </c>
      <c r="G41"/>
      <c r="H41"/>
      <c r="I41"/>
      <c r="J41"/>
      <c r="K41"/>
      <c r="L41"/>
      <c r="M41"/>
    </row>
    <row r="42" spans="1:13" s="89" customFormat="1" x14ac:dyDescent="0.25">
      <c r="A42" s="88"/>
      <c r="B42" t="s">
        <v>482</v>
      </c>
      <c r="C42" t="s">
        <v>542</v>
      </c>
      <c r="D42" t="s">
        <v>1224</v>
      </c>
      <c r="E42" t="s">
        <v>483</v>
      </c>
      <c r="F42" t="s">
        <v>485</v>
      </c>
      <c r="G42"/>
      <c r="H42"/>
      <c r="I42"/>
      <c r="J42"/>
      <c r="K42"/>
      <c r="L42"/>
      <c r="M42"/>
    </row>
    <row r="43" spans="1:13" s="89" customFormat="1" x14ac:dyDescent="0.25">
      <c r="A43" s="88"/>
      <c r="B43" t="s">
        <v>488</v>
      </c>
      <c r="C43" t="s">
        <v>544</v>
      </c>
      <c r="D43" t="s">
        <v>33</v>
      </c>
      <c r="E43" t="s">
        <v>1032</v>
      </c>
      <c r="F43" t="s">
        <v>489</v>
      </c>
      <c r="G43" s="5"/>
      <c r="H43" s="5"/>
      <c r="I43"/>
      <c r="J43"/>
      <c r="K43" s="5"/>
      <c r="L43" s="5"/>
    </row>
    <row r="44" spans="1:13" s="89" customFormat="1" ht="16.5" customHeight="1" x14ac:dyDescent="0.25">
      <c r="A44" s="88"/>
      <c r="B44" t="s">
        <v>495</v>
      </c>
      <c r="C44" t="s">
        <v>497</v>
      </c>
      <c r="D44" t="s">
        <v>29</v>
      </c>
      <c r="E44" t="s">
        <v>498</v>
      </c>
      <c r="F44" t="s">
        <v>499</v>
      </c>
      <c r="G44" s="5"/>
      <c r="H44" s="5"/>
      <c r="I44"/>
      <c r="J44"/>
      <c r="K44" s="5"/>
      <c r="L44" s="5"/>
    </row>
    <row r="45" spans="1:13" s="89" customFormat="1" x14ac:dyDescent="0.25">
      <c r="A45" s="88"/>
      <c r="B45" t="s">
        <v>501</v>
      </c>
      <c r="C45" t="s">
        <v>497</v>
      </c>
      <c r="D45" t="s">
        <v>29</v>
      </c>
      <c r="E45" t="s">
        <v>498</v>
      </c>
      <c r="F45" t="s">
        <v>502</v>
      </c>
      <c r="G45" s="5"/>
      <c r="H45" s="5"/>
      <c r="I45"/>
      <c r="J45"/>
      <c r="K45" s="5"/>
      <c r="L45" s="5"/>
    </row>
    <row r="46" spans="1:13" s="89" customFormat="1" x14ac:dyDescent="0.25">
      <c r="A46" s="88"/>
      <c r="B46" t="s">
        <v>508</v>
      </c>
      <c r="C46" t="s">
        <v>510</v>
      </c>
      <c r="D46" t="s">
        <v>33</v>
      </c>
      <c r="E46" t="s">
        <v>511</v>
      </c>
      <c r="F46" t="s">
        <v>512</v>
      </c>
      <c r="G46" s="5"/>
      <c r="H46" s="5"/>
      <c r="I46"/>
      <c r="J46"/>
      <c r="K46" s="5"/>
      <c r="L46" s="5"/>
    </row>
    <row r="47" spans="1:13" s="89" customFormat="1" x14ac:dyDescent="0.25">
      <c r="A47" s="88"/>
      <c r="B47" t="s">
        <v>518</v>
      </c>
      <c r="C47" t="s">
        <v>510</v>
      </c>
      <c r="D47" t="s">
        <v>33</v>
      </c>
      <c r="E47" t="s">
        <v>520</v>
      </c>
      <c r="F47" t="s">
        <v>521</v>
      </c>
      <c r="G47" s="5"/>
      <c r="H47" s="5"/>
      <c r="I47"/>
      <c r="J47"/>
      <c r="K47" s="5"/>
      <c r="L47" s="5"/>
    </row>
    <row r="48" spans="1:13" s="89" customFormat="1" x14ac:dyDescent="0.25">
      <c r="A48" s="88"/>
      <c r="B48" t="s">
        <v>527</v>
      </c>
      <c r="C48" t="s">
        <v>529</v>
      </c>
      <c r="D48" t="s">
        <v>28</v>
      </c>
      <c r="E48" t="s">
        <v>530</v>
      </c>
      <c r="F48" t="s">
        <v>531</v>
      </c>
      <c r="G48" s="5"/>
      <c r="H48" s="5"/>
      <c r="I48"/>
      <c r="J48"/>
      <c r="K48" s="5"/>
      <c r="L48" s="5"/>
    </row>
    <row r="49" spans="1:12" s="89" customFormat="1" x14ac:dyDescent="0.25">
      <c r="A49" s="88"/>
      <c r="B49" t="s">
        <v>536</v>
      </c>
      <c r="C49" t="s">
        <v>384</v>
      </c>
      <c r="D49" t="s">
        <v>33</v>
      </c>
      <c r="E49" t="s">
        <v>533</v>
      </c>
      <c r="F49" t="s">
        <v>538</v>
      </c>
      <c r="G49" s="5"/>
      <c r="H49" s="5"/>
      <c r="I49"/>
      <c r="J49"/>
      <c r="K49" s="5"/>
      <c r="L49" s="5"/>
    </row>
    <row r="50" spans="1:12" s="89" customFormat="1" x14ac:dyDescent="0.25">
      <c r="A50" s="88"/>
      <c r="B50" t="s">
        <v>552</v>
      </c>
      <c r="C50" t="s">
        <v>554</v>
      </c>
      <c r="D50" t="s">
        <v>33</v>
      </c>
      <c r="E50" t="s">
        <v>555</v>
      </c>
      <c r="F50" t="s">
        <v>556</v>
      </c>
      <c r="G50" s="5"/>
      <c r="H50" s="5"/>
      <c r="I50"/>
      <c r="J50"/>
      <c r="K50" s="5"/>
      <c r="L50" s="5"/>
    </row>
    <row r="51" spans="1:12" s="89" customFormat="1" x14ac:dyDescent="0.25">
      <c r="A51" s="88"/>
      <c r="B51" t="s">
        <v>560</v>
      </c>
      <c r="C51" t="s">
        <v>562</v>
      </c>
      <c r="D51" t="s">
        <v>33</v>
      </c>
      <c r="E51" t="s">
        <v>602</v>
      </c>
      <c r="F51" t="s">
        <v>601</v>
      </c>
      <c r="G51" s="5"/>
      <c r="H51" s="5"/>
      <c r="I51"/>
      <c r="J51"/>
      <c r="K51" s="5"/>
      <c r="L51" s="5"/>
    </row>
    <row r="52" spans="1:12" s="89" customFormat="1" x14ac:dyDescent="0.25">
      <c r="A52" s="88"/>
      <c r="B52" t="s">
        <v>569</v>
      </c>
      <c r="C52" t="s">
        <v>393</v>
      </c>
      <c r="D52" t="s">
        <v>33</v>
      </c>
      <c r="E52" t="s">
        <v>571</v>
      </c>
      <c r="F52" t="s">
        <v>572</v>
      </c>
      <c r="G52" s="5"/>
      <c r="H52" s="5"/>
      <c r="I52"/>
      <c r="J52"/>
      <c r="K52" s="5"/>
      <c r="L52" s="5"/>
    </row>
    <row r="53" spans="1:12" s="89" customFormat="1" x14ac:dyDescent="0.25">
      <c r="A53" s="88"/>
      <c r="B53" t="s">
        <v>578</v>
      </c>
      <c r="C53" t="s">
        <v>580</v>
      </c>
      <c r="D53" t="s">
        <v>33</v>
      </c>
      <c r="E53" t="s">
        <v>581</v>
      </c>
      <c r="F53" t="s">
        <v>582</v>
      </c>
      <c r="G53" s="5"/>
      <c r="H53" s="5"/>
      <c r="I53"/>
      <c r="J53"/>
      <c r="K53" s="5"/>
      <c r="L53" s="5"/>
    </row>
    <row r="54" spans="1:12" s="89" customFormat="1" x14ac:dyDescent="0.25">
      <c r="A54" s="88"/>
      <c r="B54" t="s">
        <v>587</v>
      </c>
      <c r="C54" t="s">
        <v>510</v>
      </c>
      <c r="D54" t="s">
        <v>33</v>
      </c>
      <c r="E54" t="s">
        <v>589</v>
      </c>
      <c r="F54" t="s">
        <v>590</v>
      </c>
      <c r="G54" s="5"/>
      <c r="H54" s="5"/>
      <c r="I54"/>
      <c r="J54"/>
      <c r="K54" s="5"/>
      <c r="L54" s="5"/>
    </row>
    <row r="55" spans="1:12" s="89" customFormat="1" x14ac:dyDescent="0.25">
      <c r="A55" s="88"/>
      <c r="B55" t="s">
        <v>595</v>
      </c>
      <c r="C55" t="s">
        <v>597</v>
      </c>
      <c r="D55" t="s">
        <v>33</v>
      </c>
      <c r="E55" t="s">
        <v>598</v>
      </c>
      <c r="F55" t="s">
        <v>599</v>
      </c>
      <c r="G55" s="5"/>
      <c r="H55" s="5"/>
      <c r="I55"/>
      <c r="J55"/>
      <c r="K55" s="5"/>
      <c r="L55" s="5"/>
    </row>
    <row r="56" spans="1:12" s="89" customFormat="1" x14ac:dyDescent="0.25">
      <c r="A56" s="88"/>
      <c r="B56" t="s">
        <v>604</v>
      </c>
      <c r="C56" t="s">
        <v>384</v>
      </c>
      <c r="D56" t="s">
        <v>28</v>
      </c>
      <c r="E56" t="s">
        <v>606</v>
      </c>
      <c r="F56" t="s">
        <v>607</v>
      </c>
      <c r="G56" s="5"/>
      <c r="H56" s="5"/>
      <c r="I56"/>
      <c r="J56"/>
      <c r="K56" s="5"/>
      <c r="L56" s="5"/>
    </row>
    <row r="57" spans="1:12" s="89" customFormat="1" x14ac:dyDescent="0.25">
      <c r="A57" s="88"/>
      <c r="B57" t="s">
        <v>609</v>
      </c>
      <c r="C57" t="s">
        <v>580</v>
      </c>
      <c r="D57" t="s">
        <v>28</v>
      </c>
      <c r="E57" t="s">
        <v>612</v>
      </c>
      <c r="F57" t="s">
        <v>613</v>
      </c>
      <c r="G57" s="5"/>
      <c r="H57" s="5"/>
      <c r="I57"/>
      <c r="J57"/>
      <c r="K57" s="5"/>
      <c r="L57" s="5"/>
    </row>
    <row r="58" spans="1:12" s="89" customFormat="1" x14ac:dyDescent="0.25">
      <c r="A58" s="88"/>
      <c r="B58" t="s">
        <v>645</v>
      </c>
      <c r="C58" t="s">
        <v>655</v>
      </c>
      <c r="D58" t="s">
        <v>28</v>
      </c>
      <c r="E58" t="s">
        <v>656</v>
      </c>
      <c r="F58" t="s">
        <v>657</v>
      </c>
      <c r="G58" s="5"/>
      <c r="H58" s="5"/>
      <c r="I58"/>
      <c r="J58"/>
      <c r="K58" s="5"/>
      <c r="L58" s="5"/>
    </row>
    <row r="59" spans="1:12" s="89" customFormat="1" x14ac:dyDescent="0.25">
      <c r="A59" s="88"/>
      <c r="B59" t="s">
        <v>646</v>
      </c>
      <c r="C59" t="s">
        <v>661</v>
      </c>
      <c r="D59" t="s">
        <v>33</v>
      </c>
      <c r="E59" t="s">
        <v>662</v>
      </c>
      <c r="F59" t="s">
        <v>663</v>
      </c>
      <c r="G59" s="5"/>
      <c r="H59" s="5"/>
      <c r="I59"/>
      <c r="J59"/>
      <c r="K59" s="5"/>
      <c r="L59" s="5"/>
    </row>
    <row r="60" spans="1:12" s="89" customFormat="1" x14ac:dyDescent="0.25">
      <c r="A60" s="88"/>
      <c r="B60" t="s">
        <v>647</v>
      </c>
      <c r="C60" t="s">
        <v>580</v>
      </c>
      <c r="D60" t="s">
        <v>33</v>
      </c>
      <c r="E60" t="s">
        <v>666</v>
      </c>
      <c r="F60" t="s">
        <v>665</v>
      </c>
      <c r="G60" s="5"/>
      <c r="H60" s="5"/>
      <c r="I60"/>
      <c r="J60"/>
      <c r="K60" s="5"/>
      <c r="L60" s="5"/>
    </row>
    <row r="61" spans="1:12" s="89" customFormat="1" x14ac:dyDescent="0.25">
      <c r="A61" s="88"/>
      <c r="B61" t="s">
        <v>648</v>
      </c>
      <c r="C61" t="s">
        <v>668</v>
      </c>
      <c r="D61" t="s">
        <v>33</v>
      </c>
      <c r="E61" t="s">
        <v>688</v>
      </c>
      <c r="F61" t="s">
        <v>670</v>
      </c>
      <c r="G61" s="5"/>
      <c r="H61" s="5"/>
      <c r="I61"/>
      <c r="J61"/>
      <c r="K61" s="5"/>
      <c r="L61" s="5"/>
    </row>
    <row r="62" spans="1:12" s="89" customFormat="1" x14ac:dyDescent="0.25">
      <c r="A62" s="88"/>
      <c r="B62" t="s">
        <v>649</v>
      </c>
      <c r="C62" t="s">
        <v>673</v>
      </c>
      <c r="D62" t="s">
        <v>33</v>
      </c>
      <c r="E62" t="s">
        <v>675</v>
      </c>
      <c r="F62" t="s">
        <v>676</v>
      </c>
      <c r="G62" s="5"/>
      <c r="H62" s="5"/>
      <c r="I62"/>
      <c r="J62"/>
      <c r="K62" s="5"/>
      <c r="L62" s="5"/>
    </row>
    <row r="63" spans="1:12" s="89" customFormat="1" x14ac:dyDescent="0.25">
      <c r="A63" s="88"/>
      <c r="B63" t="s">
        <v>650</v>
      </c>
      <c r="C63" t="s">
        <v>680</v>
      </c>
      <c r="D63" t="s">
        <v>1224</v>
      </c>
      <c r="E63" t="s">
        <v>681</v>
      </c>
      <c r="F63" t="s">
        <v>682</v>
      </c>
      <c r="G63" s="5"/>
      <c r="H63" s="5"/>
      <c r="I63"/>
      <c r="J63"/>
      <c r="K63" s="5"/>
      <c r="L63" s="5"/>
    </row>
    <row r="64" spans="1:12" s="89" customFormat="1" x14ac:dyDescent="0.25">
      <c r="A64" s="88"/>
      <c r="B64" t="s">
        <v>651</v>
      </c>
      <c r="C64" t="s">
        <v>686</v>
      </c>
      <c r="D64" t="s">
        <v>33</v>
      </c>
      <c r="E64" t="s">
        <v>687</v>
      </c>
      <c r="F64" t="s">
        <v>689</v>
      </c>
      <c r="G64" s="5"/>
      <c r="H64" s="5"/>
      <c r="I64"/>
      <c r="J64"/>
      <c r="K64" s="5"/>
      <c r="L64" s="5"/>
    </row>
    <row r="65" spans="1:12" s="89" customFormat="1" x14ac:dyDescent="0.25">
      <c r="A65" s="88"/>
      <c r="B65" t="s">
        <v>691</v>
      </c>
      <c r="C65" t="s">
        <v>696</v>
      </c>
      <c r="D65" t="s">
        <v>33</v>
      </c>
      <c r="E65" t="s">
        <v>1033</v>
      </c>
      <c r="F65" t="s">
        <v>698</v>
      </c>
      <c r="G65" s="5"/>
      <c r="H65" s="5"/>
      <c r="I65"/>
      <c r="J65"/>
      <c r="K65" s="5"/>
      <c r="L65" s="5"/>
    </row>
    <row r="66" spans="1:12" s="89" customFormat="1" x14ac:dyDescent="0.25">
      <c r="B66" t="s">
        <v>704</v>
      </c>
      <c r="C66" t="s">
        <v>706</v>
      </c>
      <c r="D66" t="s">
        <v>33</v>
      </c>
      <c r="E66" t="s">
        <v>707</v>
      </c>
      <c r="F66" t="s">
        <v>708</v>
      </c>
      <c r="G66" s="5"/>
      <c r="H66" s="5"/>
      <c r="I66"/>
      <c r="J66"/>
      <c r="K66" s="5"/>
      <c r="L66" s="5"/>
    </row>
    <row r="67" spans="1:12" s="89" customFormat="1" x14ac:dyDescent="0.25">
      <c r="B67" t="s">
        <v>714</v>
      </c>
      <c r="C67" t="s">
        <v>510</v>
      </c>
      <c r="D67" t="s">
        <v>33</v>
      </c>
      <c r="E67" t="s">
        <v>716</v>
      </c>
      <c r="F67" t="s">
        <v>599</v>
      </c>
      <c r="G67" s="5"/>
      <c r="H67" s="5"/>
      <c r="I67"/>
      <c r="J67"/>
      <c r="K67" s="5"/>
      <c r="L67" s="5"/>
    </row>
    <row r="68" spans="1:12" s="89" customFormat="1" x14ac:dyDescent="0.25">
      <c r="B68" t="s">
        <v>717</v>
      </c>
      <c r="C68" t="s">
        <v>722</v>
      </c>
      <c r="D68" t="s">
        <v>33</v>
      </c>
      <c r="E68" t="s">
        <v>723</v>
      </c>
      <c r="F68" t="s">
        <v>724</v>
      </c>
      <c r="G68" s="5"/>
      <c r="H68" s="5"/>
      <c r="I68"/>
      <c r="J68"/>
      <c r="K68" s="5"/>
      <c r="L68" s="5"/>
    </row>
    <row r="69" spans="1:12" s="40" customFormat="1" x14ac:dyDescent="0.25">
      <c r="B69" t="s">
        <v>730</v>
      </c>
      <c r="C69" t="s">
        <v>732</v>
      </c>
      <c r="D69" t="s">
        <v>33</v>
      </c>
      <c r="E69" t="s">
        <v>733</v>
      </c>
      <c r="F69" t="s">
        <v>563</v>
      </c>
      <c r="G69" s="5"/>
      <c r="H69" s="5"/>
      <c r="I69"/>
      <c r="J69"/>
      <c r="K69" s="5"/>
      <c r="L69" s="5"/>
    </row>
    <row r="70" spans="1:12" x14ac:dyDescent="0.25">
      <c r="B70" t="s">
        <v>736</v>
      </c>
      <c r="C70" t="s">
        <v>738</v>
      </c>
      <c r="D70" t="s">
        <v>33</v>
      </c>
      <c r="E70" t="s">
        <v>739</v>
      </c>
      <c r="F70" t="s">
        <v>740</v>
      </c>
    </row>
    <row r="71" spans="1:12" x14ac:dyDescent="0.25">
      <c r="B71" t="s">
        <v>762</v>
      </c>
      <c r="C71" t="s">
        <v>768</v>
      </c>
      <c r="D71" t="s">
        <v>33</v>
      </c>
      <c r="E71" t="s">
        <v>769</v>
      </c>
      <c r="F71" t="s">
        <v>770</v>
      </c>
    </row>
    <row r="72" spans="1:12" x14ac:dyDescent="0.25">
      <c r="B72" t="s">
        <v>441</v>
      </c>
      <c r="E72"/>
      <c r="F72"/>
    </row>
    <row r="73" spans="1:12" x14ac:dyDescent="0.25">
      <c r="B73" t="s">
        <v>772</v>
      </c>
      <c r="C73" t="s">
        <v>547</v>
      </c>
      <c r="D73" t="s">
        <v>33</v>
      </c>
      <c r="E73" t="s">
        <v>476</v>
      </c>
      <c r="F73" t="s">
        <v>477</v>
      </c>
    </row>
    <row r="74" spans="1:12" x14ac:dyDescent="0.25">
      <c r="B74" t="s">
        <v>774</v>
      </c>
      <c r="C74" t="s">
        <v>787</v>
      </c>
      <c r="D74" t="s">
        <v>28</v>
      </c>
      <c r="E74" t="s">
        <v>780</v>
      </c>
      <c r="F74" t="s">
        <v>781</v>
      </c>
    </row>
    <row r="75" spans="1:12" x14ac:dyDescent="0.25">
      <c r="B75" t="s">
        <v>773</v>
      </c>
      <c r="C75" t="s">
        <v>789</v>
      </c>
      <c r="D75" t="s">
        <v>33</v>
      </c>
      <c r="E75" t="s">
        <v>782</v>
      </c>
      <c r="F75" t="s">
        <v>783</v>
      </c>
    </row>
    <row r="76" spans="1:12" x14ac:dyDescent="0.25">
      <c r="B76" t="s">
        <v>790</v>
      </c>
      <c r="C76" t="s">
        <v>395</v>
      </c>
      <c r="D76" t="s">
        <v>33</v>
      </c>
      <c r="E76" t="s">
        <v>798</v>
      </c>
      <c r="F76" t="s">
        <v>799</v>
      </c>
    </row>
    <row r="77" spans="1:12" x14ac:dyDescent="0.25">
      <c r="B77" t="s">
        <v>791</v>
      </c>
      <c r="C77" t="s">
        <v>811</v>
      </c>
      <c r="D77" t="s">
        <v>33</v>
      </c>
      <c r="E77" t="s">
        <v>806</v>
      </c>
      <c r="F77" t="s">
        <v>807</v>
      </c>
    </row>
    <row r="78" spans="1:12" x14ac:dyDescent="0.25">
      <c r="B78" t="s">
        <v>812</v>
      </c>
      <c r="C78" t="s">
        <v>388</v>
      </c>
      <c r="D78" t="s">
        <v>1224</v>
      </c>
      <c r="E78" t="s">
        <v>1103</v>
      </c>
      <c r="F78" t="s">
        <v>827</v>
      </c>
    </row>
    <row r="79" spans="1:12" x14ac:dyDescent="0.25">
      <c r="B79" t="s">
        <v>813</v>
      </c>
      <c r="C79" t="s">
        <v>850</v>
      </c>
      <c r="D79" t="s">
        <v>1224</v>
      </c>
      <c r="E79" t="s">
        <v>1101</v>
      </c>
      <c r="F79" t="s">
        <v>828</v>
      </c>
    </row>
    <row r="80" spans="1:12" x14ac:dyDescent="0.25">
      <c r="B80" t="s">
        <v>814</v>
      </c>
      <c r="C80" t="s">
        <v>850</v>
      </c>
      <c r="D80" t="s">
        <v>1224</v>
      </c>
      <c r="E80" t="s">
        <v>1102</v>
      </c>
      <c r="F80" t="s">
        <v>829</v>
      </c>
    </row>
    <row r="81" spans="2:6" x14ac:dyDescent="0.25">
      <c r="B81" t="s">
        <v>815</v>
      </c>
      <c r="C81" t="s">
        <v>853</v>
      </c>
      <c r="D81" t="s">
        <v>1224</v>
      </c>
      <c r="E81" t="s">
        <v>1104</v>
      </c>
      <c r="F81" t="s">
        <v>828</v>
      </c>
    </row>
    <row r="82" spans="2:6" x14ac:dyDescent="0.25">
      <c r="B82" t="s">
        <v>816</v>
      </c>
      <c r="C82" t="s">
        <v>853</v>
      </c>
      <c r="D82" t="s">
        <v>1224</v>
      </c>
      <c r="E82" t="s">
        <v>1105</v>
      </c>
      <c r="F82" t="s">
        <v>839</v>
      </c>
    </row>
    <row r="83" spans="2:6" x14ac:dyDescent="0.25">
      <c r="B83" t="s">
        <v>854</v>
      </c>
      <c r="C83" t="s">
        <v>911</v>
      </c>
      <c r="D83" t="s">
        <v>33</v>
      </c>
      <c r="E83" t="s">
        <v>860</v>
      </c>
      <c r="F83" t="s">
        <v>861</v>
      </c>
    </row>
    <row r="84" spans="2:6" x14ac:dyDescent="0.25">
      <c r="B84" t="s">
        <v>879</v>
      </c>
      <c r="C84" t="s">
        <v>706</v>
      </c>
      <c r="D84" t="s">
        <v>33</v>
      </c>
      <c r="E84" t="s">
        <v>895</v>
      </c>
      <c r="F84" t="s">
        <v>928</v>
      </c>
    </row>
    <row r="85" spans="2:6" x14ac:dyDescent="0.25">
      <c r="B85" t="s">
        <v>880</v>
      </c>
      <c r="C85" t="s">
        <v>562</v>
      </c>
      <c r="D85" t="s">
        <v>33</v>
      </c>
      <c r="E85" t="s">
        <v>896</v>
      </c>
      <c r="F85" t="s">
        <v>935</v>
      </c>
    </row>
    <row r="86" spans="2:6" x14ac:dyDescent="0.25">
      <c r="B86" t="s">
        <v>881</v>
      </c>
      <c r="C86" t="s">
        <v>738</v>
      </c>
      <c r="D86" t="s">
        <v>33</v>
      </c>
      <c r="E86" t="s">
        <v>897</v>
      </c>
      <c r="F86" t="s">
        <v>235</v>
      </c>
    </row>
    <row r="87" spans="2:6" x14ac:dyDescent="0.25">
      <c r="B87" t="s">
        <v>882</v>
      </c>
      <c r="C87" t="s">
        <v>510</v>
      </c>
      <c r="D87" t="s">
        <v>33</v>
      </c>
      <c r="E87" t="s">
        <v>898</v>
      </c>
      <c r="F87" t="s">
        <v>946</v>
      </c>
    </row>
    <row r="88" spans="2:6" x14ac:dyDescent="0.25">
      <c r="B88" t="s">
        <v>883</v>
      </c>
      <c r="C88" t="s">
        <v>510</v>
      </c>
      <c r="D88" t="s">
        <v>33</v>
      </c>
      <c r="E88" t="s">
        <v>899</v>
      </c>
      <c r="F88" t="s">
        <v>954</v>
      </c>
    </row>
    <row r="89" spans="2:6" x14ac:dyDescent="0.25">
      <c r="B89" t="s">
        <v>884</v>
      </c>
      <c r="C89" t="s">
        <v>959</v>
      </c>
      <c r="D89" t="s">
        <v>33</v>
      </c>
      <c r="E89" t="s">
        <v>900</v>
      </c>
      <c r="F89" t="s">
        <v>960</v>
      </c>
    </row>
    <row r="90" spans="2:6" x14ac:dyDescent="0.25">
      <c r="B90" t="s">
        <v>885</v>
      </c>
      <c r="C90" t="s">
        <v>468</v>
      </c>
      <c r="D90" t="s">
        <v>33</v>
      </c>
      <c r="E90" t="s">
        <v>901</v>
      </c>
      <c r="F90" t="s">
        <v>966</v>
      </c>
    </row>
    <row r="91" spans="2:6" x14ac:dyDescent="0.25">
      <c r="B91" t="s">
        <v>886</v>
      </c>
      <c r="C91" t="s">
        <v>510</v>
      </c>
      <c r="D91" t="s">
        <v>33</v>
      </c>
      <c r="E91" t="s">
        <v>902</v>
      </c>
      <c r="F91" t="s">
        <v>973</v>
      </c>
    </row>
    <row r="92" spans="2:6" x14ac:dyDescent="0.25">
      <c r="B92" t="s">
        <v>887</v>
      </c>
      <c r="C92" t="s">
        <v>510</v>
      </c>
      <c r="D92" t="s">
        <v>33</v>
      </c>
      <c r="E92" t="s">
        <v>903</v>
      </c>
      <c r="F92" t="s">
        <v>978</v>
      </c>
    </row>
    <row r="93" spans="2:6" x14ac:dyDescent="0.25">
      <c r="B93" t="s">
        <v>888</v>
      </c>
      <c r="C93" t="s">
        <v>510</v>
      </c>
      <c r="D93" t="s">
        <v>33</v>
      </c>
      <c r="E93" t="s">
        <v>904</v>
      </c>
      <c r="F93" t="s">
        <v>984</v>
      </c>
    </row>
    <row r="94" spans="2:6" x14ac:dyDescent="0.25">
      <c r="B94" t="s">
        <v>889</v>
      </c>
      <c r="C94" t="s">
        <v>510</v>
      </c>
      <c r="D94" t="s">
        <v>33</v>
      </c>
      <c r="E94" t="s">
        <v>905</v>
      </c>
      <c r="F94" t="s">
        <v>990</v>
      </c>
    </row>
    <row r="95" spans="2:6" x14ac:dyDescent="0.25">
      <c r="B95" t="s">
        <v>890</v>
      </c>
      <c r="C95" t="s">
        <v>510</v>
      </c>
      <c r="D95" t="s">
        <v>33</v>
      </c>
      <c r="E95" t="s">
        <v>906</v>
      </c>
      <c r="F95" t="s">
        <v>984</v>
      </c>
    </row>
    <row r="96" spans="2:6" x14ac:dyDescent="0.25">
      <c r="B96" t="s">
        <v>891</v>
      </c>
      <c r="C96" t="s">
        <v>510</v>
      </c>
      <c r="D96" t="s">
        <v>33</v>
      </c>
      <c r="E96" t="s">
        <v>907</v>
      </c>
      <c r="F96" t="s">
        <v>984</v>
      </c>
    </row>
    <row r="97" spans="2:6" x14ac:dyDescent="0.25">
      <c r="B97" t="s">
        <v>892</v>
      </c>
      <c r="C97" t="s">
        <v>510</v>
      </c>
      <c r="D97" t="s">
        <v>33</v>
      </c>
      <c r="E97" t="s">
        <v>908</v>
      </c>
      <c r="F97" t="s">
        <v>1002</v>
      </c>
    </row>
    <row r="98" spans="2:6" x14ac:dyDescent="0.25">
      <c r="B98" t="s">
        <v>893</v>
      </c>
      <c r="C98" t="s">
        <v>510</v>
      </c>
      <c r="D98" t="s">
        <v>33</v>
      </c>
      <c r="E98" t="s">
        <v>909</v>
      </c>
      <c r="F98" t="s">
        <v>1006</v>
      </c>
    </row>
    <row r="99" spans="2:6" x14ac:dyDescent="0.25">
      <c r="B99" t="s">
        <v>894</v>
      </c>
      <c r="C99" t="s">
        <v>510</v>
      </c>
      <c r="D99" t="s">
        <v>33</v>
      </c>
      <c r="E99" t="s">
        <v>910</v>
      </c>
      <c r="F99" t="s">
        <v>1012</v>
      </c>
    </row>
    <row r="100" spans="2:6" x14ac:dyDescent="0.25">
      <c r="B100" t="s">
        <v>914</v>
      </c>
      <c r="C100" t="s">
        <v>414</v>
      </c>
      <c r="D100" t="s">
        <v>33</v>
      </c>
      <c r="E100" t="s">
        <v>920</v>
      </c>
      <c r="F100" t="s">
        <v>921</v>
      </c>
    </row>
    <row r="101" spans="2:6" x14ac:dyDescent="0.25">
      <c r="B101" t="s">
        <v>913</v>
      </c>
      <c r="C101" t="s">
        <v>1034</v>
      </c>
      <c r="D101" t="s">
        <v>1224</v>
      </c>
      <c r="E101" t="s">
        <v>1019</v>
      </c>
      <c r="F101" t="s">
        <v>1020</v>
      </c>
    </row>
    <row r="102" spans="2:6" x14ac:dyDescent="0.25">
      <c r="B102" t="s">
        <v>1024</v>
      </c>
      <c r="C102" t="s">
        <v>853</v>
      </c>
      <c r="D102" t="s">
        <v>1224</v>
      </c>
      <c r="E102" t="s">
        <v>1030</v>
      </c>
      <c r="F102" t="s">
        <v>1031</v>
      </c>
    </row>
    <row r="103" spans="2:6" x14ac:dyDescent="0.25">
      <c r="B103" t="s">
        <v>1038</v>
      </c>
      <c r="C103" t="s">
        <v>1040</v>
      </c>
      <c r="D103" t="s">
        <v>33</v>
      </c>
      <c r="E103" t="s">
        <v>1043</v>
      </c>
      <c r="F103" t="s">
        <v>1044</v>
      </c>
    </row>
    <row r="104" spans="2:6" x14ac:dyDescent="0.25">
      <c r="B104" t="s">
        <v>1049</v>
      </c>
      <c r="C104" t="s">
        <v>811</v>
      </c>
      <c r="D104" t="s">
        <v>33</v>
      </c>
      <c r="E104" t="s">
        <v>1064</v>
      </c>
      <c r="F104" t="s">
        <v>1053</v>
      </c>
    </row>
    <row r="105" spans="2:6" x14ac:dyDescent="0.25">
      <c r="B105" t="s">
        <v>1055</v>
      </c>
      <c r="C105" t="s">
        <v>1111</v>
      </c>
      <c r="D105" t="s">
        <v>33</v>
      </c>
      <c r="E105" t="s">
        <v>1061</v>
      </c>
      <c r="F105" t="s">
        <v>1062</v>
      </c>
    </row>
    <row r="106" spans="2:6" x14ac:dyDescent="0.25">
      <c r="B106" t="s">
        <v>1112</v>
      </c>
      <c r="C106" t="s">
        <v>1121</v>
      </c>
      <c r="D106" t="s">
        <v>33</v>
      </c>
      <c r="E106" t="s">
        <v>1124</v>
      </c>
      <c r="F106" t="s">
        <v>1125</v>
      </c>
    </row>
    <row r="107" spans="2:6" x14ac:dyDescent="0.25">
      <c r="B107" t="s">
        <v>1113</v>
      </c>
      <c r="C107" t="s">
        <v>911</v>
      </c>
      <c r="D107" t="s">
        <v>33</v>
      </c>
      <c r="E107" t="s">
        <v>1130</v>
      </c>
      <c r="F107" t="s">
        <v>1080</v>
      </c>
    </row>
    <row r="108" spans="2:6" x14ac:dyDescent="0.25">
      <c r="B108" t="s">
        <v>1534</v>
      </c>
      <c r="C108" t="s">
        <v>547</v>
      </c>
      <c r="D108" t="s">
        <v>33</v>
      </c>
      <c r="E108" t="s">
        <v>1542</v>
      </c>
      <c r="F108" t="s">
        <v>1543</v>
      </c>
    </row>
    <row r="109" spans="2:6" x14ac:dyDescent="0.25">
      <c r="B109" t="s">
        <v>1114</v>
      </c>
      <c r="C109" t="s">
        <v>1153</v>
      </c>
      <c r="D109" t="s">
        <v>33</v>
      </c>
      <c r="E109" t="s">
        <v>1137</v>
      </c>
      <c r="F109" t="s">
        <v>1138</v>
      </c>
    </row>
    <row r="110" spans="2:6" x14ac:dyDescent="0.25">
      <c r="B110" t="s">
        <v>1115</v>
      </c>
      <c r="C110" t="s">
        <v>1153</v>
      </c>
      <c r="D110" t="s">
        <v>33</v>
      </c>
      <c r="E110" t="s">
        <v>1142</v>
      </c>
      <c r="F110" t="s">
        <v>1138</v>
      </c>
    </row>
    <row r="111" spans="2:6" x14ac:dyDescent="0.25">
      <c r="B111" t="s">
        <v>1116</v>
      </c>
      <c r="C111" t="s">
        <v>1152</v>
      </c>
      <c r="D111" t="s">
        <v>33</v>
      </c>
      <c r="E111" t="s">
        <v>1143</v>
      </c>
      <c r="F111" t="s">
        <v>1144</v>
      </c>
    </row>
    <row r="112" spans="2:6" x14ac:dyDescent="0.25">
      <c r="B112" t="s">
        <v>1181</v>
      </c>
      <c r="C112" t="s">
        <v>1183</v>
      </c>
      <c r="D112" t="s">
        <v>33</v>
      </c>
      <c r="E112" t="s">
        <v>1184</v>
      </c>
      <c r="F112" t="s">
        <v>1185</v>
      </c>
    </row>
    <row r="113" spans="2:6" x14ac:dyDescent="0.25">
      <c r="B113" t="s">
        <v>1215</v>
      </c>
      <c r="C113" t="s">
        <v>1111</v>
      </c>
      <c r="D113" t="s">
        <v>33</v>
      </c>
      <c r="E113" t="s">
        <v>1216</v>
      </c>
      <c r="F113" t="s">
        <v>1217</v>
      </c>
    </row>
    <row r="114" spans="2:6" x14ac:dyDescent="0.25">
      <c r="B114" t="s">
        <v>1246</v>
      </c>
      <c r="C114" t="s">
        <v>1270</v>
      </c>
      <c r="D114" t="s">
        <v>33</v>
      </c>
      <c r="E114" t="s">
        <v>1252</v>
      </c>
      <c r="F114" t="s">
        <v>1253</v>
      </c>
    </row>
    <row r="115" spans="2:6" x14ac:dyDescent="0.25">
      <c r="B115" t="s">
        <v>1247</v>
      </c>
      <c r="C115" t="s">
        <v>1272</v>
      </c>
      <c r="D115" t="s">
        <v>33</v>
      </c>
      <c r="E115" t="s">
        <v>1258</v>
      </c>
      <c r="F115" t="s">
        <v>1259</v>
      </c>
    </row>
    <row r="116" spans="2:6" x14ac:dyDescent="0.25">
      <c r="B116" t="s">
        <v>1248</v>
      </c>
      <c r="C116" t="s">
        <v>1266</v>
      </c>
      <c r="D116" t="s">
        <v>28</v>
      </c>
      <c r="E116" t="s">
        <v>1263</v>
      </c>
      <c r="F116" t="s">
        <v>1261</v>
      </c>
    </row>
    <row r="117" spans="2:6" x14ac:dyDescent="0.25">
      <c r="B117" t="s">
        <v>1386</v>
      </c>
      <c r="C117" t="s">
        <v>1432</v>
      </c>
      <c r="D117" t="s">
        <v>1224</v>
      </c>
      <c r="E117" t="s">
        <v>1388</v>
      </c>
      <c r="F117" t="s">
        <v>839</v>
      </c>
    </row>
    <row r="118" spans="2:6" x14ac:dyDescent="0.25">
      <c r="B118" t="s">
        <v>1385</v>
      </c>
      <c r="C118" t="s">
        <v>853</v>
      </c>
      <c r="D118" t="s">
        <v>1224</v>
      </c>
      <c r="E118" t="s">
        <v>1390</v>
      </c>
      <c r="F118" t="s">
        <v>839</v>
      </c>
    </row>
    <row r="119" spans="2:6" x14ac:dyDescent="0.25">
      <c r="B119" t="s">
        <v>1484</v>
      </c>
      <c r="C119" t="s">
        <v>1034</v>
      </c>
      <c r="D119" t="s">
        <v>1224</v>
      </c>
      <c r="E119" t="s">
        <v>1491</v>
      </c>
      <c r="F119" t="s">
        <v>1487</v>
      </c>
    </row>
    <row r="120" spans="2:6" x14ac:dyDescent="0.25">
      <c r="B120" t="s">
        <v>1483</v>
      </c>
      <c r="C120" t="s">
        <v>1486</v>
      </c>
      <c r="D120" t="s">
        <v>1224</v>
      </c>
      <c r="E120" t="s">
        <v>1490</v>
      </c>
      <c r="F120" t="s">
        <v>1487</v>
      </c>
    </row>
    <row r="121" spans="2:6" x14ac:dyDescent="0.25">
      <c r="B121" t="s">
        <v>1343</v>
      </c>
      <c r="C121" t="s">
        <v>1350</v>
      </c>
      <c r="D121" t="s">
        <v>33</v>
      </c>
      <c r="E121" t="s">
        <v>1348</v>
      </c>
      <c r="F121" t="s">
        <v>1346</v>
      </c>
    </row>
    <row r="122" spans="2:6" x14ac:dyDescent="0.25">
      <c r="B122" t="s">
        <v>1344</v>
      </c>
      <c r="C122" t="s">
        <v>580</v>
      </c>
      <c r="D122" t="s">
        <v>33</v>
      </c>
      <c r="E122" t="s">
        <v>1356</v>
      </c>
      <c r="F122" t="s">
        <v>1357</v>
      </c>
    </row>
    <row r="123" spans="2:6" x14ac:dyDescent="0.25">
      <c r="B123" t="s">
        <v>1345</v>
      </c>
      <c r="C123" t="s">
        <v>1266</v>
      </c>
      <c r="D123" t="s">
        <v>33</v>
      </c>
      <c r="E123" t="s">
        <v>1358</v>
      </c>
      <c r="F123" t="s">
        <v>1359</v>
      </c>
    </row>
    <row r="124" spans="2:6" x14ac:dyDescent="0.25">
      <c r="B124" t="s">
        <v>1391</v>
      </c>
      <c r="C124" t="s">
        <v>395</v>
      </c>
      <c r="D124" t="s">
        <v>33</v>
      </c>
      <c r="E124" t="s">
        <v>1395</v>
      </c>
      <c r="F124" t="s">
        <v>1396</v>
      </c>
    </row>
    <row r="125" spans="2:6" x14ac:dyDescent="0.25">
      <c r="B125" t="s">
        <v>1398</v>
      </c>
      <c r="C125" t="s">
        <v>1877</v>
      </c>
      <c r="D125" t="s">
        <v>33</v>
      </c>
      <c r="E125" t="s">
        <v>1403</v>
      </c>
      <c r="F125" t="s">
        <v>1404</v>
      </c>
    </row>
    <row r="126" spans="2:6" x14ac:dyDescent="0.25">
      <c r="B126" t="s">
        <v>1399</v>
      </c>
      <c r="C126" t="s">
        <v>1435</v>
      </c>
      <c r="D126" t="s">
        <v>33</v>
      </c>
      <c r="E126" t="s">
        <v>1409</v>
      </c>
      <c r="F126" t="s">
        <v>663</v>
      </c>
    </row>
    <row r="127" spans="2:6" x14ac:dyDescent="0.25">
      <c r="B127" t="s">
        <v>1410</v>
      </c>
      <c r="C127" t="s">
        <v>1034</v>
      </c>
      <c r="D127" t="s">
        <v>28</v>
      </c>
      <c r="E127" t="s">
        <v>1417</v>
      </c>
      <c r="F127" t="s">
        <v>1418</v>
      </c>
    </row>
    <row r="128" spans="2:6" x14ac:dyDescent="0.25">
      <c r="B128" t="s">
        <v>1411</v>
      </c>
      <c r="C128" t="s">
        <v>1153</v>
      </c>
      <c r="D128" t="s">
        <v>29</v>
      </c>
      <c r="E128" t="s">
        <v>1424</v>
      </c>
      <c r="F128" t="s">
        <v>1369</v>
      </c>
    </row>
    <row r="129" spans="2:6" x14ac:dyDescent="0.25">
      <c r="B129" t="s">
        <v>1412</v>
      </c>
      <c r="C129" t="s">
        <v>1440</v>
      </c>
      <c r="D129" t="s">
        <v>28</v>
      </c>
      <c r="E129" t="s">
        <v>1428</v>
      </c>
      <c r="F129" t="s">
        <v>1429</v>
      </c>
    </row>
    <row r="130" spans="2:6" x14ac:dyDescent="0.25">
      <c r="B130" t="s">
        <v>1413</v>
      </c>
      <c r="C130" t="s">
        <v>1458</v>
      </c>
      <c r="D130" t="s">
        <v>29</v>
      </c>
      <c r="E130" t="s">
        <v>1459</v>
      </c>
      <c r="F130" t="s">
        <v>1460</v>
      </c>
    </row>
    <row r="131" spans="2:6" x14ac:dyDescent="0.25">
      <c r="B131" t="s">
        <v>1470</v>
      </c>
      <c r="C131" t="s">
        <v>1475</v>
      </c>
      <c r="D131" t="s">
        <v>33</v>
      </c>
      <c r="E131" t="s">
        <v>1476</v>
      </c>
      <c r="F131" t="s">
        <v>1477</v>
      </c>
    </row>
    <row r="132" spans="2:6" x14ac:dyDescent="0.25">
      <c r="B132" t="s">
        <v>1478</v>
      </c>
      <c r="C132" t="s">
        <v>411</v>
      </c>
      <c r="D132" t="s">
        <v>1224</v>
      </c>
      <c r="E132" t="s">
        <v>1482</v>
      </c>
      <c r="F132" t="s">
        <v>1429</v>
      </c>
    </row>
    <row r="133" spans="2:6" x14ac:dyDescent="0.25">
      <c r="B133" t="s">
        <v>1488</v>
      </c>
      <c r="C133" t="s">
        <v>1548</v>
      </c>
      <c r="D133" t="s">
        <v>28</v>
      </c>
      <c r="E133" t="s">
        <v>1549</v>
      </c>
      <c r="F133" t="s">
        <v>1550</v>
      </c>
    </row>
    <row r="134" spans="2:6" x14ac:dyDescent="0.25">
      <c r="B134" t="s">
        <v>1489</v>
      </c>
      <c r="C134" t="s">
        <v>411</v>
      </c>
      <c r="D134" t="s">
        <v>1224</v>
      </c>
      <c r="E134" t="s">
        <v>1482</v>
      </c>
      <c r="F134" t="s">
        <v>300</v>
      </c>
    </row>
    <row r="135" spans="2:6" x14ac:dyDescent="0.25">
      <c r="B135" t="s">
        <v>1493</v>
      </c>
      <c r="C135" t="s">
        <v>1497</v>
      </c>
      <c r="D135" t="s">
        <v>33</v>
      </c>
      <c r="E135" t="s">
        <v>1494</v>
      </c>
      <c r="F135" t="s">
        <v>1495</v>
      </c>
    </row>
    <row r="136" spans="2:6" x14ac:dyDescent="0.25">
      <c r="B136" t="s">
        <v>1517</v>
      </c>
      <c r="C136" t="s">
        <v>1598</v>
      </c>
      <c r="D136" t="s">
        <v>33</v>
      </c>
      <c r="E136" t="s">
        <v>1522</v>
      </c>
      <c r="F136" t="s">
        <v>1523</v>
      </c>
    </row>
    <row r="137" spans="2:6" x14ac:dyDescent="0.25">
      <c r="B137" t="s">
        <v>1518</v>
      </c>
      <c r="C137" t="s">
        <v>1562</v>
      </c>
      <c r="D137" t="s">
        <v>29</v>
      </c>
      <c r="E137" t="s">
        <v>1604</v>
      </c>
      <c r="F137" t="s">
        <v>1563</v>
      </c>
    </row>
    <row r="138" spans="2:6" x14ac:dyDescent="0.25">
      <c r="B138" t="s">
        <v>1532</v>
      </c>
      <c r="C138" t="s">
        <v>1562</v>
      </c>
      <c r="D138" t="s">
        <v>29</v>
      </c>
      <c r="E138" t="s">
        <v>1605</v>
      </c>
      <c r="F138" t="s">
        <v>1602</v>
      </c>
    </row>
    <row r="139" spans="2:6" x14ac:dyDescent="0.25">
      <c r="B139" t="s">
        <v>1529</v>
      </c>
      <c r="C139" t="s">
        <v>1568</v>
      </c>
      <c r="D139" t="s">
        <v>33</v>
      </c>
      <c r="E139" t="s">
        <v>1565</v>
      </c>
      <c r="F139" t="s">
        <v>1569</v>
      </c>
    </row>
    <row r="140" spans="2:6" x14ac:dyDescent="0.25">
      <c r="B140" t="s">
        <v>1540</v>
      </c>
      <c r="C140" t="s">
        <v>1598</v>
      </c>
      <c r="D140" t="s">
        <v>33</v>
      </c>
      <c r="E140" t="s">
        <v>1599</v>
      </c>
      <c r="F140" t="s">
        <v>1600</v>
      </c>
    </row>
  </sheetData>
  <pageMargins left="0.511811024" right="0.511811024" top="0.78740157499999996" bottom="0.78740157499999996" header="0.31496062000000002" footer="0.31496062000000002"/>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3:K105"/>
  <sheetViews>
    <sheetView workbookViewId="0">
      <selection activeCell="E34" sqref="E34"/>
    </sheetView>
  </sheetViews>
  <sheetFormatPr defaultRowHeight="15" x14ac:dyDescent="0.25"/>
  <cols>
    <col min="1" max="1" width="7.140625" customWidth="1"/>
    <col min="2" max="2" width="20.5703125" customWidth="1"/>
    <col min="3" max="3" width="22" customWidth="1"/>
    <col min="4" max="4" width="33.28515625" customWidth="1"/>
    <col min="5" max="5" width="17.5703125" style="5" customWidth="1"/>
    <col min="6" max="7" width="16.140625" style="5" customWidth="1"/>
    <col min="8" max="8" width="19.85546875" style="5" customWidth="1"/>
    <col min="9" max="9" width="24.28515625" customWidth="1"/>
    <col min="10" max="10" width="42.28515625" customWidth="1"/>
    <col min="11" max="11" width="24.140625" customWidth="1"/>
  </cols>
  <sheetData>
    <row r="3" spans="1:11" x14ac:dyDescent="0.25">
      <c r="B3" s="52" t="s">
        <v>93</v>
      </c>
      <c r="C3" s="75">
        <v>2024</v>
      </c>
      <c r="E3"/>
    </row>
    <row r="4" spans="1:11" x14ac:dyDescent="0.25">
      <c r="B4" s="52" t="s">
        <v>8</v>
      </c>
      <c r="C4" t="s">
        <v>9</v>
      </c>
      <c r="E4"/>
    </row>
    <row r="5" spans="1:11" s="40" customFormat="1" x14ac:dyDescent="0.25">
      <c r="A5" s="88"/>
      <c r="B5"/>
      <c r="C5"/>
      <c r="D5"/>
      <c r="E5"/>
      <c r="F5" s="5"/>
      <c r="G5" s="5"/>
      <c r="H5" s="5"/>
      <c r="I5"/>
      <c r="J5"/>
      <c r="K5"/>
    </row>
    <row r="6" spans="1:11" s="40" customFormat="1" x14ac:dyDescent="0.25">
      <c r="A6" s="88"/>
      <c r="B6" s="52" t="s">
        <v>19</v>
      </c>
      <c r="C6" s="52" t="s">
        <v>368</v>
      </c>
      <c r="D6" s="52" t="s">
        <v>1</v>
      </c>
      <c r="E6" s="52" t="s">
        <v>6</v>
      </c>
      <c r="F6"/>
      <c r="G6"/>
      <c r="H6"/>
      <c r="I6"/>
      <c r="J6"/>
      <c r="K6"/>
    </row>
    <row r="7" spans="1:11" s="89" customFormat="1" x14ac:dyDescent="0.25">
      <c r="A7" s="88"/>
      <c r="B7" t="s">
        <v>134</v>
      </c>
      <c r="C7" t="s">
        <v>377</v>
      </c>
      <c r="D7" t="s">
        <v>137</v>
      </c>
      <c r="E7" t="s">
        <v>138</v>
      </c>
      <c r="F7"/>
      <c r="G7"/>
      <c r="H7"/>
      <c r="I7"/>
      <c r="J7"/>
      <c r="K7"/>
    </row>
    <row r="8" spans="1:11" s="89" customFormat="1" x14ac:dyDescent="0.25">
      <c r="A8" s="88"/>
      <c r="B8" t="s">
        <v>187</v>
      </c>
      <c r="C8" t="s">
        <v>385</v>
      </c>
      <c r="D8" t="s">
        <v>175</v>
      </c>
      <c r="E8" t="s">
        <v>176</v>
      </c>
      <c r="F8"/>
      <c r="G8"/>
      <c r="H8"/>
      <c r="I8"/>
      <c r="J8"/>
      <c r="K8"/>
    </row>
    <row r="9" spans="1:11" s="89" customFormat="1" x14ac:dyDescent="0.25">
      <c r="A9" s="88"/>
      <c r="B9" t="s">
        <v>186</v>
      </c>
      <c r="C9" t="s">
        <v>384</v>
      </c>
      <c r="D9" t="s">
        <v>166</v>
      </c>
      <c r="E9" t="s">
        <v>169</v>
      </c>
      <c r="F9"/>
      <c r="G9"/>
      <c r="H9"/>
      <c r="I9"/>
      <c r="J9"/>
      <c r="K9"/>
    </row>
    <row r="10" spans="1:11" s="89" customFormat="1" x14ac:dyDescent="0.25">
      <c r="A10" s="88"/>
      <c r="B10" t="s">
        <v>185</v>
      </c>
      <c r="C10" t="s">
        <v>384</v>
      </c>
      <c r="D10" t="s">
        <v>165</v>
      </c>
      <c r="E10" t="s">
        <v>167</v>
      </c>
      <c r="F10"/>
      <c r="G10"/>
      <c r="H10"/>
      <c r="I10"/>
      <c r="J10"/>
      <c r="K10"/>
    </row>
    <row r="11" spans="1:11" s="89" customFormat="1" x14ac:dyDescent="0.25">
      <c r="A11" s="88"/>
      <c r="B11" t="s">
        <v>156</v>
      </c>
      <c r="C11" t="s">
        <v>385</v>
      </c>
      <c r="D11" t="s">
        <v>158</v>
      </c>
      <c r="E11" t="s">
        <v>159</v>
      </c>
      <c r="F11"/>
      <c r="G11"/>
      <c r="H11"/>
      <c r="I11"/>
      <c r="J11"/>
      <c r="K11"/>
    </row>
    <row r="12" spans="1:11" s="89" customFormat="1" x14ac:dyDescent="0.25">
      <c r="A12" s="88"/>
      <c r="B12" t="s">
        <v>188</v>
      </c>
      <c r="C12" t="s">
        <v>387</v>
      </c>
      <c r="D12" t="s">
        <v>182</v>
      </c>
      <c r="E12" t="s">
        <v>183</v>
      </c>
      <c r="F12"/>
      <c r="G12"/>
      <c r="H12"/>
      <c r="I12"/>
      <c r="J12"/>
      <c r="K12"/>
    </row>
    <row r="13" spans="1:11" s="89" customFormat="1" x14ac:dyDescent="0.25">
      <c r="A13" s="88"/>
      <c r="B13" t="s">
        <v>240</v>
      </c>
      <c r="C13" t="s">
        <v>400</v>
      </c>
      <c r="D13" t="s">
        <v>241</v>
      </c>
      <c r="E13" t="s">
        <v>242</v>
      </c>
      <c r="F13"/>
      <c r="G13"/>
      <c r="H13"/>
      <c r="I13"/>
      <c r="J13"/>
      <c r="K13"/>
    </row>
    <row r="14" spans="1:11" s="89" customFormat="1" x14ac:dyDescent="0.25">
      <c r="A14" s="88"/>
      <c r="B14" t="s">
        <v>233</v>
      </c>
      <c r="C14" t="s">
        <v>397</v>
      </c>
      <c r="D14" t="s">
        <v>234</v>
      </c>
      <c r="E14" t="s">
        <v>235</v>
      </c>
      <c r="F14"/>
      <c r="G14"/>
      <c r="H14"/>
      <c r="I14"/>
      <c r="J14"/>
      <c r="K14"/>
    </row>
    <row r="15" spans="1:11" s="89" customFormat="1" x14ac:dyDescent="0.25">
      <c r="A15" s="88"/>
      <c r="B15" t="s">
        <v>247</v>
      </c>
      <c r="C15" t="s">
        <v>402</v>
      </c>
      <c r="D15" t="s">
        <v>248</v>
      </c>
      <c r="E15" t="s">
        <v>249</v>
      </c>
      <c r="F15"/>
      <c r="G15"/>
      <c r="H15"/>
      <c r="I15"/>
      <c r="J15"/>
      <c r="K15"/>
    </row>
    <row r="16" spans="1:11" s="89" customFormat="1" x14ac:dyDescent="0.25">
      <c r="A16" s="88"/>
      <c r="B16" t="s">
        <v>214</v>
      </c>
      <c r="C16" t="s">
        <v>393</v>
      </c>
      <c r="D16" t="s">
        <v>215</v>
      </c>
      <c r="E16" t="s">
        <v>216</v>
      </c>
      <c r="F16"/>
      <c r="G16"/>
      <c r="H16"/>
      <c r="I16"/>
      <c r="J16"/>
      <c r="K16"/>
    </row>
    <row r="17" spans="1:11" s="89" customFormat="1" x14ac:dyDescent="0.25">
      <c r="A17" s="88"/>
      <c r="B17" t="s">
        <v>226</v>
      </c>
      <c r="C17" t="s">
        <v>395</v>
      </c>
      <c r="D17" t="s">
        <v>223</v>
      </c>
      <c r="E17" t="s">
        <v>227</v>
      </c>
      <c r="F17"/>
      <c r="G17"/>
      <c r="H17"/>
      <c r="I17"/>
      <c r="J17"/>
      <c r="K17"/>
    </row>
    <row r="18" spans="1:11" s="89" customFormat="1" x14ac:dyDescent="0.25">
      <c r="A18" s="88"/>
      <c r="B18" t="s">
        <v>222</v>
      </c>
      <c r="C18" t="s">
        <v>395</v>
      </c>
      <c r="D18" t="s">
        <v>223</v>
      </c>
      <c r="E18" t="s">
        <v>224</v>
      </c>
      <c r="F18"/>
      <c r="G18"/>
      <c r="H18"/>
      <c r="I18"/>
      <c r="J18"/>
      <c r="K18"/>
    </row>
    <row r="19" spans="1:11" s="89" customFormat="1" x14ac:dyDescent="0.25">
      <c r="A19" s="88"/>
      <c r="B19" t="s">
        <v>120</v>
      </c>
      <c r="C19" t="s">
        <v>375</v>
      </c>
      <c r="D19" t="s">
        <v>122</v>
      </c>
      <c r="E19" t="s">
        <v>123</v>
      </c>
      <c r="F19"/>
      <c r="G19"/>
      <c r="H19"/>
      <c r="I19"/>
      <c r="J19"/>
      <c r="K19"/>
    </row>
    <row r="20" spans="1:11" s="89" customFormat="1" x14ac:dyDescent="0.25">
      <c r="A20" s="88"/>
      <c r="B20" t="s">
        <v>103</v>
      </c>
      <c r="C20" t="s">
        <v>373</v>
      </c>
      <c r="D20" t="s">
        <v>106</v>
      </c>
      <c r="E20" t="s">
        <v>107</v>
      </c>
      <c r="F20"/>
      <c r="G20"/>
      <c r="H20"/>
      <c r="I20"/>
      <c r="J20"/>
      <c r="K20"/>
    </row>
    <row r="21" spans="1:11" s="89" customFormat="1" x14ac:dyDescent="0.25">
      <c r="A21" s="88"/>
      <c r="B21" t="s">
        <v>145</v>
      </c>
      <c r="C21" t="s">
        <v>379</v>
      </c>
      <c r="D21" t="s">
        <v>144</v>
      </c>
      <c r="E21" t="s">
        <v>141</v>
      </c>
      <c r="F21"/>
      <c r="G21"/>
      <c r="H21"/>
      <c r="I21"/>
      <c r="J21"/>
      <c r="K21"/>
    </row>
    <row r="22" spans="1:11" s="89" customFormat="1" x14ac:dyDescent="0.25">
      <c r="A22" s="88"/>
      <c r="B22" t="s">
        <v>111</v>
      </c>
      <c r="C22" t="s">
        <v>369</v>
      </c>
      <c r="D22" t="s">
        <v>114</v>
      </c>
      <c r="E22" t="s">
        <v>115</v>
      </c>
      <c r="F22"/>
      <c r="G22"/>
      <c r="H22"/>
      <c r="I22"/>
      <c r="J22"/>
      <c r="K22"/>
    </row>
    <row r="23" spans="1:11" s="89" customFormat="1" x14ac:dyDescent="0.25">
      <c r="A23" s="88"/>
      <c r="B23" t="s">
        <v>252</v>
      </c>
      <c r="C23" t="s">
        <v>388</v>
      </c>
      <c r="D23" t="s">
        <v>199</v>
      </c>
      <c r="E23" t="s">
        <v>195</v>
      </c>
      <c r="F23"/>
      <c r="G23"/>
      <c r="H23"/>
      <c r="I23"/>
      <c r="J23"/>
      <c r="K23"/>
    </row>
    <row r="24" spans="1:11" s="89" customFormat="1" x14ac:dyDescent="0.25">
      <c r="A24" s="88"/>
      <c r="B24" t="s">
        <v>258</v>
      </c>
      <c r="C24" t="s">
        <v>404</v>
      </c>
      <c r="D24" t="s">
        <v>264</v>
      </c>
      <c r="E24" t="s">
        <v>262</v>
      </c>
      <c r="F24"/>
      <c r="G24"/>
      <c r="H24"/>
      <c r="I24"/>
      <c r="J24"/>
      <c r="K24"/>
    </row>
    <row r="25" spans="1:11" s="89" customFormat="1" x14ac:dyDescent="0.25">
      <c r="A25" s="88"/>
      <c r="B25" t="s">
        <v>263</v>
      </c>
      <c r="C25" t="s">
        <v>404</v>
      </c>
      <c r="D25" t="s">
        <v>261</v>
      </c>
      <c r="E25" t="s">
        <v>262</v>
      </c>
      <c r="F25"/>
      <c r="G25"/>
      <c r="H25"/>
      <c r="I25"/>
      <c r="J25"/>
      <c r="K25"/>
    </row>
    <row r="26" spans="1:11" s="89" customFormat="1" x14ac:dyDescent="0.25">
      <c r="A26" s="88"/>
      <c r="B26" t="s">
        <v>271</v>
      </c>
      <c r="C26" t="s">
        <v>529</v>
      </c>
      <c r="D26" t="s">
        <v>273</v>
      </c>
      <c r="E26" t="s">
        <v>274</v>
      </c>
      <c r="F26"/>
      <c r="G26"/>
      <c r="H26"/>
      <c r="I26"/>
      <c r="J26"/>
      <c r="K26"/>
    </row>
    <row r="27" spans="1:11" s="89" customFormat="1" x14ac:dyDescent="0.25">
      <c r="A27" s="88"/>
      <c r="B27" t="s">
        <v>280</v>
      </c>
      <c r="C27" t="s">
        <v>408</v>
      </c>
      <c r="D27" t="s">
        <v>281</v>
      </c>
      <c r="E27" t="s">
        <v>282</v>
      </c>
      <c r="F27"/>
      <c r="G27"/>
      <c r="H27"/>
      <c r="I27"/>
      <c r="J27"/>
      <c r="K27"/>
    </row>
    <row r="28" spans="1:11" s="89" customFormat="1" x14ac:dyDescent="0.25">
      <c r="A28" s="88"/>
      <c r="B28" t="s">
        <v>288</v>
      </c>
      <c r="C28" t="s">
        <v>409</v>
      </c>
      <c r="D28" t="s">
        <v>291</v>
      </c>
      <c r="E28" t="s">
        <v>292</v>
      </c>
      <c r="F28"/>
      <c r="G28"/>
      <c r="H28"/>
      <c r="I28"/>
      <c r="J28"/>
      <c r="K28"/>
    </row>
    <row r="29" spans="1:11" s="89" customFormat="1" x14ac:dyDescent="0.25">
      <c r="A29" s="88"/>
      <c r="B29" t="s">
        <v>298</v>
      </c>
      <c r="C29" t="s">
        <v>411</v>
      </c>
      <c r="D29" t="s">
        <v>299</v>
      </c>
      <c r="E29" t="s">
        <v>300</v>
      </c>
      <c r="F29"/>
      <c r="G29"/>
      <c r="H29"/>
      <c r="I29"/>
      <c r="J29"/>
      <c r="K29"/>
    </row>
    <row r="30" spans="1:11" s="89" customFormat="1" x14ac:dyDescent="0.25">
      <c r="A30" s="88"/>
      <c r="B30" t="s">
        <v>305</v>
      </c>
      <c r="C30" t="s">
        <v>414</v>
      </c>
      <c r="D30" t="s">
        <v>306</v>
      </c>
      <c r="E30" t="s">
        <v>307</v>
      </c>
      <c r="F30"/>
      <c r="G30"/>
      <c r="H30"/>
      <c r="I30"/>
      <c r="J30"/>
      <c r="K30"/>
    </row>
    <row r="31" spans="1:11" s="89" customFormat="1" x14ac:dyDescent="0.25">
      <c r="A31" s="88"/>
      <c r="B31" t="s">
        <v>313</v>
      </c>
      <c r="C31" t="s">
        <v>415</v>
      </c>
      <c r="D31" t="s">
        <v>314</v>
      </c>
      <c r="E31" t="s">
        <v>315</v>
      </c>
      <c r="F31"/>
      <c r="G31"/>
      <c r="H31"/>
      <c r="I31"/>
      <c r="J31"/>
      <c r="K31"/>
    </row>
    <row r="32" spans="1:11" s="89" customFormat="1" x14ac:dyDescent="0.25">
      <c r="A32" s="88"/>
      <c r="B32" t="s">
        <v>321</v>
      </c>
      <c r="C32" t="s">
        <v>388</v>
      </c>
      <c r="D32" t="s">
        <v>322</v>
      </c>
      <c r="E32" t="s">
        <v>323</v>
      </c>
      <c r="F32"/>
      <c r="G32"/>
      <c r="H32"/>
      <c r="I32"/>
      <c r="J32"/>
      <c r="K32"/>
    </row>
    <row r="33" spans="1:11" s="89" customFormat="1" x14ac:dyDescent="0.25">
      <c r="A33" s="88"/>
      <c r="B33" t="s">
        <v>325</v>
      </c>
      <c r="C33" t="s">
        <v>388</v>
      </c>
      <c r="D33" t="s">
        <v>322</v>
      </c>
      <c r="E33" t="s">
        <v>323</v>
      </c>
      <c r="F33"/>
      <c r="G33"/>
      <c r="H33"/>
      <c r="I33"/>
      <c r="J33"/>
      <c r="K33"/>
    </row>
    <row r="34" spans="1:11" s="89" customFormat="1" x14ac:dyDescent="0.25">
      <c r="A34" s="88"/>
      <c r="B34" t="s">
        <v>332</v>
      </c>
      <c r="C34" t="s">
        <v>418</v>
      </c>
      <c r="D34" t="s">
        <v>333</v>
      </c>
      <c r="E34" t="s">
        <v>334</v>
      </c>
      <c r="F34"/>
      <c r="G34"/>
      <c r="H34"/>
      <c r="I34"/>
      <c r="J34"/>
      <c r="K34"/>
    </row>
    <row r="35" spans="1:11" s="89" customFormat="1" x14ac:dyDescent="0.25">
      <c r="A35" s="88"/>
      <c r="B35" t="s">
        <v>341</v>
      </c>
      <c r="C35" t="s">
        <v>420</v>
      </c>
      <c r="D35" t="s">
        <v>337</v>
      </c>
      <c r="E35" t="s">
        <v>338</v>
      </c>
      <c r="F35"/>
      <c r="G35"/>
      <c r="H35"/>
      <c r="I35"/>
      <c r="J35"/>
      <c r="K35"/>
    </row>
    <row r="36" spans="1:11" s="89" customFormat="1" x14ac:dyDescent="0.25">
      <c r="A36" s="88"/>
      <c r="B36" t="s">
        <v>349</v>
      </c>
      <c r="C36" t="s">
        <v>423</v>
      </c>
      <c r="D36" t="s">
        <v>350</v>
      </c>
      <c r="E36" t="s">
        <v>351</v>
      </c>
      <c r="F36"/>
      <c r="G36"/>
      <c r="H36"/>
      <c r="I36"/>
      <c r="J36"/>
      <c r="K36"/>
    </row>
    <row r="37" spans="1:11" s="89" customFormat="1" x14ac:dyDescent="0.25">
      <c r="A37" s="88"/>
      <c r="B37" t="s">
        <v>357</v>
      </c>
      <c r="C37" t="s">
        <v>424</v>
      </c>
      <c r="D37" t="s">
        <v>358</v>
      </c>
      <c r="E37" t="s">
        <v>359</v>
      </c>
      <c r="F37"/>
      <c r="G37"/>
      <c r="H37"/>
      <c r="I37"/>
      <c r="J37"/>
      <c r="K37"/>
    </row>
    <row r="38" spans="1:11" s="89" customFormat="1" x14ac:dyDescent="0.25">
      <c r="A38" s="88"/>
      <c r="B38" t="s">
        <v>427</v>
      </c>
      <c r="C38" t="s">
        <v>388</v>
      </c>
      <c r="D38" t="s">
        <v>199</v>
      </c>
      <c r="E38" t="s">
        <v>195</v>
      </c>
      <c r="F38"/>
      <c r="G38"/>
      <c r="H38"/>
      <c r="I38"/>
      <c r="J38"/>
      <c r="K38"/>
    </row>
    <row r="39" spans="1:11" s="89" customFormat="1" x14ac:dyDescent="0.25">
      <c r="A39" s="88"/>
      <c r="B39" t="s">
        <v>430</v>
      </c>
      <c r="C39" t="s">
        <v>468</v>
      </c>
      <c r="D39" t="s">
        <v>469</v>
      </c>
      <c r="E39" t="s">
        <v>470</v>
      </c>
      <c r="F39"/>
      <c r="G39"/>
      <c r="H39"/>
      <c r="I39"/>
      <c r="J39"/>
      <c r="K39"/>
    </row>
    <row r="40" spans="1:11" s="89" customFormat="1" x14ac:dyDescent="0.25">
      <c r="A40" s="88"/>
      <c r="B40" t="s">
        <v>482</v>
      </c>
      <c r="C40" t="s">
        <v>542</v>
      </c>
      <c r="D40" t="s">
        <v>483</v>
      </c>
      <c r="E40" t="s">
        <v>485</v>
      </c>
      <c r="F40"/>
      <c r="G40"/>
      <c r="H40"/>
      <c r="I40"/>
      <c r="J40"/>
      <c r="K40"/>
    </row>
    <row r="41" spans="1:11" s="89" customFormat="1" x14ac:dyDescent="0.25">
      <c r="A41" s="88"/>
      <c r="B41" t="s">
        <v>488</v>
      </c>
      <c r="C41" t="s">
        <v>544</v>
      </c>
      <c r="D41" t="s">
        <v>1032</v>
      </c>
      <c r="E41" t="s">
        <v>489</v>
      </c>
      <c r="F41"/>
      <c r="G41"/>
      <c r="H41"/>
      <c r="I41"/>
      <c r="J41"/>
      <c r="K41"/>
    </row>
    <row r="42" spans="1:11" s="89" customFormat="1" ht="16.5" customHeight="1" x14ac:dyDescent="0.25">
      <c r="A42" s="88"/>
      <c r="B42" t="s">
        <v>495</v>
      </c>
      <c r="C42" t="s">
        <v>497</v>
      </c>
      <c r="D42" t="s">
        <v>498</v>
      </c>
      <c r="E42" t="s">
        <v>499</v>
      </c>
      <c r="F42"/>
      <c r="G42"/>
      <c r="H42"/>
      <c r="I42"/>
      <c r="J42"/>
      <c r="K42"/>
    </row>
    <row r="43" spans="1:11" s="89" customFormat="1" x14ac:dyDescent="0.25">
      <c r="A43" s="88"/>
      <c r="B43" t="s">
        <v>501</v>
      </c>
      <c r="C43" t="s">
        <v>497</v>
      </c>
      <c r="D43" t="s">
        <v>498</v>
      </c>
      <c r="E43" t="s">
        <v>502</v>
      </c>
      <c r="F43"/>
      <c r="G43"/>
      <c r="H43"/>
      <c r="I43"/>
      <c r="J43"/>
      <c r="K43"/>
    </row>
    <row r="44" spans="1:11" s="89" customFormat="1" x14ac:dyDescent="0.25">
      <c r="A44" s="88"/>
      <c r="B44" t="s">
        <v>508</v>
      </c>
      <c r="C44" t="s">
        <v>510</v>
      </c>
      <c r="D44" t="s">
        <v>511</v>
      </c>
      <c r="E44" t="s">
        <v>512</v>
      </c>
      <c r="F44"/>
      <c r="G44"/>
      <c r="H44"/>
      <c r="I44"/>
      <c r="J44"/>
      <c r="K44"/>
    </row>
    <row r="45" spans="1:11" s="89" customFormat="1" x14ac:dyDescent="0.25">
      <c r="A45" s="88"/>
      <c r="B45" t="s">
        <v>518</v>
      </c>
      <c r="C45" t="s">
        <v>510</v>
      </c>
      <c r="D45" t="s">
        <v>520</v>
      </c>
      <c r="E45" t="s">
        <v>521</v>
      </c>
      <c r="F45"/>
      <c r="G45"/>
      <c r="H45"/>
      <c r="I45"/>
      <c r="J45"/>
      <c r="K45"/>
    </row>
    <row r="46" spans="1:11" s="89" customFormat="1" x14ac:dyDescent="0.25">
      <c r="A46" s="88"/>
      <c r="B46" t="s">
        <v>527</v>
      </c>
      <c r="C46" t="s">
        <v>529</v>
      </c>
      <c r="D46" t="s">
        <v>530</v>
      </c>
      <c r="E46" t="s">
        <v>531</v>
      </c>
      <c r="F46"/>
      <c r="G46"/>
      <c r="H46"/>
      <c r="I46"/>
      <c r="J46"/>
      <c r="K46"/>
    </row>
    <row r="47" spans="1:11" s="89" customFormat="1" x14ac:dyDescent="0.25">
      <c r="A47" s="88"/>
      <c r="B47" t="s">
        <v>536</v>
      </c>
      <c r="C47" t="s">
        <v>384</v>
      </c>
      <c r="D47" t="s">
        <v>533</v>
      </c>
      <c r="E47" t="s">
        <v>538</v>
      </c>
      <c r="F47"/>
      <c r="G47"/>
      <c r="H47"/>
      <c r="I47"/>
      <c r="J47"/>
      <c r="K47"/>
    </row>
    <row r="48" spans="1:11" s="89" customFormat="1" x14ac:dyDescent="0.25">
      <c r="A48" s="88"/>
      <c r="B48" t="s">
        <v>552</v>
      </c>
      <c r="C48" t="s">
        <v>554</v>
      </c>
      <c r="D48" t="s">
        <v>555</v>
      </c>
      <c r="E48" t="s">
        <v>556</v>
      </c>
      <c r="F48"/>
      <c r="G48"/>
      <c r="H48"/>
      <c r="I48"/>
      <c r="J48"/>
      <c r="K48"/>
    </row>
    <row r="49" spans="1:11" s="89" customFormat="1" x14ac:dyDescent="0.25">
      <c r="A49" s="88"/>
      <c r="B49" t="s">
        <v>560</v>
      </c>
      <c r="C49" t="s">
        <v>562</v>
      </c>
      <c r="D49" t="s">
        <v>602</v>
      </c>
      <c r="E49" t="s">
        <v>601</v>
      </c>
      <c r="F49"/>
      <c r="G49"/>
      <c r="H49"/>
      <c r="I49"/>
      <c r="J49"/>
      <c r="K49"/>
    </row>
    <row r="50" spans="1:11" s="89" customFormat="1" x14ac:dyDescent="0.25">
      <c r="A50" s="88"/>
      <c r="B50" t="s">
        <v>569</v>
      </c>
      <c r="C50" t="s">
        <v>393</v>
      </c>
      <c r="D50" t="s">
        <v>571</v>
      </c>
      <c r="E50" t="s">
        <v>572</v>
      </c>
      <c r="F50"/>
      <c r="G50"/>
      <c r="H50"/>
      <c r="I50"/>
      <c r="J50"/>
      <c r="K50"/>
    </row>
    <row r="51" spans="1:11" s="89" customFormat="1" x14ac:dyDescent="0.25">
      <c r="A51" s="88"/>
      <c r="B51" t="s">
        <v>578</v>
      </c>
      <c r="C51" t="s">
        <v>580</v>
      </c>
      <c r="D51" t="s">
        <v>581</v>
      </c>
      <c r="E51" t="s">
        <v>582</v>
      </c>
      <c r="F51"/>
      <c r="G51"/>
      <c r="H51"/>
      <c r="I51"/>
      <c r="J51"/>
      <c r="K51"/>
    </row>
    <row r="52" spans="1:11" s="89" customFormat="1" x14ac:dyDescent="0.25">
      <c r="A52" s="88"/>
      <c r="B52" t="s">
        <v>587</v>
      </c>
      <c r="C52" t="s">
        <v>510</v>
      </c>
      <c r="D52" t="s">
        <v>589</v>
      </c>
      <c r="E52" t="s">
        <v>590</v>
      </c>
      <c r="F52"/>
      <c r="G52"/>
      <c r="H52"/>
      <c r="I52"/>
      <c r="J52"/>
      <c r="K52"/>
    </row>
    <row r="53" spans="1:11" s="89" customFormat="1" x14ac:dyDescent="0.25">
      <c r="A53" s="88"/>
      <c r="B53" t="s">
        <v>595</v>
      </c>
      <c r="C53" t="s">
        <v>597</v>
      </c>
      <c r="D53" t="s">
        <v>598</v>
      </c>
      <c r="E53" t="s">
        <v>599</v>
      </c>
      <c r="F53"/>
      <c r="G53"/>
      <c r="H53"/>
      <c r="I53"/>
      <c r="J53"/>
      <c r="K53"/>
    </row>
    <row r="54" spans="1:11" s="89" customFormat="1" x14ac:dyDescent="0.25">
      <c r="A54" s="88"/>
      <c r="B54" t="s">
        <v>604</v>
      </c>
      <c r="C54" t="s">
        <v>384</v>
      </c>
      <c r="D54" t="s">
        <v>606</v>
      </c>
      <c r="E54" t="s">
        <v>607</v>
      </c>
      <c r="F54"/>
      <c r="G54"/>
      <c r="H54"/>
      <c r="I54"/>
      <c r="J54"/>
      <c r="K54"/>
    </row>
    <row r="55" spans="1:11" s="89" customFormat="1" x14ac:dyDescent="0.25">
      <c r="A55" s="88"/>
      <c r="B55" t="s">
        <v>609</v>
      </c>
      <c r="C55" t="s">
        <v>580</v>
      </c>
      <c r="D55" t="s">
        <v>612</v>
      </c>
      <c r="E55" t="s">
        <v>613</v>
      </c>
      <c r="F55"/>
      <c r="G55"/>
      <c r="H55"/>
      <c r="I55"/>
      <c r="J55"/>
      <c r="K55"/>
    </row>
    <row r="56" spans="1:11" s="89" customFormat="1" x14ac:dyDescent="0.25">
      <c r="A56" s="88"/>
      <c r="B56" t="s">
        <v>645</v>
      </c>
      <c r="C56" t="s">
        <v>655</v>
      </c>
      <c r="D56" t="s">
        <v>656</v>
      </c>
      <c r="E56" t="s">
        <v>657</v>
      </c>
      <c r="F56"/>
      <c r="G56"/>
      <c r="H56"/>
      <c r="I56"/>
      <c r="J56"/>
      <c r="K56"/>
    </row>
    <row r="57" spans="1:11" s="89" customFormat="1" x14ac:dyDescent="0.25">
      <c r="A57" s="88"/>
      <c r="B57" t="s">
        <v>646</v>
      </c>
      <c r="C57" t="s">
        <v>661</v>
      </c>
      <c r="D57" t="s">
        <v>662</v>
      </c>
      <c r="E57" t="s">
        <v>663</v>
      </c>
      <c r="F57"/>
      <c r="G57"/>
      <c r="H57"/>
      <c r="I57"/>
      <c r="J57"/>
      <c r="K57"/>
    </row>
    <row r="58" spans="1:11" s="89" customFormat="1" x14ac:dyDescent="0.25">
      <c r="A58" s="88"/>
      <c r="B58" t="s">
        <v>647</v>
      </c>
      <c r="C58" t="s">
        <v>580</v>
      </c>
      <c r="D58" t="s">
        <v>666</v>
      </c>
      <c r="E58" t="s">
        <v>665</v>
      </c>
      <c r="F58"/>
      <c r="G58"/>
      <c r="H58"/>
      <c r="I58"/>
      <c r="J58"/>
      <c r="K58"/>
    </row>
    <row r="59" spans="1:11" s="89" customFormat="1" x14ac:dyDescent="0.25">
      <c r="A59" s="88"/>
      <c r="B59" t="s">
        <v>648</v>
      </c>
      <c r="C59" t="s">
        <v>668</v>
      </c>
      <c r="D59" t="s">
        <v>688</v>
      </c>
      <c r="E59" t="s">
        <v>670</v>
      </c>
      <c r="F59"/>
      <c r="G59"/>
      <c r="H59"/>
      <c r="I59"/>
      <c r="J59"/>
      <c r="K59"/>
    </row>
    <row r="60" spans="1:11" s="89" customFormat="1" x14ac:dyDescent="0.25">
      <c r="A60" s="88"/>
      <c r="B60" t="s">
        <v>649</v>
      </c>
      <c r="C60" t="s">
        <v>673</v>
      </c>
      <c r="D60" t="s">
        <v>675</v>
      </c>
      <c r="E60" t="s">
        <v>676</v>
      </c>
      <c r="F60"/>
      <c r="G60"/>
      <c r="H60"/>
      <c r="I60"/>
      <c r="J60"/>
      <c r="K60"/>
    </row>
    <row r="61" spans="1:11" s="89" customFormat="1" x14ac:dyDescent="0.25">
      <c r="A61" s="88"/>
      <c r="B61" t="s">
        <v>650</v>
      </c>
      <c r="C61" t="s">
        <v>680</v>
      </c>
      <c r="D61" t="s">
        <v>681</v>
      </c>
      <c r="E61" t="s">
        <v>682</v>
      </c>
      <c r="F61"/>
      <c r="G61"/>
      <c r="H61"/>
      <c r="I61"/>
      <c r="J61"/>
      <c r="K61"/>
    </row>
    <row r="62" spans="1:11" s="89" customFormat="1" x14ac:dyDescent="0.25">
      <c r="A62" s="88"/>
      <c r="B62" t="s">
        <v>651</v>
      </c>
      <c r="C62" t="s">
        <v>686</v>
      </c>
      <c r="D62" t="s">
        <v>687</v>
      </c>
      <c r="E62" t="s">
        <v>689</v>
      </c>
      <c r="F62"/>
      <c r="G62"/>
      <c r="H62"/>
      <c r="I62"/>
      <c r="J62"/>
      <c r="K62"/>
    </row>
    <row r="63" spans="1:11" s="89" customFormat="1" x14ac:dyDescent="0.25">
      <c r="A63" s="88"/>
      <c r="B63" t="s">
        <v>691</v>
      </c>
      <c r="C63" t="s">
        <v>696</v>
      </c>
      <c r="D63" t="s">
        <v>1033</v>
      </c>
      <c r="E63" t="s">
        <v>698</v>
      </c>
      <c r="F63"/>
      <c r="G63"/>
      <c r="H63"/>
      <c r="I63"/>
      <c r="J63"/>
      <c r="K63"/>
    </row>
    <row r="64" spans="1:11" s="89" customFormat="1" x14ac:dyDescent="0.25">
      <c r="B64" t="s">
        <v>704</v>
      </c>
      <c r="C64" t="s">
        <v>706</v>
      </c>
      <c r="D64" t="s">
        <v>707</v>
      </c>
      <c r="E64" t="s">
        <v>708</v>
      </c>
      <c r="F64"/>
      <c r="G64"/>
      <c r="H64"/>
      <c r="I64"/>
      <c r="J64"/>
      <c r="K64"/>
    </row>
    <row r="65" spans="2:11" s="89" customFormat="1" x14ac:dyDescent="0.25">
      <c r="B65" t="s">
        <v>714</v>
      </c>
      <c r="C65" t="s">
        <v>510</v>
      </c>
      <c r="D65" t="s">
        <v>716</v>
      </c>
      <c r="E65" t="s">
        <v>599</v>
      </c>
      <c r="F65"/>
      <c r="G65"/>
      <c r="H65"/>
      <c r="I65"/>
      <c r="J65"/>
      <c r="K65"/>
    </row>
    <row r="66" spans="2:11" s="89" customFormat="1" x14ac:dyDescent="0.25">
      <c r="B66" t="s">
        <v>717</v>
      </c>
      <c r="C66" t="s">
        <v>722</v>
      </c>
      <c r="D66" t="s">
        <v>723</v>
      </c>
      <c r="E66" t="s">
        <v>724</v>
      </c>
      <c r="F66"/>
      <c r="G66"/>
      <c r="H66"/>
      <c r="I66"/>
      <c r="J66"/>
      <c r="K66"/>
    </row>
    <row r="67" spans="2:11" s="40" customFormat="1" x14ac:dyDescent="0.25">
      <c r="B67" t="s">
        <v>730</v>
      </c>
      <c r="C67" t="s">
        <v>732</v>
      </c>
      <c r="D67" t="s">
        <v>733</v>
      </c>
      <c r="E67" t="s">
        <v>563</v>
      </c>
      <c r="F67"/>
      <c r="G67"/>
      <c r="H67"/>
      <c r="I67"/>
      <c r="J67"/>
      <c r="K67"/>
    </row>
    <row r="68" spans="2:11" x14ac:dyDescent="0.25">
      <c r="B68" t="s">
        <v>736</v>
      </c>
      <c r="C68" t="s">
        <v>738</v>
      </c>
      <c r="D68" t="s">
        <v>739</v>
      </c>
      <c r="E68" t="s">
        <v>740</v>
      </c>
      <c r="F68"/>
      <c r="G68"/>
      <c r="H68"/>
    </row>
    <row r="69" spans="2:11" x14ac:dyDescent="0.25">
      <c r="B69" t="s">
        <v>762</v>
      </c>
      <c r="C69" t="s">
        <v>768</v>
      </c>
      <c r="D69" t="s">
        <v>769</v>
      </c>
      <c r="E69" t="s">
        <v>770</v>
      </c>
      <c r="F69"/>
      <c r="G69"/>
      <c r="H69"/>
    </row>
    <row r="70" spans="2:11" x14ac:dyDescent="0.25">
      <c r="B70" t="s">
        <v>441</v>
      </c>
      <c r="C70" t="s">
        <v>391</v>
      </c>
      <c r="D70" t="s">
        <v>206</v>
      </c>
      <c r="E70" t="s">
        <v>207</v>
      </c>
      <c r="F70"/>
      <c r="G70"/>
      <c r="H70"/>
    </row>
    <row r="71" spans="2:11" x14ac:dyDescent="0.25">
      <c r="B71" t="s">
        <v>772</v>
      </c>
      <c r="C71" t="s">
        <v>547</v>
      </c>
      <c r="D71" t="s">
        <v>476</v>
      </c>
      <c r="E71" t="s">
        <v>477</v>
      </c>
      <c r="F71"/>
      <c r="G71"/>
      <c r="H71"/>
    </row>
    <row r="72" spans="2:11" x14ac:dyDescent="0.25">
      <c r="B72" t="s">
        <v>774</v>
      </c>
      <c r="C72" t="s">
        <v>787</v>
      </c>
      <c r="D72" t="s">
        <v>780</v>
      </c>
      <c r="E72" t="s">
        <v>781</v>
      </c>
      <c r="F72"/>
      <c r="G72"/>
      <c r="H72"/>
    </row>
    <row r="73" spans="2:11" x14ac:dyDescent="0.25">
      <c r="B73" t="s">
        <v>773</v>
      </c>
      <c r="C73" t="s">
        <v>789</v>
      </c>
      <c r="D73" t="s">
        <v>782</v>
      </c>
      <c r="E73" t="s">
        <v>783</v>
      </c>
      <c r="F73"/>
      <c r="G73"/>
      <c r="H73"/>
    </row>
    <row r="74" spans="2:11" x14ac:dyDescent="0.25">
      <c r="B74" t="s">
        <v>790</v>
      </c>
      <c r="C74" t="s">
        <v>395</v>
      </c>
      <c r="D74" t="s">
        <v>798</v>
      </c>
      <c r="E74" t="s">
        <v>799</v>
      </c>
      <c r="F74"/>
      <c r="G74"/>
      <c r="H74"/>
    </row>
    <row r="75" spans="2:11" x14ac:dyDescent="0.25">
      <c r="B75" t="s">
        <v>791</v>
      </c>
      <c r="C75" t="s">
        <v>811</v>
      </c>
      <c r="D75" t="s">
        <v>806</v>
      </c>
      <c r="E75" t="s">
        <v>807</v>
      </c>
      <c r="F75"/>
      <c r="G75"/>
      <c r="H75"/>
    </row>
    <row r="76" spans="2:11" x14ac:dyDescent="0.25">
      <c r="B76" t="s">
        <v>812</v>
      </c>
      <c r="C76" t="s">
        <v>388</v>
      </c>
      <c r="D76" t="s">
        <v>1103</v>
      </c>
      <c r="E76" t="s">
        <v>827</v>
      </c>
      <c r="F76"/>
      <c r="G76"/>
      <c r="H76"/>
    </row>
    <row r="77" spans="2:11" x14ac:dyDescent="0.25">
      <c r="B77" t="s">
        <v>813</v>
      </c>
      <c r="C77" t="s">
        <v>850</v>
      </c>
      <c r="D77" t="s">
        <v>1101</v>
      </c>
      <c r="E77" t="s">
        <v>828</v>
      </c>
      <c r="F77"/>
      <c r="G77"/>
      <c r="H77"/>
    </row>
    <row r="78" spans="2:11" x14ac:dyDescent="0.25">
      <c r="B78" t="s">
        <v>814</v>
      </c>
      <c r="C78" t="s">
        <v>850</v>
      </c>
      <c r="D78" t="s">
        <v>1102</v>
      </c>
      <c r="E78" t="s">
        <v>829</v>
      </c>
      <c r="F78"/>
      <c r="G78"/>
      <c r="H78"/>
    </row>
    <row r="79" spans="2:11" x14ac:dyDescent="0.25">
      <c r="B79" t="s">
        <v>815</v>
      </c>
      <c r="C79" t="s">
        <v>853</v>
      </c>
      <c r="D79" t="s">
        <v>1104</v>
      </c>
      <c r="E79" t="s">
        <v>828</v>
      </c>
      <c r="F79"/>
      <c r="G79"/>
      <c r="H79"/>
    </row>
    <row r="80" spans="2:11" x14ac:dyDescent="0.25">
      <c r="B80" t="s">
        <v>816</v>
      </c>
      <c r="C80" t="s">
        <v>853</v>
      </c>
      <c r="D80" t="s">
        <v>1105</v>
      </c>
      <c r="E80" t="s">
        <v>839</v>
      </c>
      <c r="F80"/>
      <c r="G80"/>
      <c r="H80"/>
    </row>
    <row r="81" spans="2:8" x14ac:dyDescent="0.25">
      <c r="B81" t="s">
        <v>879</v>
      </c>
      <c r="C81" t="s">
        <v>706</v>
      </c>
      <c r="D81" t="s">
        <v>895</v>
      </c>
      <c r="E81" t="s">
        <v>928</v>
      </c>
      <c r="F81"/>
      <c r="G81"/>
      <c r="H81"/>
    </row>
    <row r="82" spans="2:8" x14ac:dyDescent="0.25">
      <c r="B82" t="s">
        <v>880</v>
      </c>
      <c r="C82" t="s">
        <v>562</v>
      </c>
      <c r="D82" t="s">
        <v>896</v>
      </c>
      <c r="E82" t="s">
        <v>935</v>
      </c>
      <c r="F82"/>
      <c r="G82"/>
      <c r="H82"/>
    </row>
    <row r="83" spans="2:8" x14ac:dyDescent="0.25">
      <c r="B83" t="s">
        <v>881</v>
      </c>
      <c r="C83" t="s">
        <v>738</v>
      </c>
      <c r="D83" t="s">
        <v>897</v>
      </c>
      <c r="E83" t="s">
        <v>235</v>
      </c>
      <c r="F83"/>
      <c r="G83"/>
      <c r="H83"/>
    </row>
    <row r="84" spans="2:8" x14ac:dyDescent="0.25">
      <c r="B84" t="s">
        <v>882</v>
      </c>
      <c r="C84" t="s">
        <v>510</v>
      </c>
      <c r="D84" t="s">
        <v>898</v>
      </c>
      <c r="E84" t="s">
        <v>946</v>
      </c>
      <c r="F84"/>
      <c r="G84"/>
      <c r="H84"/>
    </row>
    <row r="85" spans="2:8" x14ac:dyDescent="0.25">
      <c r="B85" t="s">
        <v>883</v>
      </c>
      <c r="C85" t="s">
        <v>510</v>
      </c>
      <c r="D85" t="s">
        <v>899</v>
      </c>
      <c r="E85" t="s">
        <v>954</v>
      </c>
      <c r="F85"/>
      <c r="G85"/>
      <c r="H85"/>
    </row>
    <row r="86" spans="2:8" x14ac:dyDescent="0.25">
      <c r="B86" t="s">
        <v>884</v>
      </c>
      <c r="C86" t="s">
        <v>959</v>
      </c>
      <c r="D86" t="s">
        <v>900</v>
      </c>
      <c r="E86" t="s">
        <v>960</v>
      </c>
      <c r="F86"/>
      <c r="G86"/>
      <c r="H86"/>
    </row>
    <row r="87" spans="2:8" x14ac:dyDescent="0.25">
      <c r="B87" t="s">
        <v>885</v>
      </c>
      <c r="C87" t="s">
        <v>468</v>
      </c>
      <c r="D87" t="s">
        <v>901</v>
      </c>
      <c r="E87" t="s">
        <v>966</v>
      </c>
      <c r="F87"/>
      <c r="G87"/>
      <c r="H87"/>
    </row>
    <row r="88" spans="2:8" x14ac:dyDescent="0.25">
      <c r="B88" t="s">
        <v>886</v>
      </c>
      <c r="C88" t="s">
        <v>510</v>
      </c>
      <c r="D88" t="s">
        <v>902</v>
      </c>
      <c r="E88" t="s">
        <v>973</v>
      </c>
      <c r="F88"/>
      <c r="G88"/>
      <c r="H88"/>
    </row>
    <row r="89" spans="2:8" x14ac:dyDescent="0.25">
      <c r="B89" t="s">
        <v>887</v>
      </c>
      <c r="C89" t="s">
        <v>510</v>
      </c>
      <c r="D89" t="s">
        <v>903</v>
      </c>
      <c r="E89" t="s">
        <v>978</v>
      </c>
      <c r="F89"/>
      <c r="G89"/>
      <c r="H89"/>
    </row>
    <row r="90" spans="2:8" x14ac:dyDescent="0.25">
      <c r="B90" t="s">
        <v>888</v>
      </c>
      <c r="C90" t="s">
        <v>510</v>
      </c>
      <c r="D90" t="s">
        <v>904</v>
      </c>
      <c r="E90" t="s">
        <v>984</v>
      </c>
      <c r="F90"/>
      <c r="G90"/>
      <c r="H90"/>
    </row>
    <row r="91" spans="2:8" x14ac:dyDescent="0.25">
      <c r="B91" t="s">
        <v>889</v>
      </c>
      <c r="C91" t="s">
        <v>510</v>
      </c>
      <c r="D91" t="s">
        <v>905</v>
      </c>
      <c r="E91" t="s">
        <v>990</v>
      </c>
      <c r="F91"/>
      <c r="G91"/>
      <c r="H91"/>
    </row>
    <row r="92" spans="2:8" x14ac:dyDescent="0.25">
      <c r="B92" t="s">
        <v>890</v>
      </c>
      <c r="C92" t="s">
        <v>510</v>
      </c>
      <c r="D92" t="s">
        <v>906</v>
      </c>
      <c r="E92" t="s">
        <v>984</v>
      </c>
      <c r="F92"/>
      <c r="G92"/>
      <c r="H92"/>
    </row>
    <row r="93" spans="2:8" x14ac:dyDescent="0.25">
      <c r="B93" t="s">
        <v>891</v>
      </c>
      <c r="C93" t="s">
        <v>510</v>
      </c>
      <c r="D93" t="s">
        <v>907</v>
      </c>
      <c r="E93" t="s">
        <v>984</v>
      </c>
      <c r="F93"/>
    </row>
    <row r="94" spans="2:8" x14ac:dyDescent="0.25">
      <c r="B94" t="s">
        <v>892</v>
      </c>
      <c r="C94" t="s">
        <v>510</v>
      </c>
      <c r="D94" t="s">
        <v>908</v>
      </c>
      <c r="E94" t="s">
        <v>1002</v>
      </c>
      <c r="F94"/>
    </row>
    <row r="95" spans="2:8" x14ac:dyDescent="0.25">
      <c r="B95" t="s">
        <v>893</v>
      </c>
      <c r="C95" t="s">
        <v>510</v>
      </c>
      <c r="D95" t="s">
        <v>909</v>
      </c>
      <c r="E95" t="s">
        <v>1006</v>
      </c>
      <c r="F95"/>
    </row>
    <row r="96" spans="2:8" x14ac:dyDescent="0.25">
      <c r="B96" t="s">
        <v>894</v>
      </c>
      <c r="C96" t="s">
        <v>510</v>
      </c>
      <c r="D96" t="s">
        <v>910</v>
      </c>
      <c r="E96" t="s">
        <v>1012</v>
      </c>
      <c r="F96"/>
    </row>
    <row r="97" spans="2:5" x14ac:dyDescent="0.25">
      <c r="B97" t="s">
        <v>1038</v>
      </c>
      <c r="C97" t="s">
        <v>1040</v>
      </c>
      <c r="D97" t="s">
        <v>1043</v>
      </c>
      <c r="E97" t="s">
        <v>1044</v>
      </c>
    </row>
    <row r="98" spans="2:5" x14ac:dyDescent="0.25">
      <c r="E98"/>
    </row>
    <row r="99" spans="2:5" x14ac:dyDescent="0.25">
      <c r="E99"/>
    </row>
    <row r="100" spans="2:5" x14ac:dyDescent="0.25">
      <c r="E100"/>
    </row>
    <row r="101" spans="2:5" x14ac:dyDescent="0.25">
      <c r="E101"/>
    </row>
    <row r="102" spans="2:5" x14ac:dyDescent="0.25">
      <c r="E102"/>
    </row>
    <row r="103" spans="2:5" x14ac:dyDescent="0.25">
      <c r="E103"/>
    </row>
    <row r="104" spans="2:5" x14ac:dyDescent="0.25">
      <c r="E104"/>
    </row>
    <row r="105" spans="2:5" x14ac:dyDescent="0.25">
      <c r="E105"/>
    </row>
  </sheetData>
  <pageMargins left="0.511811024" right="0.511811024" top="0.78740157499999996" bottom="0.78740157499999996" header="0.31496062000000002" footer="0.31496062000000002"/>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Planilha10">
    <tabColor rgb="FFFF6600"/>
  </sheetPr>
  <dimension ref="B1:P39"/>
  <sheetViews>
    <sheetView showGridLines="0" topLeftCell="A6" workbookViewId="0">
      <selection activeCell="G5" sqref="G5:H9"/>
    </sheetView>
  </sheetViews>
  <sheetFormatPr defaultRowHeight="15" x14ac:dyDescent="0.25"/>
  <cols>
    <col min="1" max="1" width="2.85546875" customWidth="1"/>
    <col min="2" max="2" width="19.28515625" style="26" customWidth="1"/>
    <col min="3" max="4" width="20.42578125" style="26" customWidth="1"/>
    <col min="5" max="5" width="82.28515625" style="26" customWidth="1"/>
    <col min="6" max="6" width="22.140625" style="26" customWidth="1"/>
    <col min="7" max="7" width="11" style="26" customWidth="1"/>
    <col min="8" max="8" width="15.140625" style="26" customWidth="1"/>
    <col min="9" max="9" width="21.42578125" style="26" customWidth="1"/>
    <col min="10" max="12" width="11" style="26" customWidth="1"/>
    <col min="13" max="15" width="13.7109375" style="26" customWidth="1"/>
    <col min="16" max="16" width="13.7109375" customWidth="1"/>
  </cols>
  <sheetData>
    <row r="1" spans="2:16" ht="15.75" thickBot="1" x14ac:dyDescent="0.3">
      <c r="B1" s="27" t="s">
        <v>8</v>
      </c>
      <c r="C1" s="26" t="s">
        <v>68</v>
      </c>
    </row>
    <row r="2" spans="2:16" ht="30" x14ac:dyDescent="0.25">
      <c r="B2" s="27" t="s">
        <v>13</v>
      </c>
      <c r="C2" s="26" t="s">
        <v>62</v>
      </c>
    </row>
    <row r="4" spans="2:16" s="28" customFormat="1" ht="37.5" customHeight="1" x14ac:dyDescent="0.25">
      <c r="B4" s="27" t="s">
        <v>1637</v>
      </c>
      <c r="C4" s="116" t="s">
        <v>19</v>
      </c>
      <c r="D4" s="27" t="s">
        <v>1642</v>
      </c>
      <c r="E4" s="116" t="s">
        <v>1</v>
      </c>
      <c r="F4" s="116" t="s">
        <v>6</v>
      </c>
      <c r="G4" s="27" t="s">
        <v>1644</v>
      </c>
      <c r="H4" s="116" t="s">
        <v>1742</v>
      </c>
      <c r="I4"/>
      <c r="J4"/>
      <c r="K4"/>
      <c r="L4"/>
      <c r="M4" s="29"/>
      <c r="N4" s="29"/>
      <c r="O4" s="29"/>
      <c r="P4" s="29"/>
    </row>
    <row r="5" spans="2:16" s="8" customFormat="1" ht="135" x14ac:dyDescent="0.25">
      <c r="B5" s="26" t="s">
        <v>1822</v>
      </c>
      <c r="C5" s="26" t="s">
        <v>1821</v>
      </c>
      <c r="D5" s="387">
        <v>46160</v>
      </c>
      <c r="E5" s="26" t="s">
        <v>1823</v>
      </c>
      <c r="F5" s="23" t="s">
        <v>1824</v>
      </c>
      <c r="G5" s="26" t="s">
        <v>1947</v>
      </c>
      <c r="H5" s="386">
        <v>4870422.96</v>
      </c>
      <c r="I5"/>
    </row>
    <row r="6" spans="2:16" s="8" customFormat="1" ht="195" x14ac:dyDescent="0.25">
      <c r="B6" s="26" t="s">
        <v>1771</v>
      </c>
      <c r="C6" s="26" t="s">
        <v>1770</v>
      </c>
      <c r="D6" s="387">
        <v>46112</v>
      </c>
      <c r="E6" s="26" t="s">
        <v>1772</v>
      </c>
      <c r="F6" s="23" t="s">
        <v>274</v>
      </c>
      <c r="G6" s="26" t="s">
        <v>1945</v>
      </c>
      <c r="H6" s="386">
        <v>100123.51</v>
      </c>
      <c r="I6"/>
    </row>
    <row r="7" spans="2:16" s="8" customFormat="1" ht="102.75" customHeight="1" x14ac:dyDescent="0.25">
      <c r="B7" s="26" t="s">
        <v>1801</v>
      </c>
      <c r="C7" s="26" t="s">
        <v>1792</v>
      </c>
      <c r="D7" s="387">
        <v>46135</v>
      </c>
      <c r="E7" s="26" t="s">
        <v>1871</v>
      </c>
      <c r="F7" s="23" t="s">
        <v>1800</v>
      </c>
      <c r="G7" s="26" t="s">
        <v>1946</v>
      </c>
      <c r="H7" s="386">
        <v>196076.52</v>
      </c>
      <c r="I7"/>
    </row>
    <row r="8" spans="2:16" s="8" customFormat="1" ht="60.75" customHeight="1" x14ac:dyDescent="0.25">
      <c r="B8" s="26" t="s">
        <v>1588</v>
      </c>
      <c r="C8" s="26" t="s">
        <v>1539</v>
      </c>
      <c r="D8" s="387">
        <v>46044</v>
      </c>
      <c r="E8" s="26" t="s">
        <v>1593</v>
      </c>
      <c r="F8" s="23" t="s">
        <v>1594</v>
      </c>
      <c r="G8" s="26" t="s">
        <v>1942</v>
      </c>
      <c r="H8" s="386">
        <v>762535.47</v>
      </c>
      <c r="I8"/>
    </row>
    <row r="9" spans="2:16" s="8" customFormat="1" ht="29.25" customHeight="1" x14ac:dyDescent="0.25">
      <c r="B9" s="26" t="s">
        <v>1746</v>
      </c>
      <c r="C9" s="26" t="s">
        <v>1743</v>
      </c>
      <c r="D9" s="387">
        <v>46098</v>
      </c>
      <c r="E9" s="26" t="s">
        <v>1752</v>
      </c>
      <c r="F9" s="23" t="s">
        <v>1747</v>
      </c>
      <c r="G9" s="26" t="s">
        <v>1872</v>
      </c>
      <c r="H9" s="386">
        <v>112500</v>
      </c>
      <c r="I9"/>
    </row>
    <row r="10" spans="2:16" s="8" customFormat="1" ht="29.25" customHeight="1" x14ac:dyDescent="0.25">
      <c r="B10"/>
      <c r="C10"/>
      <c r="D10"/>
      <c r="E10"/>
      <c r="F10"/>
      <c r="G10"/>
      <c r="H10"/>
      <c r="I10"/>
    </row>
    <row r="11" spans="2:16" s="8" customFormat="1" ht="29.25" customHeight="1" x14ac:dyDescent="0.25">
      <c r="B11"/>
      <c r="C11"/>
      <c r="D11"/>
      <c r="E11"/>
      <c r="F11"/>
      <c r="G11"/>
      <c r="H11"/>
      <c r="I11"/>
    </row>
    <row r="12" spans="2:16" s="8" customFormat="1" ht="29.25" customHeight="1" x14ac:dyDescent="0.25">
      <c r="B12"/>
      <c r="C12"/>
      <c r="D12"/>
      <c r="E12"/>
      <c r="F12"/>
      <c r="G12"/>
      <c r="H12"/>
      <c r="I12"/>
    </row>
    <row r="13" spans="2:16" s="8" customFormat="1" ht="29.25" customHeight="1" x14ac:dyDescent="0.25">
      <c r="B13"/>
      <c r="C13"/>
      <c r="D13"/>
      <c r="E13"/>
      <c r="F13"/>
      <c r="G13"/>
      <c r="H13"/>
      <c r="I13"/>
    </row>
    <row r="14" spans="2:16" s="8" customFormat="1" ht="29.25" customHeight="1" x14ac:dyDescent="0.25">
      <c r="B14"/>
      <c r="C14"/>
      <c r="D14"/>
      <c r="E14"/>
      <c r="F14"/>
      <c r="G14"/>
      <c r="H14"/>
      <c r="I14"/>
    </row>
    <row r="15" spans="2:16" s="8" customFormat="1" ht="29.25" customHeight="1" x14ac:dyDescent="0.25">
      <c r="B15"/>
      <c r="C15"/>
      <c r="D15"/>
      <c r="E15"/>
      <c r="F15"/>
      <c r="G15"/>
      <c r="H15"/>
      <c r="I15"/>
    </row>
    <row r="16" spans="2:16" s="8" customFormat="1" ht="29.25" customHeight="1" x14ac:dyDescent="0.25">
      <c r="B16"/>
      <c r="C16"/>
      <c r="D16"/>
      <c r="E16"/>
      <c r="F16"/>
      <c r="G16"/>
      <c r="H16"/>
      <c r="I16"/>
    </row>
    <row r="17" spans="2:15" s="8" customFormat="1" ht="29.25" customHeight="1" x14ac:dyDescent="0.25">
      <c r="B17"/>
      <c r="C17"/>
      <c r="D17"/>
      <c r="E17"/>
      <c r="F17"/>
      <c r="G17"/>
      <c r="H17"/>
      <c r="I17"/>
      <c r="J17"/>
      <c r="K17"/>
      <c r="L17"/>
    </row>
    <row r="18" spans="2:15" x14ac:dyDescent="0.25">
      <c r="B18"/>
      <c r="C18"/>
      <c r="D18"/>
      <c r="E18"/>
      <c r="F18"/>
      <c r="G18"/>
      <c r="H18"/>
      <c r="I18"/>
      <c r="J18"/>
      <c r="K18"/>
      <c r="L18"/>
      <c r="M18"/>
      <c r="N18"/>
      <c r="O18"/>
    </row>
    <row r="19" spans="2:15" x14ac:dyDescent="0.25">
      <c r="B19"/>
      <c r="C19"/>
      <c r="D19"/>
      <c r="E19"/>
      <c r="F19"/>
      <c r="G19"/>
      <c r="H19"/>
      <c r="I19"/>
      <c r="J19"/>
      <c r="K19"/>
      <c r="L19"/>
      <c r="M19"/>
      <c r="N19" s="5"/>
      <c r="O19" s="5"/>
    </row>
    <row r="20" spans="2:15" x14ac:dyDescent="0.25">
      <c r="B20"/>
      <c r="C20"/>
      <c r="D20"/>
      <c r="E20"/>
      <c r="F20"/>
      <c r="G20"/>
      <c r="H20"/>
      <c r="I20"/>
      <c r="J20"/>
      <c r="K20"/>
      <c r="L20"/>
      <c r="M20"/>
      <c r="N20" s="5"/>
      <c r="O20" s="5"/>
    </row>
    <row r="21" spans="2:15" x14ac:dyDescent="0.25">
      <c r="B21"/>
      <c r="C21"/>
      <c r="D21"/>
      <c r="E21"/>
      <c r="F21"/>
      <c r="G21"/>
      <c r="H21"/>
      <c r="I21"/>
      <c r="J21"/>
      <c r="K21"/>
      <c r="L21"/>
      <c r="M21"/>
      <c r="N21" s="5"/>
      <c r="O21" s="5"/>
    </row>
    <row r="22" spans="2:15" x14ac:dyDescent="0.25">
      <c r="B22"/>
      <c r="C22"/>
      <c r="D22"/>
      <c r="E22"/>
      <c r="F22"/>
      <c r="G22"/>
      <c r="H22"/>
      <c r="I22"/>
      <c r="J22"/>
      <c r="K22"/>
      <c r="L22"/>
      <c r="M22"/>
      <c r="N22" s="5"/>
      <c r="O22" s="5"/>
    </row>
    <row r="23" spans="2:15" x14ac:dyDescent="0.25">
      <c r="B23"/>
      <c r="C23"/>
      <c r="D23"/>
      <c r="E23"/>
      <c r="F23"/>
      <c r="G23"/>
      <c r="H23"/>
      <c r="I23"/>
      <c r="J23"/>
      <c r="K23"/>
      <c r="L23"/>
      <c r="M23"/>
      <c r="N23" s="5"/>
      <c r="O23" s="5"/>
    </row>
    <row r="24" spans="2:15" x14ac:dyDescent="0.25">
      <c r="B24"/>
      <c r="C24"/>
      <c r="D24"/>
      <c r="E24"/>
      <c r="F24"/>
      <c r="G24"/>
      <c r="H24"/>
      <c r="I24"/>
      <c r="J24"/>
      <c r="K24"/>
      <c r="L24"/>
      <c r="M24"/>
      <c r="N24" s="5"/>
      <c r="O24" s="5"/>
    </row>
    <row r="25" spans="2:15" x14ac:dyDescent="0.25">
      <c r="B25"/>
      <c r="C25"/>
      <c r="D25"/>
      <c r="E25"/>
      <c r="F25"/>
      <c r="G25"/>
      <c r="H25"/>
      <c r="I25"/>
      <c r="J25"/>
      <c r="K25"/>
      <c r="L25"/>
      <c r="M25"/>
      <c r="N25" s="5"/>
      <c r="O25" s="5"/>
    </row>
    <row r="26" spans="2:15" x14ac:dyDescent="0.25">
      <c r="B26"/>
      <c r="C26"/>
      <c r="D26"/>
      <c r="E26"/>
      <c r="F26"/>
      <c r="G26"/>
      <c r="H26"/>
    </row>
    <row r="27" spans="2:15" x14ac:dyDescent="0.25">
      <c r="B27"/>
      <c r="C27"/>
      <c r="D27"/>
      <c r="E27"/>
      <c r="F27"/>
      <c r="G27"/>
      <c r="H27"/>
    </row>
    <row r="28" spans="2:15" x14ac:dyDescent="0.25">
      <c r="B28"/>
      <c r="C28"/>
      <c r="D28"/>
      <c r="E28"/>
      <c r="F28"/>
      <c r="G28"/>
      <c r="H28"/>
    </row>
    <row r="29" spans="2:15" x14ac:dyDescent="0.25">
      <c r="B29"/>
      <c r="C29"/>
      <c r="D29"/>
      <c r="E29"/>
      <c r="F29"/>
      <c r="G29"/>
      <c r="H29"/>
    </row>
    <row r="30" spans="2:15" x14ac:dyDescent="0.25">
      <c r="B30"/>
      <c r="C30"/>
      <c r="D30"/>
      <c r="E30"/>
      <c r="F30"/>
      <c r="G30"/>
      <c r="H30"/>
    </row>
    <row r="31" spans="2:15" x14ac:dyDescent="0.25">
      <c r="B31"/>
      <c r="C31"/>
      <c r="D31"/>
      <c r="E31"/>
      <c r="F31"/>
    </row>
    <row r="32" spans="2:15" x14ac:dyDescent="0.25">
      <c r="B32"/>
      <c r="C32"/>
      <c r="D32"/>
      <c r="E32"/>
      <c r="F32"/>
    </row>
    <row r="33" spans="2:6" x14ac:dyDescent="0.25">
      <c r="B33"/>
      <c r="C33"/>
      <c r="D33"/>
      <c r="E33"/>
      <c r="F33"/>
    </row>
    <row r="34" spans="2:6" x14ac:dyDescent="0.25">
      <c r="B34"/>
      <c r="C34"/>
      <c r="D34"/>
      <c r="E34"/>
      <c r="F34"/>
    </row>
    <row r="35" spans="2:6" x14ac:dyDescent="0.25">
      <c r="B35"/>
      <c r="C35"/>
      <c r="D35"/>
      <c r="E35"/>
      <c r="F35"/>
    </row>
    <row r="36" spans="2:6" x14ac:dyDescent="0.25">
      <c r="B36"/>
      <c r="C36"/>
      <c r="D36"/>
      <c r="E36"/>
      <c r="F36"/>
    </row>
    <row r="37" spans="2:6" x14ac:dyDescent="0.25">
      <c r="B37"/>
      <c r="C37"/>
      <c r="D37"/>
      <c r="E37"/>
      <c r="F37"/>
    </row>
    <row r="38" spans="2:6" x14ac:dyDescent="0.25">
      <c r="B38"/>
      <c r="C38"/>
      <c r="D38"/>
      <c r="E38"/>
      <c r="F38"/>
    </row>
    <row r="39" spans="2:6" x14ac:dyDescent="0.25">
      <c r="B39"/>
      <c r="C39"/>
      <c r="D39"/>
      <c r="E39"/>
      <c r="F39"/>
    </row>
  </sheetData>
  <pageMargins left="0.511811024" right="0.511811024" top="0.78740157499999996" bottom="0.78740157499999996" header="0.31496062000000002" footer="0.31496062000000002"/>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Planilha11">
    <tabColor rgb="FFFF6600"/>
    <pageSetUpPr fitToPage="1"/>
  </sheetPr>
  <dimension ref="A1:H10"/>
  <sheetViews>
    <sheetView showGridLines="0" zoomScale="85" zoomScaleNormal="85" workbookViewId="0">
      <pane xSplit="1" ySplit="4" topLeftCell="B5" activePane="bottomRight" state="frozen"/>
      <selection pane="topRight" activeCell="B1" sqref="B1"/>
      <selection pane="bottomLeft" activeCell="A5" sqref="A5"/>
      <selection pane="bottomRight" activeCell="G17" sqref="G17"/>
    </sheetView>
  </sheetViews>
  <sheetFormatPr defaultRowHeight="15" x14ac:dyDescent="0.25"/>
  <cols>
    <col min="1" max="1" width="3.7109375" customWidth="1"/>
    <col min="2" max="2" width="21" customWidth="1"/>
    <col min="3" max="3" width="19.28515625" customWidth="1"/>
    <col min="4" max="4" width="12.5703125" style="5" customWidth="1"/>
    <col min="5" max="5" width="55.7109375" customWidth="1"/>
    <col min="6" max="6" width="33.7109375" style="26" customWidth="1"/>
    <col min="7" max="7" width="45.140625" customWidth="1"/>
    <col min="8" max="8" width="20.28515625" style="5" customWidth="1"/>
    <col min="9" max="9" width="23.140625" customWidth="1"/>
    <col min="11" max="11" width="12" customWidth="1"/>
    <col min="12" max="12" width="11.7109375" bestFit="1" customWidth="1"/>
  </cols>
  <sheetData>
    <row r="1" spans="1:8" ht="26.25" x14ac:dyDescent="0.4">
      <c r="B1" s="30" t="s">
        <v>565</v>
      </c>
    </row>
    <row r="2" spans="1:8" ht="33" customHeight="1" x14ac:dyDescent="0.4">
      <c r="B2" s="30" t="s">
        <v>1615</v>
      </c>
      <c r="C2" s="30"/>
    </row>
    <row r="3" spans="1:8" ht="6.75" customHeight="1" x14ac:dyDescent="0.25">
      <c r="G3" s="395"/>
      <c r="H3" s="395"/>
    </row>
    <row r="4" spans="1:8" s="8" customFormat="1" ht="34.5" customHeight="1" thickBot="1" x14ac:dyDescent="0.3">
      <c r="B4" s="31" t="s">
        <v>0</v>
      </c>
      <c r="C4" s="31" t="s">
        <v>63</v>
      </c>
      <c r="D4" s="32" t="s">
        <v>25</v>
      </c>
      <c r="E4" s="32" t="s">
        <v>1</v>
      </c>
      <c r="F4" s="32" t="s">
        <v>6</v>
      </c>
      <c r="G4" s="33" t="s">
        <v>2013</v>
      </c>
      <c r="H4" s="33" t="s">
        <v>64</v>
      </c>
    </row>
    <row r="5" spans="1:8" s="18" customFormat="1" ht="45.75" thickBot="1" x14ac:dyDescent="0.3">
      <c r="A5" s="41">
        <v>1</v>
      </c>
      <c r="B5" s="141" t="s">
        <v>1822</v>
      </c>
      <c r="C5" s="137" t="s">
        <v>1821</v>
      </c>
      <c r="D5" s="67">
        <v>46160</v>
      </c>
      <c r="E5" s="138" t="s">
        <v>1823</v>
      </c>
      <c r="F5" s="138" t="s">
        <v>1824</v>
      </c>
      <c r="G5" s="142" t="s">
        <v>1947</v>
      </c>
      <c r="H5" s="139">
        <v>4870422.96</v>
      </c>
    </row>
    <row r="6" spans="1:8" s="18" customFormat="1" ht="60.75" thickBot="1" x14ac:dyDescent="0.3">
      <c r="A6" s="41">
        <v>2</v>
      </c>
      <c r="B6" s="141" t="s">
        <v>1771</v>
      </c>
      <c r="C6" s="137" t="s">
        <v>1770</v>
      </c>
      <c r="D6" s="67">
        <v>46112</v>
      </c>
      <c r="E6" s="138" t="s">
        <v>1772</v>
      </c>
      <c r="F6" s="138" t="s">
        <v>274</v>
      </c>
      <c r="G6" s="142" t="s">
        <v>1945</v>
      </c>
      <c r="H6" s="139">
        <v>100123.51</v>
      </c>
    </row>
    <row r="7" spans="1:8" s="18" customFormat="1" ht="60.75" thickBot="1" x14ac:dyDescent="0.3">
      <c r="A7" s="41">
        <v>3</v>
      </c>
      <c r="B7" s="141" t="s">
        <v>1801</v>
      </c>
      <c r="C7" s="137" t="s">
        <v>1792</v>
      </c>
      <c r="D7" s="67">
        <v>46135</v>
      </c>
      <c r="E7" s="138" t="s">
        <v>1871</v>
      </c>
      <c r="F7" s="138" t="s">
        <v>1800</v>
      </c>
      <c r="G7" s="142" t="s">
        <v>1946</v>
      </c>
      <c r="H7" s="139">
        <v>196076.52</v>
      </c>
    </row>
    <row r="8" spans="1:8" s="18" customFormat="1" ht="45.75" thickBot="1" x14ac:dyDescent="0.3">
      <c r="A8" s="41">
        <v>4</v>
      </c>
      <c r="B8" s="141" t="s">
        <v>1588</v>
      </c>
      <c r="C8" s="137" t="s">
        <v>1539</v>
      </c>
      <c r="D8" s="67">
        <v>46044</v>
      </c>
      <c r="E8" s="138" t="s">
        <v>1593</v>
      </c>
      <c r="F8" s="138" t="s">
        <v>1594</v>
      </c>
      <c r="G8" s="142" t="s">
        <v>1942</v>
      </c>
      <c r="H8" s="139">
        <v>762535.47</v>
      </c>
    </row>
    <row r="9" spans="1:8" s="18" customFormat="1" ht="60.75" thickBot="1" x14ac:dyDescent="0.3">
      <c r="A9" s="41">
        <v>5</v>
      </c>
      <c r="B9" s="141" t="s">
        <v>1746</v>
      </c>
      <c r="C9" s="137" t="s">
        <v>1743</v>
      </c>
      <c r="D9" s="67">
        <v>46098</v>
      </c>
      <c r="E9" s="138" t="s">
        <v>1752</v>
      </c>
      <c r="F9" s="138" t="s">
        <v>1747</v>
      </c>
      <c r="G9" s="142" t="s">
        <v>1872</v>
      </c>
      <c r="H9" s="139">
        <v>112500</v>
      </c>
    </row>
    <row r="10" spans="1:8" ht="18.75" x14ac:dyDescent="0.3">
      <c r="B10" s="83" t="s">
        <v>65</v>
      </c>
      <c r="C10" s="80"/>
      <c r="D10" s="81"/>
      <c r="E10" s="80"/>
      <c r="F10" s="82"/>
      <c r="G10" s="80"/>
      <c r="H10" s="140">
        <f>SUM(H5:H9)</f>
        <v>6041658.459999999</v>
      </c>
    </row>
  </sheetData>
  <mergeCells count="1">
    <mergeCell ref="G3:H3"/>
  </mergeCells>
  <pageMargins left="0.511811024" right="0.511811024" top="0.78740157499999996" bottom="0.78740157499999996" header="0.31496062000000002" footer="0.31496062000000002"/>
  <pageSetup paperSize="9" scale="56" fitToHeight="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70C0"/>
  </sheetPr>
  <dimension ref="B2:L168"/>
  <sheetViews>
    <sheetView showGridLines="0" topLeftCell="A5" workbookViewId="0">
      <selection activeCell="D24" sqref="D24"/>
    </sheetView>
  </sheetViews>
  <sheetFormatPr defaultRowHeight="15" x14ac:dyDescent="0.25"/>
  <cols>
    <col min="1" max="1" width="3.85546875" customWidth="1"/>
    <col min="2" max="2" width="23.85546875" customWidth="1"/>
    <col min="3" max="3" width="9.7109375" customWidth="1"/>
    <col min="4" max="5" width="22" customWidth="1"/>
    <col min="6" max="6" width="17.5703125" style="5" customWidth="1"/>
    <col min="7" max="7" width="22.42578125" style="5" customWidth="1"/>
    <col min="8" max="8" width="35.140625" customWidth="1"/>
    <col min="9" max="9" width="21.5703125" style="5" customWidth="1"/>
    <col min="10" max="10" width="18.85546875" style="5" customWidth="1"/>
    <col min="11" max="11" width="11.5703125" style="5" customWidth="1"/>
    <col min="12" max="12" width="13.7109375" customWidth="1"/>
  </cols>
  <sheetData>
    <row r="2" spans="2:12" ht="12.75" customHeight="1" x14ac:dyDescent="0.25"/>
    <row r="5" spans="2:12" ht="9.75" customHeight="1" x14ac:dyDescent="0.25"/>
    <row r="6" spans="2:12" s="23" customFormat="1" x14ac:dyDescent="0.25">
      <c r="B6"/>
      <c r="C6"/>
      <c r="D6"/>
      <c r="E6"/>
      <c r="F6" s="5"/>
      <c r="G6" s="5"/>
      <c r="H6"/>
      <c r="I6" s="5"/>
      <c r="J6" s="5"/>
      <c r="K6" s="5"/>
      <c r="L6"/>
    </row>
    <row r="7" spans="2:12" s="89" customFormat="1" x14ac:dyDescent="0.25">
      <c r="B7" s="52" t="s">
        <v>8</v>
      </c>
      <c r="C7" t="s">
        <v>68</v>
      </c>
      <c r="D7"/>
      <c r="E7"/>
      <c r="F7" s="5"/>
      <c r="G7" s="5"/>
      <c r="H7"/>
      <c r="I7" s="5"/>
      <c r="J7" s="5"/>
      <c r="K7" s="5"/>
      <c r="L7"/>
    </row>
    <row r="8" spans="2:12" s="89" customFormat="1" x14ac:dyDescent="0.25">
      <c r="B8"/>
      <c r="C8"/>
      <c r="D8"/>
      <c r="E8"/>
      <c r="F8" s="5"/>
      <c r="G8" s="5"/>
      <c r="H8"/>
      <c r="I8" s="5"/>
      <c r="J8" s="5"/>
      <c r="K8" s="5"/>
      <c r="L8"/>
    </row>
    <row r="9" spans="2:12" s="89" customFormat="1" ht="60" x14ac:dyDescent="0.25">
      <c r="B9" s="22" t="s">
        <v>19</v>
      </c>
      <c r="C9" s="22" t="s">
        <v>368</v>
      </c>
      <c r="D9" s="22" t="s">
        <v>1</v>
      </c>
      <c r="E9" s="22" t="s">
        <v>6</v>
      </c>
      <c r="F9"/>
      <c r="G9"/>
      <c r="H9"/>
      <c r="I9"/>
      <c r="J9"/>
      <c r="K9"/>
      <c r="L9"/>
    </row>
    <row r="10" spans="2:12" s="89" customFormat="1" x14ac:dyDescent="0.25">
      <c r="B10" t="s">
        <v>134</v>
      </c>
      <c r="C10" t="s">
        <v>377</v>
      </c>
      <c r="D10" t="s">
        <v>137</v>
      </c>
      <c r="E10" t="s">
        <v>138</v>
      </c>
      <c r="F10"/>
      <c r="G10"/>
      <c r="H10"/>
      <c r="I10"/>
      <c r="J10"/>
      <c r="K10"/>
      <c r="L10"/>
    </row>
    <row r="11" spans="2:12" s="89" customFormat="1" x14ac:dyDescent="0.25">
      <c r="B11" t="s">
        <v>187</v>
      </c>
      <c r="C11" t="s">
        <v>385</v>
      </c>
      <c r="D11" t="s">
        <v>175</v>
      </c>
      <c r="E11" t="s">
        <v>176</v>
      </c>
      <c r="F11"/>
      <c r="G11"/>
      <c r="H11"/>
      <c r="I11"/>
      <c r="J11"/>
      <c r="K11"/>
      <c r="L11"/>
    </row>
    <row r="12" spans="2:12" s="89" customFormat="1" x14ac:dyDescent="0.25">
      <c r="B12" t="s">
        <v>186</v>
      </c>
      <c r="C12" t="s">
        <v>384</v>
      </c>
      <c r="D12" t="s">
        <v>166</v>
      </c>
      <c r="E12" t="s">
        <v>169</v>
      </c>
      <c r="F12"/>
      <c r="G12"/>
      <c r="H12"/>
      <c r="I12"/>
      <c r="J12"/>
      <c r="K12"/>
      <c r="L12"/>
    </row>
    <row r="13" spans="2:12" s="89" customFormat="1" x14ac:dyDescent="0.25">
      <c r="B13" t="s">
        <v>185</v>
      </c>
      <c r="C13" t="s">
        <v>384</v>
      </c>
      <c r="D13" t="s">
        <v>165</v>
      </c>
      <c r="E13" t="s">
        <v>167</v>
      </c>
      <c r="F13"/>
      <c r="G13"/>
      <c r="H13"/>
      <c r="I13"/>
      <c r="J13"/>
      <c r="K13"/>
      <c r="L13"/>
    </row>
    <row r="14" spans="2:12" s="89" customFormat="1" x14ac:dyDescent="0.25">
      <c r="B14" t="s">
        <v>156</v>
      </c>
      <c r="C14" t="s">
        <v>385</v>
      </c>
      <c r="D14" t="s">
        <v>158</v>
      </c>
      <c r="E14" t="s">
        <v>159</v>
      </c>
      <c r="F14"/>
      <c r="G14"/>
      <c r="H14"/>
      <c r="I14"/>
      <c r="J14"/>
      <c r="K14"/>
      <c r="L14"/>
    </row>
    <row r="15" spans="2:12" s="89" customFormat="1" x14ac:dyDescent="0.25">
      <c r="B15" t="s">
        <v>188</v>
      </c>
      <c r="C15" t="s">
        <v>387</v>
      </c>
      <c r="D15" t="s">
        <v>182</v>
      </c>
      <c r="E15" t="s">
        <v>183</v>
      </c>
      <c r="F15"/>
      <c r="G15"/>
      <c r="H15"/>
      <c r="I15"/>
      <c r="J15"/>
      <c r="K15"/>
      <c r="L15"/>
    </row>
    <row r="16" spans="2:12" s="89" customFormat="1" x14ac:dyDescent="0.25">
      <c r="B16" t="s">
        <v>240</v>
      </c>
      <c r="C16" t="s">
        <v>400</v>
      </c>
      <c r="D16" t="s">
        <v>241</v>
      </c>
      <c r="E16" t="s">
        <v>242</v>
      </c>
      <c r="F16"/>
      <c r="G16"/>
      <c r="H16"/>
      <c r="I16"/>
      <c r="J16"/>
      <c r="K16"/>
      <c r="L16"/>
    </row>
    <row r="17" spans="2:12" s="89" customFormat="1" x14ac:dyDescent="0.25">
      <c r="B17" t="s">
        <v>233</v>
      </c>
      <c r="C17" t="s">
        <v>397</v>
      </c>
      <c r="D17" t="s">
        <v>234</v>
      </c>
      <c r="E17" t="s">
        <v>235</v>
      </c>
      <c r="F17"/>
      <c r="G17"/>
      <c r="H17"/>
      <c r="I17"/>
      <c r="J17"/>
      <c r="K17"/>
      <c r="L17"/>
    </row>
    <row r="18" spans="2:12" s="89" customFormat="1" x14ac:dyDescent="0.25">
      <c r="B18" t="s">
        <v>247</v>
      </c>
      <c r="C18" t="s">
        <v>402</v>
      </c>
      <c r="D18" t="s">
        <v>248</v>
      </c>
      <c r="E18" t="s">
        <v>249</v>
      </c>
      <c r="F18"/>
      <c r="G18"/>
      <c r="H18"/>
      <c r="I18"/>
      <c r="J18"/>
      <c r="K18"/>
      <c r="L18"/>
    </row>
    <row r="19" spans="2:12" s="89" customFormat="1" x14ac:dyDescent="0.25">
      <c r="B19" t="s">
        <v>214</v>
      </c>
      <c r="C19" t="s">
        <v>393</v>
      </c>
      <c r="D19" t="s">
        <v>215</v>
      </c>
      <c r="E19" t="s">
        <v>216</v>
      </c>
      <c r="F19"/>
      <c r="G19"/>
      <c r="H19"/>
      <c r="I19"/>
      <c r="J19"/>
      <c r="K19"/>
      <c r="L19"/>
    </row>
    <row r="20" spans="2:12" s="89" customFormat="1" x14ac:dyDescent="0.25">
      <c r="B20" t="s">
        <v>226</v>
      </c>
      <c r="C20" t="s">
        <v>395</v>
      </c>
      <c r="D20" t="s">
        <v>223</v>
      </c>
      <c r="E20" t="s">
        <v>227</v>
      </c>
      <c r="F20"/>
      <c r="G20"/>
      <c r="H20"/>
      <c r="I20"/>
      <c r="J20"/>
      <c r="K20"/>
      <c r="L20"/>
    </row>
    <row r="21" spans="2:12" s="89" customFormat="1" x14ac:dyDescent="0.25">
      <c r="B21" t="s">
        <v>222</v>
      </c>
      <c r="C21" t="s">
        <v>395</v>
      </c>
      <c r="D21" t="s">
        <v>223</v>
      </c>
      <c r="E21" t="s">
        <v>224</v>
      </c>
      <c r="F21"/>
      <c r="G21"/>
      <c r="H21"/>
      <c r="I21"/>
      <c r="J21"/>
      <c r="K21"/>
      <c r="L21"/>
    </row>
    <row r="22" spans="2:12" s="89" customFormat="1" x14ac:dyDescent="0.25">
      <c r="B22" t="s">
        <v>120</v>
      </c>
      <c r="C22" t="s">
        <v>375</v>
      </c>
      <c r="D22" t="s">
        <v>122</v>
      </c>
      <c r="E22" t="s">
        <v>123</v>
      </c>
      <c r="F22"/>
      <c r="G22"/>
      <c r="H22"/>
      <c r="I22"/>
      <c r="J22"/>
      <c r="K22"/>
      <c r="L22"/>
    </row>
    <row r="23" spans="2:12" s="89" customFormat="1" x14ac:dyDescent="0.25">
      <c r="B23" t="s">
        <v>103</v>
      </c>
      <c r="C23" t="s">
        <v>373</v>
      </c>
      <c r="D23" t="s">
        <v>106</v>
      </c>
      <c r="E23" t="s">
        <v>107</v>
      </c>
      <c r="F23"/>
      <c r="G23"/>
      <c r="H23"/>
      <c r="I23"/>
      <c r="J23"/>
      <c r="K23"/>
      <c r="L23"/>
    </row>
    <row r="24" spans="2:12" s="89" customFormat="1" x14ac:dyDescent="0.25">
      <c r="B24" t="s">
        <v>145</v>
      </c>
      <c r="C24" t="s">
        <v>379</v>
      </c>
      <c r="D24" t="s">
        <v>144</v>
      </c>
      <c r="E24" t="s">
        <v>141</v>
      </c>
      <c r="F24"/>
      <c r="G24"/>
      <c r="H24"/>
      <c r="I24"/>
      <c r="J24"/>
      <c r="K24"/>
      <c r="L24"/>
    </row>
    <row r="25" spans="2:12" s="89" customFormat="1" x14ac:dyDescent="0.25">
      <c r="B25" t="s">
        <v>111</v>
      </c>
      <c r="C25" t="s">
        <v>369</v>
      </c>
      <c r="D25" t="s">
        <v>114</v>
      </c>
      <c r="E25" t="s">
        <v>115</v>
      </c>
      <c r="F25"/>
      <c r="G25"/>
      <c r="H25"/>
      <c r="I25"/>
      <c r="J25"/>
      <c r="K25"/>
      <c r="L25"/>
    </row>
    <row r="26" spans="2:12" s="89" customFormat="1" x14ac:dyDescent="0.25">
      <c r="B26" t="s">
        <v>56</v>
      </c>
      <c r="C26" t="s">
        <v>56</v>
      </c>
      <c r="D26" t="s">
        <v>56</v>
      </c>
      <c r="E26" t="s">
        <v>56</v>
      </c>
      <c r="F26"/>
      <c r="G26"/>
      <c r="H26"/>
      <c r="I26"/>
      <c r="J26"/>
      <c r="K26"/>
      <c r="L26"/>
    </row>
    <row r="27" spans="2:12" s="89" customFormat="1" x14ac:dyDescent="0.25">
      <c r="B27" t="s">
        <v>252</v>
      </c>
      <c r="C27" t="s">
        <v>388</v>
      </c>
      <c r="D27" t="s">
        <v>199</v>
      </c>
      <c r="E27" t="s">
        <v>195</v>
      </c>
      <c r="F27"/>
      <c r="G27"/>
      <c r="H27"/>
      <c r="I27"/>
      <c r="J27" s="5"/>
      <c r="K27" s="5"/>
      <c r="L27"/>
    </row>
    <row r="28" spans="2:12" s="89" customFormat="1" x14ac:dyDescent="0.25">
      <c r="B28" t="s">
        <v>258</v>
      </c>
      <c r="C28" t="s">
        <v>404</v>
      </c>
      <c r="D28" t="s">
        <v>264</v>
      </c>
      <c r="E28" t="s">
        <v>262</v>
      </c>
      <c r="F28"/>
      <c r="G28"/>
      <c r="H28"/>
      <c r="I28"/>
      <c r="J28" s="5"/>
      <c r="K28" s="5"/>
      <c r="L28"/>
    </row>
    <row r="29" spans="2:12" s="89" customFormat="1" x14ac:dyDescent="0.25">
      <c r="B29" t="s">
        <v>263</v>
      </c>
      <c r="C29" t="s">
        <v>404</v>
      </c>
      <c r="D29" t="s">
        <v>261</v>
      </c>
      <c r="E29" t="s">
        <v>262</v>
      </c>
      <c r="F29"/>
      <c r="G29"/>
      <c r="H29"/>
      <c r="I29"/>
      <c r="J29" s="5"/>
      <c r="K29" s="5"/>
      <c r="L29"/>
    </row>
    <row r="30" spans="2:12" s="89" customFormat="1" x14ac:dyDescent="0.25">
      <c r="B30" t="s">
        <v>271</v>
      </c>
      <c r="C30" t="s">
        <v>529</v>
      </c>
      <c r="D30" t="s">
        <v>273</v>
      </c>
      <c r="E30" t="s">
        <v>274</v>
      </c>
      <c r="F30"/>
      <c r="G30"/>
      <c r="H30"/>
      <c r="I30"/>
      <c r="J30" s="5"/>
      <c r="K30" s="5"/>
      <c r="L30"/>
    </row>
    <row r="31" spans="2:12" s="89" customFormat="1" x14ac:dyDescent="0.25">
      <c r="B31" t="s">
        <v>280</v>
      </c>
      <c r="C31" t="s">
        <v>408</v>
      </c>
      <c r="D31" t="s">
        <v>281</v>
      </c>
      <c r="E31" t="s">
        <v>282</v>
      </c>
      <c r="F31"/>
      <c r="G31"/>
      <c r="H31"/>
      <c r="I31"/>
      <c r="J31" s="5"/>
      <c r="K31" s="5"/>
      <c r="L31"/>
    </row>
    <row r="32" spans="2:12" s="89" customFormat="1" x14ac:dyDescent="0.25">
      <c r="B32" t="s">
        <v>288</v>
      </c>
      <c r="C32" t="s">
        <v>409</v>
      </c>
      <c r="D32" t="s">
        <v>291</v>
      </c>
      <c r="E32" t="s">
        <v>292</v>
      </c>
      <c r="F32"/>
      <c r="G32"/>
      <c r="H32"/>
      <c r="I32"/>
      <c r="J32" s="5"/>
      <c r="K32" s="5"/>
      <c r="L32"/>
    </row>
    <row r="33" spans="2:12" s="89" customFormat="1" x14ac:dyDescent="0.25">
      <c r="B33" t="s">
        <v>298</v>
      </c>
      <c r="C33" t="s">
        <v>411</v>
      </c>
      <c r="D33" t="s">
        <v>299</v>
      </c>
      <c r="E33" t="s">
        <v>300</v>
      </c>
      <c r="F33"/>
      <c r="G33"/>
      <c r="H33"/>
      <c r="I33"/>
      <c r="J33" s="5"/>
      <c r="K33" s="5"/>
      <c r="L33"/>
    </row>
    <row r="34" spans="2:12" s="89" customFormat="1" x14ac:dyDescent="0.25">
      <c r="B34" t="s">
        <v>305</v>
      </c>
      <c r="C34" t="s">
        <v>414</v>
      </c>
      <c r="D34" t="s">
        <v>306</v>
      </c>
      <c r="E34" t="s">
        <v>307</v>
      </c>
      <c r="F34"/>
      <c r="G34"/>
      <c r="H34"/>
      <c r="I34"/>
      <c r="J34" s="5"/>
      <c r="K34" s="5"/>
      <c r="L34"/>
    </row>
    <row r="35" spans="2:12" s="89" customFormat="1" x14ac:dyDescent="0.25">
      <c r="B35" t="s">
        <v>313</v>
      </c>
      <c r="C35" t="s">
        <v>415</v>
      </c>
      <c r="D35" t="s">
        <v>314</v>
      </c>
      <c r="E35" t="s">
        <v>315</v>
      </c>
      <c r="F35"/>
      <c r="G35"/>
      <c r="H35"/>
      <c r="I35"/>
      <c r="J35" s="5"/>
      <c r="K35" s="5"/>
    </row>
    <row r="36" spans="2:12" s="89" customFormat="1" x14ac:dyDescent="0.25">
      <c r="B36" t="s">
        <v>321</v>
      </c>
      <c r="C36" t="s">
        <v>388</v>
      </c>
      <c r="D36" t="s">
        <v>322</v>
      </c>
      <c r="E36" t="s">
        <v>323</v>
      </c>
      <c r="F36"/>
      <c r="G36"/>
      <c r="H36"/>
      <c r="I36"/>
      <c r="J36" s="5"/>
      <c r="K36" s="5"/>
    </row>
    <row r="37" spans="2:12" s="89" customFormat="1" x14ac:dyDescent="0.25">
      <c r="B37" t="s">
        <v>325</v>
      </c>
      <c r="C37" t="s">
        <v>388</v>
      </c>
      <c r="D37" t="s">
        <v>322</v>
      </c>
      <c r="E37" t="s">
        <v>323</v>
      </c>
      <c r="F37"/>
      <c r="G37"/>
      <c r="H37"/>
      <c r="I37"/>
      <c r="J37" s="5"/>
      <c r="K37" s="5"/>
    </row>
    <row r="38" spans="2:12" s="89" customFormat="1" x14ac:dyDescent="0.25">
      <c r="B38" t="s">
        <v>332</v>
      </c>
      <c r="C38" t="s">
        <v>418</v>
      </c>
      <c r="D38" t="s">
        <v>333</v>
      </c>
      <c r="E38" t="s">
        <v>334</v>
      </c>
      <c r="F38"/>
      <c r="G38"/>
      <c r="H38"/>
      <c r="I38"/>
      <c r="J38" s="5"/>
      <c r="K38" s="5"/>
    </row>
    <row r="39" spans="2:12" s="89" customFormat="1" x14ac:dyDescent="0.25">
      <c r="B39" t="s">
        <v>341</v>
      </c>
      <c r="C39" t="s">
        <v>420</v>
      </c>
      <c r="D39" t="s">
        <v>337</v>
      </c>
      <c r="E39" t="s">
        <v>338</v>
      </c>
      <c r="F39"/>
      <c r="G39"/>
      <c r="H39"/>
      <c r="I39"/>
      <c r="J39" s="5"/>
      <c r="K39" s="5"/>
    </row>
    <row r="40" spans="2:12" s="89" customFormat="1" x14ac:dyDescent="0.25">
      <c r="B40" t="s">
        <v>349</v>
      </c>
      <c r="C40" t="s">
        <v>423</v>
      </c>
      <c r="D40" t="s">
        <v>350</v>
      </c>
      <c r="E40" t="s">
        <v>351</v>
      </c>
      <c r="F40"/>
      <c r="G40"/>
      <c r="H40"/>
      <c r="I40"/>
      <c r="J40" s="5"/>
      <c r="K40" s="5"/>
    </row>
    <row r="41" spans="2:12" s="89" customFormat="1" x14ac:dyDescent="0.25">
      <c r="B41" t="s">
        <v>357</v>
      </c>
      <c r="C41" t="s">
        <v>424</v>
      </c>
      <c r="D41" t="s">
        <v>358</v>
      </c>
      <c r="E41" t="s">
        <v>359</v>
      </c>
      <c r="F41"/>
      <c r="G41"/>
      <c r="H41"/>
      <c r="I41"/>
      <c r="J41" s="5"/>
      <c r="K41" s="5"/>
    </row>
    <row r="42" spans="2:12" s="89" customFormat="1" x14ac:dyDescent="0.25">
      <c r="B42" t="s">
        <v>427</v>
      </c>
      <c r="C42" t="s">
        <v>388</v>
      </c>
      <c r="D42" t="s">
        <v>199</v>
      </c>
      <c r="E42" t="s">
        <v>195</v>
      </c>
      <c r="F42"/>
      <c r="G42"/>
      <c r="H42"/>
      <c r="I42"/>
      <c r="J42" s="5"/>
      <c r="K42" s="5"/>
    </row>
    <row r="43" spans="2:12" s="89" customFormat="1" x14ac:dyDescent="0.25">
      <c r="B43" t="s">
        <v>430</v>
      </c>
      <c r="C43" t="s">
        <v>468</v>
      </c>
      <c r="D43" t="s">
        <v>469</v>
      </c>
      <c r="E43" t="s">
        <v>470</v>
      </c>
      <c r="F43"/>
      <c r="G43"/>
      <c r="H43"/>
      <c r="I43"/>
      <c r="J43" s="5"/>
      <c r="K43" s="5"/>
    </row>
    <row r="44" spans="2:12" s="89" customFormat="1" ht="16.5" customHeight="1" x14ac:dyDescent="0.25">
      <c r="B44" t="s">
        <v>482</v>
      </c>
      <c r="C44" t="s">
        <v>542</v>
      </c>
      <c r="D44" t="s">
        <v>483</v>
      </c>
      <c r="E44" t="s">
        <v>485</v>
      </c>
      <c r="F44"/>
      <c r="G44"/>
      <c r="H44"/>
      <c r="I44"/>
      <c r="J44" s="5"/>
      <c r="K44" s="5"/>
    </row>
    <row r="45" spans="2:12" s="89" customFormat="1" x14ac:dyDescent="0.25">
      <c r="B45" t="s">
        <v>488</v>
      </c>
      <c r="C45" t="s">
        <v>544</v>
      </c>
      <c r="D45" t="s">
        <v>1032</v>
      </c>
      <c r="E45" t="s">
        <v>489</v>
      </c>
      <c r="F45"/>
      <c r="G45"/>
      <c r="H45"/>
      <c r="I45"/>
      <c r="J45" s="5"/>
      <c r="K45" s="5"/>
    </row>
    <row r="46" spans="2:12" s="89" customFormat="1" x14ac:dyDescent="0.25">
      <c r="B46" t="s">
        <v>495</v>
      </c>
      <c r="C46" t="s">
        <v>497</v>
      </c>
      <c r="D46" t="s">
        <v>498</v>
      </c>
      <c r="E46" t="s">
        <v>499</v>
      </c>
      <c r="F46"/>
      <c r="G46"/>
      <c r="H46"/>
      <c r="I46"/>
      <c r="J46" s="5"/>
      <c r="K46" s="5"/>
    </row>
    <row r="47" spans="2:12" s="89" customFormat="1" x14ac:dyDescent="0.25">
      <c r="B47" t="s">
        <v>501</v>
      </c>
      <c r="C47" t="s">
        <v>497</v>
      </c>
      <c r="D47" t="s">
        <v>498</v>
      </c>
      <c r="E47" t="s">
        <v>502</v>
      </c>
      <c r="F47"/>
      <c r="G47"/>
      <c r="H47"/>
      <c r="I47"/>
      <c r="J47" s="5"/>
      <c r="K47" s="5"/>
    </row>
    <row r="48" spans="2:12" s="89" customFormat="1" x14ac:dyDescent="0.25">
      <c r="B48" t="s">
        <v>508</v>
      </c>
      <c r="C48" t="s">
        <v>510</v>
      </c>
      <c r="D48" t="s">
        <v>511</v>
      </c>
      <c r="E48" t="s">
        <v>512</v>
      </c>
      <c r="F48"/>
      <c r="G48"/>
      <c r="H48"/>
      <c r="I48"/>
      <c r="J48" s="5"/>
      <c r="K48" s="5"/>
    </row>
    <row r="49" spans="2:11" s="89" customFormat="1" x14ac:dyDescent="0.25">
      <c r="B49" t="s">
        <v>518</v>
      </c>
      <c r="C49" t="s">
        <v>510</v>
      </c>
      <c r="D49" t="s">
        <v>520</v>
      </c>
      <c r="E49" t="s">
        <v>521</v>
      </c>
      <c r="F49"/>
      <c r="G49"/>
      <c r="H49"/>
      <c r="I49"/>
      <c r="J49" s="5"/>
      <c r="K49" s="5"/>
    </row>
    <row r="50" spans="2:11" s="89" customFormat="1" x14ac:dyDescent="0.25">
      <c r="B50" t="s">
        <v>527</v>
      </c>
      <c r="C50" t="s">
        <v>529</v>
      </c>
      <c r="D50" t="s">
        <v>530</v>
      </c>
      <c r="E50" t="s">
        <v>531</v>
      </c>
      <c r="F50"/>
      <c r="G50"/>
      <c r="H50"/>
      <c r="I50"/>
      <c r="J50" s="5"/>
      <c r="K50" s="5"/>
    </row>
    <row r="51" spans="2:11" s="89" customFormat="1" x14ac:dyDescent="0.25">
      <c r="B51" t="s">
        <v>536</v>
      </c>
      <c r="C51" t="s">
        <v>384</v>
      </c>
      <c r="D51" t="s">
        <v>533</v>
      </c>
      <c r="E51" t="s">
        <v>538</v>
      </c>
      <c r="F51"/>
      <c r="G51"/>
      <c r="H51"/>
      <c r="I51"/>
      <c r="J51" s="5"/>
      <c r="K51" s="5"/>
    </row>
    <row r="52" spans="2:11" s="89" customFormat="1" x14ac:dyDescent="0.25">
      <c r="B52" t="s">
        <v>552</v>
      </c>
      <c r="C52" t="s">
        <v>554</v>
      </c>
      <c r="D52" t="s">
        <v>555</v>
      </c>
      <c r="E52" t="s">
        <v>556</v>
      </c>
      <c r="F52"/>
      <c r="G52"/>
      <c r="H52"/>
      <c r="I52"/>
      <c r="J52" s="5"/>
      <c r="K52" s="5"/>
    </row>
    <row r="53" spans="2:11" x14ac:dyDescent="0.25">
      <c r="B53" t="s">
        <v>560</v>
      </c>
      <c r="C53" t="s">
        <v>562</v>
      </c>
      <c r="D53" t="s">
        <v>602</v>
      </c>
      <c r="E53" t="s">
        <v>601</v>
      </c>
      <c r="F53"/>
      <c r="G53"/>
      <c r="I53"/>
    </row>
    <row r="54" spans="2:11" x14ac:dyDescent="0.25">
      <c r="B54" t="s">
        <v>569</v>
      </c>
      <c r="C54" t="s">
        <v>393</v>
      </c>
      <c r="D54" t="s">
        <v>571</v>
      </c>
      <c r="E54" t="s">
        <v>572</v>
      </c>
      <c r="F54"/>
      <c r="G54"/>
      <c r="I54"/>
    </row>
    <row r="55" spans="2:11" x14ac:dyDescent="0.25">
      <c r="B55" t="s">
        <v>578</v>
      </c>
      <c r="C55" t="s">
        <v>580</v>
      </c>
      <c r="D55" t="s">
        <v>581</v>
      </c>
      <c r="E55" t="s">
        <v>582</v>
      </c>
      <c r="F55"/>
      <c r="G55"/>
      <c r="I55"/>
    </row>
    <row r="56" spans="2:11" x14ac:dyDescent="0.25">
      <c r="B56" t="s">
        <v>587</v>
      </c>
      <c r="C56" t="s">
        <v>510</v>
      </c>
      <c r="D56" t="s">
        <v>589</v>
      </c>
      <c r="E56" t="s">
        <v>590</v>
      </c>
      <c r="F56"/>
      <c r="G56"/>
      <c r="I56"/>
    </row>
    <row r="57" spans="2:11" x14ac:dyDescent="0.25">
      <c r="B57" t="s">
        <v>595</v>
      </c>
      <c r="C57" t="s">
        <v>597</v>
      </c>
      <c r="D57" t="s">
        <v>598</v>
      </c>
      <c r="E57" t="s">
        <v>599</v>
      </c>
      <c r="F57"/>
      <c r="G57"/>
      <c r="I57"/>
    </row>
    <row r="58" spans="2:11" x14ac:dyDescent="0.25">
      <c r="B58" t="s">
        <v>604</v>
      </c>
      <c r="C58" t="s">
        <v>384</v>
      </c>
      <c r="D58" t="s">
        <v>606</v>
      </c>
      <c r="E58" t="s">
        <v>607</v>
      </c>
      <c r="F58"/>
      <c r="G58"/>
    </row>
    <row r="59" spans="2:11" x14ac:dyDescent="0.25">
      <c r="B59" t="s">
        <v>609</v>
      </c>
      <c r="C59" t="s">
        <v>580</v>
      </c>
      <c r="D59" t="s">
        <v>612</v>
      </c>
      <c r="E59" t="s">
        <v>613</v>
      </c>
      <c r="F59"/>
      <c r="G59"/>
    </row>
    <row r="60" spans="2:11" x14ac:dyDescent="0.25">
      <c r="B60" t="s">
        <v>645</v>
      </c>
      <c r="C60" t="s">
        <v>655</v>
      </c>
      <c r="D60" t="s">
        <v>656</v>
      </c>
      <c r="E60" t="s">
        <v>657</v>
      </c>
      <c r="F60"/>
      <c r="G60"/>
    </row>
    <row r="61" spans="2:11" x14ac:dyDescent="0.25">
      <c r="B61" t="s">
        <v>646</v>
      </c>
      <c r="C61" t="s">
        <v>661</v>
      </c>
      <c r="D61" t="s">
        <v>662</v>
      </c>
      <c r="E61" t="s">
        <v>663</v>
      </c>
      <c r="F61"/>
      <c r="G61"/>
    </row>
    <row r="62" spans="2:11" x14ac:dyDescent="0.25">
      <c r="B62" t="s">
        <v>647</v>
      </c>
      <c r="C62" t="s">
        <v>580</v>
      </c>
      <c r="D62" t="s">
        <v>666</v>
      </c>
      <c r="E62" t="s">
        <v>665</v>
      </c>
    </row>
    <row r="63" spans="2:11" x14ac:dyDescent="0.25">
      <c r="B63" t="s">
        <v>648</v>
      </c>
      <c r="C63" t="s">
        <v>668</v>
      </c>
      <c r="D63" t="s">
        <v>688</v>
      </c>
      <c r="E63" t="s">
        <v>670</v>
      </c>
    </row>
    <row r="64" spans="2:11" x14ac:dyDescent="0.25">
      <c r="B64" t="s">
        <v>649</v>
      </c>
      <c r="C64" t="s">
        <v>673</v>
      </c>
      <c r="D64" t="s">
        <v>675</v>
      </c>
      <c r="E64" t="s">
        <v>676</v>
      </c>
    </row>
    <row r="65" spans="2:5" x14ac:dyDescent="0.25">
      <c r="B65" t="s">
        <v>650</v>
      </c>
      <c r="C65" t="s">
        <v>680</v>
      </c>
      <c r="D65" t="s">
        <v>681</v>
      </c>
      <c r="E65" t="s">
        <v>682</v>
      </c>
    </row>
    <row r="66" spans="2:5" x14ac:dyDescent="0.25">
      <c r="B66" t="s">
        <v>651</v>
      </c>
      <c r="C66" t="s">
        <v>686</v>
      </c>
      <c r="D66" t="s">
        <v>687</v>
      </c>
      <c r="E66" t="s">
        <v>689</v>
      </c>
    </row>
    <row r="67" spans="2:5" x14ac:dyDescent="0.25">
      <c r="B67" t="s">
        <v>691</v>
      </c>
      <c r="C67" t="s">
        <v>696</v>
      </c>
      <c r="D67" t="s">
        <v>1033</v>
      </c>
      <c r="E67" t="s">
        <v>698</v>
      </c>
    </row>
    <row r="68" spans="2:5" x14ac:dyDescent="0.25">
      <c r="B68" t="s">
        <v>704</v>
      </c>
      <c r="C68" t="s">
        <v>706</v>
      </c>
      <c r="D68" t="s">
        <v>707</v>
      </c>
      <c r="E68" t="s">
        <v>708</v>
      </c>
    </row>
    <row r="69" spans="2:5" x14ac:dyDescent="0.25">
      <c r="B69" t="s">
        <v>714</v>
      </c>
      <c r="C69" t="s">
        <v>510</v>
      </c>
      <c r="D69" t="s">
        <v>716</v>
      </c>
      <c r="E69" t="s">
        <v>599</v>
      </c>
    </row>
    <row r="70" spans="2:5" x14ac:dyDescent="0.25">
      <c r="B70" t="s">
        <v>717</v>
      </c>
      <c r="C70" t="s">
        <v>722</v>
      </c>
      <c r="D70" t="s">
        <v>723</v>
      </c>
      <c r="E70" t="s">
        <v>724</v>
      </c>
    </row>
    <row r="71" spans="2:5" x14ac:dyDescent="0.25">
      <c r="B71" t="s">
        <v>730</v>
      </c>
      <c r="C71" t="s">
        <v>732</v>
      </c>
      <c r="D71" t="s">
        <v>733</v>
      </c>
      <c r="E71" t="s">
        <v>563</v>
      </c>
    </row>
    <row r="72" spans="2:5" x14ac:dyDescent="0.25">
      <c r="B72" t="s">
        <v>736</v>
      </c>
      <c r="C72" t="s">
        <v>738</v>
      </c>
      <c r="D72" t="s">
        <v>739</v>
      </c>
      <c r="E72" t="s">
        <v>740</v>
      </c>
    </row>
    <row r="73" spans="2:5" x14ac:dyDescent="0.25">
      <c r="B73" t="s">
        <v>762</v>
      </c>
      <c r="C73" t="s">
        <v>768</v>
      </c>
      <c r="D73" t="s">
        <v>769</v>
      </c>
      <c r="E73" t="s">
        <v>770</v>
      </c>
    </row>
    <row r="74" spans="2:5" x14ac:dyDescent="0.25">
      <c r="B74" t="s">
        <v>441</v>
      </c>
      <c r="C74" t="s">
        <v>391</v>
      </c>
      <c r="D74" t="s">
        <v>206</v>
      </c>
      <c r="E74" t="s">
        <v>207</v>
      </c>
    </row>
    <row r="75" spans="2:5" x14ac:dyDescent="0.25">
      <c r="B75" t="s">
        <v>772</v>
      </c>
      <c r="C75" t="s">
        <v>547</v>
      </c>
      <c r="D75" t="s">
        <v>476</v>
      </c>
      <c r="E75" t="s">
        <v>477</v>
      </c>
    </row>
    <row r="76" spans="2:5" x14ac:dyDescent="0.25">
      <c r="B76" t="s">
        <v>774</v>
      </c>
      <c r="C76" t="s">
        <v>787</v>
      </c>
      <c r="D76" t="s">
        <v>780</v>
      </c>
      <c r="E76" t="s">
        <v>781</v>
      </c>
    </row>
    <row r="77" spans="2:5" x14ac:dyDescent="0.25">
      <c r="B77" t="s">
        <v>773</v>
      </c>
      <c r="C77" t="s">
        <v>789</v>
      </c>
      <c r="D77" t="s">
        <v>782</v>
      </c>
      <c r="E77" t="s">
        <v>783</v>
      </c>
    </row>
    <row r="78" spans="2:5" x14ac:dyDescent="0.25">
      <c r="B78" t="s">
        <v>790</v>
      </c>
      <c r="C78" t="s">
        <v>395</v>
      </c>
      <c r="D78" t="s">
        <v>798</v>
      </c>
      <c r="E78" t="s">
        <v>799</v>
      </c>
    </row>
    <row r="79" spans="2:5" x14ac:dyDescent="0.25">
      <c r="B79" t="s">
        <v>791</v>
      </c>
      <c r="C79" t="s">
        <v>811</v>
      </c>
      <c r="D79" t="s">
        <v>806</v>
      </c>
      <c r="E79" t="s">
        <v>807</v>
      </c>
    </row>
    <row r="80" spans="2:5" x14ac:dyDescent="0.25">
      <c r="B80" t="s">
        <v>812</v>
      </c>
      <c r="C80" t="s">
        <v>388</v>
      </c>
      <c r="D80" t="s">
        <v>1103</v>
      </c>
      <c r="E80" t="s">
        <v>827</v>
      </c>
    </row>
    <row r="81" spans="2:5" x14ac:dyDescent="0.25">
      <c r="B81" t="s">
        <v>813</v>
      </c>
      <c r="C81" t="s">
        <v>850</v>
      </c>
      <c r="D81" t="s">
        <v>1101</v>
      </c>
      <c r="E81" t="s">
        <v>828</v>
      </c>
    </row>
    <row r="82" spans="2:5" x14ac:dyDescent="0.25">
      <c r="B82" t="s">
        <v>814</v>
      </c>
      <c r="C82" t="s">
        <v>850</v>
      </c>
      <c r="D82" t="s">
        <v>1102</v>
      </c>
      <c r="E82" t="s">
        <v>829</v>
      </c>
    </row>
    <row r="83" spans="2:5" x14ac:dyDescent="0.25">
      <c r="B83" t="s">
        <v>815</v>
      </c>
      <c r="C83" t="s">
        <v>853</v>
      </c>
      <c r="D83" t="s">
        <v>1104</v>
      </c>
      <c r="E83" t="s">
        <v>828</v>
      </c>
    </row>
    <row r="84" spans="2:5" x14ac:dyDescent="0.25">
      <c r="B84" t="s">
        <v>816</v>
      </c>
      <c r="C84" t="s">
        <v>853</v>
      </c>
      <c r="D84" t="s">
        <v>1105</v>
      </c>
      <c r="E84" t="s">
        <v>839</v>
      </c>
    </row>
    <row r="85" spans="2:5" x14ac:dyDescent="0.25">
      <c r="B85" t="s">
        <v>854</v>
      </c>
      <c r="C85" t="s">
        <v>911</v>
      </c>
      <c r="D85" t="s">
        <v>860</v>
      </c>
      <c r="E85" t="s">
        <v>861</v>
      </c>
    </row>
    <row r="86" spans="2:5" x14ac:dyDescent="0.25">
      <c r="B86" t="s">
        <v>879</v>
      </c>
      <c r="C86" t="s">
        <v>706</v>
      </c>
      <c r="D86" t="s">
        <v>895</v>
      </c>
      <c r="E86" t="s">
        <v>928</v>
      </c>
    </row>
    <row r="87" spans="2:5" x14ac:dyDescent="0.25">
      <c r="B87" t="s">
        <v>880</v>
      </c>
      <c r="C87" t="s">
        <v>562</v>
      </c>
      <c r="D87" t="s">
        <v>896</v>
      </c>
      <c r="E87" t="s">
        <v>935</v>
      </c>
    </row>
    <row r="88" spans="2:5" x14ac:dyDescent="0.25">
      <c r="B88" t="s">
        <v>881</v>
      </c>
      <c r="C88" t="s">
        <v>738</v>
      </c>
      <c r="D88" t="s">
        <v>897</v>
      </c>
      <c r="E88" t="s">
        <v>235</v>
      </c>
    </row>
    <row r="89" spans="2:5" x14ac:dyDescent="0.25">
      <c r="B89" t="s">
        <v>882</v>
      </c>
      <c r="C89" t="s">
        <v>510</v>
      </c>
      <c r="D89" t="s">
        <v>898</v>
      </c>
      <c r="E89" t="s">
        <v>946</v>
      </c>
    </row>
    <row r="90" spans="2:5" x14ac:dyDescent="0.25">
      <c r="B90" t="s">
        <v>883</v>
      </c>
      <c r="C90" t="s">
        <v>510</v>
      </c>
      <c r="D90" t="s">
        <v>899</v>
      </c>
      <c r="E90" t="s">
        <v>954</v>
      </c>
    </row>
    <row r="91" spans="2:5" x14ac:dyDescent="0.25">
      <c r="B91" t="s">
        <v>884</v>
      </c>
      <c r="C91" t="s">
        <v>959</v>
      </c>
      <c r="D91" t="s">
        <v>900</v>
      </c>
      <c r="E91" t="s">
        <v>960</v>
      </c>
    </row>
    <row r="92" spans="2:5" x14ac:dyDescent="0.25">
      <c r="B92" t="s">
        <v>885</v>
      </c>
      <c r="C92" t="s">
        <v>468</v>
      </c>
      <c r="D92" t="s">
        <v>901</v>
      </c>
      <c r="E92" t="s">
        <v>966</v>
      </c>
    </row>
    <row r="93" spans="2:5" x14ac:dyDescent="0.25">
      <c r="B93" t="s">
        <v>886</v>
      </c>
      <c r="C93" t="s">
        <v>510</v>
      </c>
      <c r="D93" t="s">
        <v>902</v>
      </c>
      <c r="E93" t="s">
        <v>973</v>
      </c>
    </row>
    <row r="94" spans="2:5" x14ac:dyDescent="0.25">
      <c r="B94" t="s">
        <v>887</v>
      </c>
      <c r="C94" t="s">
        <v>510</v>
      </c>
      <c r="D94" t="s">
        <v>903</v>
      </c>
      <c r="E94" t="s">
        <v>978</v>
      </c>
    </row>
    <row r="95" spans="2:5" x14ac:dyDescent="0.25">
      <c r="B95" t="s">
        <v>888</v>
      </c>
      <c r="C95" t="s">
        <v>510</v>
      </c>
      <c r="D95" t="s">
        <v>904</v>
      </c>
      <c r="E95" t="s">
        <v>984</v>
      </c>
    </row>
    <row r="96" spans="2:5" x14ac:dyDescent="0.25">
      <c r="B96" t="s">
        <v>889</v>
      </c>
      <c r="C96" t="s">
        <v>510</v>
      </c>
      <c r="D96" t="s">
        <v>905</v>
      </c>
      <c r="E96" t="s">
        <v>990</v>
      </c>
    </row>
    <row r="97" spans="2:5" x14ac:dyDescent="0.25">
      <c r="B97" t="s">
        <v>890</v>
      </c>
      <c r="C97" t="s">
        <v>510</v>
      </c>
      <c r="D97" t="s">
        <v>906</v>
      </c>
      <c r="E97" t="s">
        <v>984</v>
      </c>
    </row>
    <row r="98" spans="2:5" x14ac:dyDescent="0.25">
      <c r="B98" t="s">
        <v>891</v>
      </c>
      <c r="C98" t="s">
        <v>510</v>
      </c>
      <c r="D98" t="s">
        <v>907</v>
      </c>
      <c r="E98" t="s">
        <v>984</v>
      </c>
    </row>
    <row r="99" spans="2:5" x14ac:dyDescent="0.25">
      <c r="B99" t="s">
        <v>892</v>
      </c>
      <c r="C99" t="s">
        <v>510</v>
      </c>
      <c r="D99" t="s">
        <v>908</v>
      </c>
      <c r="E99" t="s">
        <v>1002</v>
      </c>
    </row>
    <row r="100" spans="2:5" x14ac:dyDescent="0.25">
      <c r="B100" t="s">
        <v>893</v>
      </c>
      <c r="C100" t="s">
        <v>510</v>
      </c>
      <c r="D100" t="s">
        <v>909</v>
      </c>
      <c r="E100" t="s">
        <v>1006</v>
      </c>
    </row>
    <row r="101" spans="2:5" x14ac:dyDescent="0.25">
      <c r="B101" t="s">
        <v>894</v>
      </c>
      <c r="C101" t="s">
        <v>510</v>
      </c>
      <c r="D101" t="s">
        <v>910</v>
      </c>
      <c r="E101" t="s">
        <v>1012</v>
      </c>
    </row>
    <row r="102" spans="2:5" x14ac:dyDescent="0.25">
      <c r="B102" t="s">
        <v>914</v>
      </c>
      <c r="C102" t="s">
        <v>414</v>
      </c>
      <c r="D102" t="s">
        <v>920</v>
      </c>
      <c r="E102" t="s">
        <v>921</v>
      </c>
    </row>
    <row r="103" spans="2:5" x14ac:dyDescent="0.25">
      <c r="B103" t="s">
        <v>913</v>
      </c>
      <c r="C103" t="s">
        <v>1034</v>
      </c>
      <c r="D103" t="s">
        <v>1019</v>
      </c>
      <c r="E103" t="s">
        <v>1020</v>
      </c>
    </row>
    <row r="104" spans="2:5" x14ac:dyDescent="0.25">
      <c r="B104" t="s">
        <v>1024</v>
      </c>
      <c r="C104" t="s">
        <v>853</v>
      </c>
      <c r="D104" t="s">
        <v>1030</v>
      </c>
      <c r="E104" t="s">
        <v>1031</v>
      </c>
    </row>
    <row r="105" spans="2:5" x14ac:dyDescent="0.25">
      <c r="B105" t="s">
        <v>1038</v>
      </c>
      <c r="C105" t="s">
        <v>1040</v>
      </c>
      <c r="D105" t="s">
        <v>1043</v>
      </c>
      <c r="E105" t="s">
        <v>1044</v>
      </c>
    </row>
    <row r="106" spans="2:5" x14ac:dyDescent="0.25">
      <c r="B106" t="s">
        <v>1049</v>
      </c>
      <c r="C106" t="s">
        <v>811</v>
      </c>
      <c r="D106" t="s">
        <v>1052</v>
      </c>
      <c r="E106" t="s">
        <v>1053</v>
      </c>
    </row>
    <row r="107" spans="2:5" x14ac:dyDescent="0.25">
      <c r="B107" t="s">
        <v>1055</v>
      </c>
      <c r="C107" t="s">
        <v>1111</v>
      </c>
      <c r="D107" t="s">
        <v>1061</v>
      </c>
      <c r="E107" t="s">
        <v>1062</v>
      </c>
    </row>
    <row r="108" spans="2:5" x14ac:dyDescent="0.25">
      <c r="B108" t="s">
        <v>1112</v>
      </c>
      <c r="C108" t="s">
        <v>1121</v>
      </c>
      <c r="D108" t="s">
        <v>1124</v>
      </c>
      <c r="E108" t="s">
        <v>1125</v>
      </c>
    </row>
    <row r="109" spans="2:5" x14ac:dyDescent="0.25">
      <c r="B109" t="s">
        <v>1113</v>
      </c>
      <c r="C109" t="s">
        <v>911</v>
      </c>
      <c r="D109" t="s">
        <v>1130</v>
      </c>
      <c r="E109" t="s">
        <v>1080</v>
      </c>
    </row>
    <row r="110" spans="2:5" x14ac:dyDescent="0.25">
      <c r="B110" t="s">
        <v>1534</v>
      </c>
      <c r="C110" t="s">
        <v>547</v>
      </c>
      <c r="D110" t="s">
        <v>1542</v>
      </c>
      <c r="E110" t="s">
        <v>1543</v>
      </c>
    </row>
    <row r="111" spans="2:5" x14ac:dyDescent="0.25">
      <c r="B111" t="s">
        <v>1114</v>
      </c>
      <c r="C111" t="s">
        <v>1153</v>
      </c>
      <c r="D111" t="s">
        <v>1137</v>
      </c>
      <c r="E111" t="s">
        <v>1138</v>
      </c>
    </row>
    <row r="112" spans="2:5" x14ac:dyDescent="0.25">
      <c r="B112" t="s">
        <v>1115</v>
      </c>
      <c r="C112" t="s">
        <v>1153</v>
      </c>
      <c r="D112" t="s">
        <v>1142</v>
      </c>
      <c r="E112" t="s">
        <v>1138</v>
      </c>
    </row>
    <row r="113" spans="2:5" x14ac:dyDescent="0.25">
      <c r="B113" t="s">
        <v>1116</v>
      </c>
      <c r="C113" t="s">
        <v>1152</v>
      </c>
      <c r="D113" t="s">
        <v>1143</v>
      </c>
      <c r="E113" t="s">
        <v>1144</v>
      </c>
    </row>
    <row r="114" spans="2:5" x14ac:dyDescent="0.25">
      <c r="B114" t="s">
        <v>1181</v>
      </c>
      <c r="C114" t="s">
        <v>1183</v>
      </c>
      <c r="D114" t="s">
        <v>1184</v>
      </c>
      <c r="E114" t="s">
        <v>1185</v>
      </c>
    </row>
    <row r="115" spans="2:5" x14ac:dyDescent="0.25">
      <c r="B115" t="s">
        <v>1215</v>
      </c>
      <c r="C115" t="s">
        <v>1111</v>
      </c>
      <c r="D115" t="s">
        <v>1216</v>
      </c>
      <c r="E115" t="s">
        <v>1217</v>
      </c>
    </row>
    <row r="116" spans="2:5" x14ac:dyDescent="0.25">
      <c r="B116" t="s">
        <v>1246</v>
      </c>
      <c r="C116" t="s">
        <v>1270</v>
      </c>
      <c r="D116" t="s">
        <v>1252</v>
      </c>
      <c r="E116" t="s">
        <v>1253</v>
      </c>
    </row>
    <row r="117" spans="2:5" x14ac:dyDescent="0.25">
      <c r="B117" t="s">
        <v>1247</v>
      </c>
      <c r="C117" t="s">
        <v>1272</v>
      </c>
      <c r="D117" t="s">
        <v>1258</v>
      </c>
      <c r="E117" t="s">
        <v>1259</v>
      </c>
    </row>
    <row r="118" spans="2:5" x14ac:dyDescent="0.25">
      <c r="B118" t="s">
        <v>1248</v>
      </c>
      <c r="C118" t="s">
        <v>1266</v>
      </c>
      <c r="D118" t="s">
        <v>1263</v>
      </c>
      <c r="E118" t="s">
        <v>1261</v>
      </c>
    </row>
    <row r="119" spans="2:5" x14ac:dyDescent="0.25">
      <c r="B119" t="s">
        <v>1386</v>
      </c>
      <c r="C119" t="s">
        <v>1432</v>
      </c>
      <c r="D119" t="s">
        <v>1388</v>
      </c>
      <c r="E119" t="s">
        <v>839</v>
      </c>
    </row>
    <row r="120" spans="2:5" x14ac:dyDescent="0.25">
      <c r="B120" t="s">
        <v>1385</v>
      </c>
      <c r="C120" t="s">
        <v>853</v>
      </c>
      <c r="D120" t="s">
        <v>1390</v>
      </c>
      <c r="E120" t="s">
        <v>839</v>
      </c>
    </row>
    <row r="121" spans="2:5" x14ac:dyDescent="0.25">
      <c r="B121" t="s">
        <v>1484</v>
      </c>
      <c r="C121" t="s">
        <v>1034</v>
      </c>
      <c r="D121" t="s">
        <v>1491</v>
      </c>
      <c r="E121" t="s">
        <v>1487</v>
      </c>
    </row>
    <row r="122" spans="2:5" x14ac:dyDescent="0.25">
      <c r="B122" t="s">
        <v>1483</v>
      </c>
      <c r="C122" t="s">
        <v>1486</v>
      </c>
      <c r="D122" t="s">
        <v>1490</v>
      </c>
      <c r="E122" t="s">
        <v>1487</v>
      </c>
    </row>
    <row r="123" spans="2:5" x14ac:dyDescent="0.25">
      <c r="B123" t="s">
        <v>1343</v>
      </c>
      <c r="C123" t="s">
        <v>1350</v>
      </c>
      <c r="D123" t="s">
        <v>1348</v>
      </c>
      <c r="E123" t="s">
        <v>1346</v>
      </c>
    </row>
    <row r="124" spans="2:5" x14ac:dyDescent="0.25">
      <c r="B124" t="s">
        <v>1344</v>
      </c>
      <c r="C124" t="s">
        <v>580</v>
      </c>
      <c r="D124" t="s">
        <v>1356</v>
      </c>
      <c r="E124" t="s">
        <v>1357</v>
      </c>
    </row>
    <row r="125" spans="2:5" x14ac:dyDescent="0.25">
      <c r="B125" t="s">
        <v>1345</v>
      </c>
      <c r="C125" t="s">
        <v>1266</v>
      </c>
      <c r="D125" t="s">
        <v>1358</v>
      </c>
      <c r="E125" t="s">
        <v>1359</v>
      </c>
    </row>
    <row r="126" spans="2:5" x14ac:dyDescent="0.25">
      <c r="B126" t="s">
        <v>1391</v>
      </c>
      <c r="C126" t="s">
        <v>395</v>
      </c>
      <c r="D126" t="s">
        <v>1395</v>
      </c>
      <c r="E126" t="s">
        <v>1396</v>
      </c>
    </row>
    <row r="127" spans="2:5" x14ac:dyDescent="0.25">
      <c r="B127" t="s">
        <v>1398</v>
      </c>
      <c r="C127" t="s">
        <v>1877</v>
      </c>
      <c r="D127" t="s">
        <v>1403</v>
      </c>
      <c r="E127" t="s">
        <v>1404</v>
      </c>
    </row>
    <row r="128" spans="2:5" x14ac:dyDescent="0.25">
      <c r="B128" t="s">
        <v>1399</v>
      </c>
      <c r="C128" t="s">
        <v>1435</v>
      </c>
      <c r="D128" t="s">
        <v>1409</v>
      </c>
      <c r="E128" t="s">
        <v>663</v>
      </c>
    </row>
    <row r="129" spans="2:5" x14ac:dyDescent="0.25">
      <c r="B129" t="s">
        <v>1410</v>
      </c>
      <c r="C129" t="s">
        <v>1034</v>
      </c>
      <c r="D129" t="s">
        <v>1417</v>
      </c>
      <c r="E129" t="s">
        <v>1418</v>
      </c>
    </row>
    <row r="130" spans="2:5" x14ac:dyDescent="0.25">
      <c r="B130" t="s">
        <v>1411</v>
      </c>
      <c r="C130" t="s">
        <v>1153</v>
      </c>
      <c r="D130" t="s">
        <v>1424</v>
      </c>
      <c r="E130" t="s">
        <v>1369</v>
      </c>
    </row>
    <row r="131" spans="2:5" x14ac:dyDescent="0.25">
      <c r="B131" t="s">
        <v>1412</v>
      </c>
      <c r="C131" t="s">
        <v>1440</v>
      </c>
      <c r="D131" t="s">
        <v>1428</v>
      </c>
      <c r="E131" t="s">
        <v>1429</v>
      </c>
    </row>
    <row r="132" spans="2:5" x14ac:dyDescent="0.25">
      <c r="B132" t="s">
        <v>1413</v>
      </c>
      <c r="C132" t="s">
        <v>1458</v>
      </c>
      <c r="D132" t="s">
        <v>1459</v>
      </c>
      <c r="E132" t="s">
        <v>1460</v>
      </c>
    </row>
    <row r="133" spans="2:5" x14ac:dyDescent="0.25">
      <c r="B133" t="s">
        <v>1470</v>
      </c>
      <c r="C133" t="s">
        <v>1475</v>
      </c>
      <c r="D133" t="s">
        <v>1476</v>
      </c>
      <c r="E133" t="s">
        <v>1477</v>
      </c>
    </row>
    <row r="134" spans="2:5" x14ac:dyDescent="0.25">
      <c r="B134" t="s">
        <v>1478</v>
      </c>
      <c r="C134" t="s">
        <v>411</v>
      </c>
      <c r="D134" t="s">
        <v>1482</v>
      </c>
      <c r="E134" t="s">
        <v>1429</v>
      </c>
    </row>
    <row r="135" spans="2:5" x14ac:dyDescent="0.25">
      <c r="B135" t="s">
        <v>1488</v>
      </c>
      <c r="C135" t="s">
        <v>1548</v>
      </c>
      <c r="D135" t="s">
        <v>1549</v>
      </c>
      <c r="E135" t="s">
        <v>1550</v>
      </c>
    </row>
    <row r="136" spans="2:5" x14ac:dyDescent="0.25">
      <c r="B136" t="s">
        <v>1489</v>
      </c>
      <c r="C136" t="s">
        <v>411</v>
      </c>
      <c r="D136" t="s">
        <v>1482</v>
      </c>
      <c r="E136" t="s">
        <v>300</v>
      </c>
    </row>
    <row r="137" spans="2:5" x14ac:dyDescent="0.25">
      <c r="B137" t="s">
        <v>1493</v>
      </c>
      <c r="C137" t="s">
        <v>1497</v>
      </c>
      <c r="D137" t="s">
        <v>1494</v>
      </c>
      <c r="E137" t="s">
        <v>1495</v>
      </c>
    </row>
    <row r="138" spans="2:5" x14ac:dyDescent="0.25">
      <c r="B138" t="s">
        <v>1517</v>
      </c>
      <c r="C138" t="s">
        <v>1598</v>
      </c>
      <c r="D138" t="s">
        <v>1522</v>
      </c>
      <c r="E138" t="s">
        <v>1523</v>
      </c>
    </row>
    <row r="139" spans="2:5" x14ac:dyDescent="0.25">
      <c r="B139" t="s">
        <v>1518</v>
      </c>
      <c r="C139" t="s">
        <v>1562</v>
      </c>
      <c r="D139" t="s">
        <v>1604</v>
      </c>
      <c r="E139" t="s">
        <v>1563</v>
      </c>
    </row>
    <row r="140" spans="2:5" x14ac:dyDescent="0.25">
      <c r="B140" t="s">
        <v>1531</v>
      </c>
      <c r="C140" t="s">
        <v>1556</v>
      </c>
      <c r="D140" t="s">
        <v>1557</v>
      </c>
      <c r="E140" t="s">
        <v>1558</v>
      </c>
    </row>
    <row r="141" spans="2:5" x14ac:dyDescent="0.25">
      <c r="B141" t="s">
        <v>1532</v>
      </c>
      <c r="C141" t="s">
        <v>1562</v>
      </c>
      <c r="D141" t="s">
        <v>1605</v>
      </c>
      <c r="E141" t="s">
        <v>1602</v>
      </c>
    </row>
    <row r="142" spans="2:5" x14ac:dyDescent="0.25">
      <c r="B142" t="s">
        <v>1529</v>
      </c>
      <c r="C142" t="s">
        <v>1568</v>
      </c>
      <c r="D142" t="s">
        <v>1565</v>
      </c>
      <c r="E142" t="s">
        <v>1569</v>
      </c>
    </row>
    <row r="143" spans="2:5" x14ac:dyDescent="0.25">
      <c r="B143" t="s">
        <v>1530</v>
      </c>
      <c r="C143" t="s">
        <v>388</v>
      </c>
      <c r="D143" t="s">
        <v>1574</v>
      </c>
      <c r="E143" t="s">
        <v>1468</v>
      </c>
    </row>
    <row r="144" spans="2:5" x14ac:dyDescent="0.25">
      <c r="B144" t="s">
        <v>1533</v>
      </c>
      <c r="C144" t="s">
        <v>1153</v>
      </c>
      <c r="D144" t="s">
        <v>1578</v>
      </c>
      <c r="E144" t="s">
        <v>1631</v>
      </c>
    </row>
    <row r="145" spans="2:5" x14ac:dyDescent="0.25">
      <c r="B145" t="s">
        <v>1538</v>
      </c>
      <c r="C145" t="s">
        <v>1584</v>
      </c>
      <c r="D145" t="s">
        <v>1585</v>
      </c>
      <c r="E145" t="s">
        <v>1586</v>
      </c>
    </row>
    <row r="146" spans="2:5" x14ac:dyDescent="0.25">
      <c r="B146" t="s">
        <v>1539</v>
      </c>
      <c r="C146" t="s">
        <v>1591</v>
      </c>
      <c r="D146" t="s">
        <v>1593</v>
      </c>
      <c r="E146" t="s">
        <v>1594</v>
      </c>
    </row>
    <row r="147" spans="2:5" x14ac:dyDescent="0.25">
      <c r="B147" t="s">
        <v>1540</v>
      </c>
      <c r="C147" t="s">
        <v>1598</v>
      </c>
      <c r="D147" t="s">
        <v>1599</v>
      </c>
      <c r="E147" t="s">
        <v>1600</v>
      </c>
    </row>
    <row r="148" spans="2:5" x14ac:dyDescent="0.25">
      <c r="B148" t="s">
        <v>1626</v>
      </c>
      <c r="C148" t="s">
        <v>414</v>
      </c>
      <c r="D148" t="s">
        <v>920</v>
      </c>
      <c r="E148" t="s">
        <v>1629</v>
      </c>
    </row>
    <row r="149" spans="2:5" x14ac:dyDescent="0.25">
      <c r="B149" t="s">
        <v>1743</v>
      </c>
      <c r="C149" t="s">
        <v>1761</v>
      </c>
      <c r="D149" t="s">
        <v>1752</v>
      </c>
      <c r="E149" t="s">
        <v>1747</v>
      </c>
    </row>
    <row r="150" spans="2:5" x14ac:dyDescent="0.25">
      <c r="B150" t="s">
        <v>1744</v>
      </c>
      <c r="C150" t="s">
        <v>1765</v>
      </c>
      <c r="D150" t="s">
        <v>1751</v>
      </c>
      <c r="E150" t="s">
        <v>1748</v>
      </c>
    </row>
    <row r="151" spans="2:5" x14ac:dyDescent="0.25">
      <c r="B151" t="s">
        <v>1745</v>
      </c>
      <c r="C151" t="s">
        <v>1458</v>
      </c>
      <c r="D151" t="s">
        <v>1753</v>
      </c>
      <c r="E151" t="s">
        <v>1755</v>
      </c>
    </row>
    <row r="152" spans="2:5" x14ac:dyDescent="0.25">
      <c r="B152" t="s">
        <v>1770</v>
      </c>
      <c r="C152" t="s">
        <v>1775</v>
      </c>
      <c r="D152" t="s">
        <v>1772</v>
      </c>
      <c r="E152" t="s">
        <v>274</v>
      </c>
    </row>
    <row r="153" spans="2:5" x14ac:dyDescent="0.25">
      <c r="B153" t="s">
        <v>1776</v>
      </c>
      <c r="C153" t="s">
        <v>1765</v>
      </c>
      <c r="D153" t="s">
        <v>1869</v>
      </c>
      <c r="E153" t="s">
        <v>1777</v>
      </c>
    </row>
    <row r="154" spans="2:5" x14ac:dyDescent="0.25">
      <c r="B154" t="s">
        <v>1791</v>
      </c>
      <c r="C154" t="s">
        <v>1598</v>
      </c>
      <c r="D154" t="s">
        <v>1870</v>
      </c>
      <c r="E154" t="s">
        <v>1797</v>
      </c>
    </row>
    <row r="155" spans="2:5" x14ac:dyDescent="0.25">
      <c r="B155" t="s">
        <v>1792</v>
      </c>
      <c r="C155" t="s">
        <v>1804</v>
      </c>
      <c r="D155" t="s">
        <v>1871</v>
      </c>
      <c r="E155" t="s">
        <v>1800</v>
      </c>
    </row>
    <row r="156" spans="2:5" x14ac:dyDescent="0.25">
      <c r="B156" t="s">
        <v>1821</v>
      </c>
      <c r="C156" t="s">
        <v>1827</v>
      </c>
      <c r="D156" t="s">
        <v>1823</v>
      </c>
      <c r="E156" t="s">
        <v>1824</v>
      </c>
    </row>
    <row r="157" spans="2:5" x14ac:dyDescent="0.25">
      <c r="B157" t="s">
        <v>1837</v>
      </c>
      <c r="C157" t="s">
        <v>686</v>
      </c>
      <c r="D157" t="s">
        <v>1841</v>
      </c>
      <c r="E157" t="s">
        <v>1866</v>
      </c>
    </row>
    <row r="158" spans="2:5" x14ac:dyDescent="0.25">
      <c r="B158" t="s">
        <v>1845</v>
      </c>
      <c r="C158" t="s">
        <v>1850</v>
      </c>
      <c r="D158" t="s">
        <v>1867</v>
      </c>
      <c r="E158" t="s">
        <v>1846</v>
      </c>
    </row>
    <row r="159" spans="2:5" x14ac:dyDescent="0.25">
      <c r="B159" t="s">
        <v>1854</v>
      </c>
      <c r="C159" t="s">
        <v>1861</v>
      </c>
      <c r="D159" t="s">
        <v>1868</v>
      </c>
      <c r="E159" t="s">
        <v>1862</v>
      </c>
    </row>
    <row r="160" spans="2:5" x14ac:dyDescent="0.25">
      <c r="B160" t="s">
        <v>1874</v>
      </c>
      <c r="C160" t="s">
        <v>1979</v>
      </c>
      <c r="D160" t="s">
        <v>1980</v>
      </c>
      <c r="E160" t="s">
        <v>1981</v>
      </c>
    </row>
    <row r="161" spans="2:5" x14ac:dyDescent="0.25">
      <c r="B161" t="s">
        <v>1965</v>
      </c>
      <c r="C161" t="s">
        <v>1985</v>
      </c>
      <c r="D161" t="s">
        <v>1988</v>
      </c>
      <c r="E161" t="s">
        <v>1986</v>
      </c>
    </row>
    <row r="162" spans="2:5" x14ac:dyDescent="0.25">
      <c r="B162" t="s">
        <v>1966</v>
      </c>
      <c r="C162" t="s">
        <v>1993</v>
      </c>
      <c r="D162" t="s">
        <v>1994</v>
      </c>
      <c r="E162" t="s">
        <v>1995</v>
      </c>
    </row>
    <row r="163" spans="2:5" x14ac:dyDescent="0.25">
      <c r="B163" t="s">
        <v>1967</v>
      </c>
      <c r="C163" t="s">
        <v>2000</v>
      </c>
      <c r="D163" t="s">
        <v>2001</v>
      </c>
      <c r="E163" t="s">
        <v>2002</v>
      </c>
    </row>
    <row r="164" spans="2:5" x14ac:dyDescent="0.25">
      <c r="B164" t="s">
        <v>1968</v>
      </c>
      <c r="C164" t="s">
        <v>2007</v>
      </c>
      <c r="D164" t="s">
        <v>2008</v>
      </c>
      <c r="E164" t="s">
        <v>1846</v>
      </c>
    </row>
    <row r="165" spans="2:5" x14ac:dyDescent="0.25">
      <c r="B165" t="s">
        <v>1969</v>
      </c>
      <c r="C165" t="s">
        <v>2007</v>
      </c>
      <c r="D165" t="s">
        <v>2011</v>
      </c>
      <c r="E165" t="s">
        <v>1846</v>
      </c>
    </row>
    <row r="166" spans="2:5" x14ac:dyDescent="0.25">
      <c r="B166" t="s">
        <v>1875</v>
      </c>
      <c r="C166" t="s">
        <v>56</v>
      </c>
      <c r="D166" t="s">
        <v>56</v>
      </c>
      <c r="E166" t="s">
        <v>56</v>
      </c>
    </row>
    <row r="167" spans="2:5" x14ac:dyDescent="0.25">
      <c r="B167" t="s">
        <v>1873</v>
      </c>
      <c r="C167" t="s">
        <v>56</v>
      </c>
      <c r="D167" t="s">
        <v>56</v>
      </c>
      <c r="E167" t="s">
        <v>56</v>
      </c>
    </row>
    <row r="168" spans="2:5" x14ac:dyDescent="0.25">
      <c r="B168" t="s">
        <v>1970</v>
      </c>
      <c r="C168" t="s">
        <v>56</v>
      </c>
      <c r="D168" t="s">
        <v>56</v>
      </c>
      <c r="E168" t="s">
        <v>56</v>
      </c>
    </row>
  </sheetData>
  <pageMargins left="0.511811024" right="0.511811024" top="0.78740157499999996" bottom="0.78740157499999996" header="0.31496062000000002" footer="0.31496062000000002"/>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Planilha12"/>
  <dimension ref="B3:S29"/>
  <sheetViews>
    <sheetView showGridLines="0" workbookViewId="0">
      <selection activeCell="F8" sqref="F8"/>
    </sheetView>
  </sheetViews>
  <sheetFormatPr defaultRowHeight="15" x14ac:dyDescent="0.25"/>
  <cols>
    <col min="2" max="2" width="35.5703125" bestFit="1" customWidth="1"/>
    <col min="3" max="3" width="1.5703125" customWidth="1"/>
    <col min="4" max="4" width="35.5703125" bestFit="1" customWidth="1"/>
    <col min="5" max="5" width="0.85546875" customWidth="1"/>
    <col min="6" max="6" width="25.42578125" customWidth="1"/>
    <col min="7" max="7" width="1.28515625" customWidth="1"/>
    <col min="8" max="8" width="7.85546875" style="5" bestFit="1" customWidth="1"/>
    <col min="9" max="9" width="2" customWidth="1"/>
    <col min="10" max="10" width="21" bestFit="1" customWidth="1"/>
    <col min="11" max="11" width="3.5703125" customWidth="1"/>
    <col min="12" max="12" width="24.28515625" customWidth="1"/>
    <col min="13" max="13" width="4" customWidth="1"/>
    <col min="14" max="14" width="12.85546875" bestFit="1" customWidth="1"/>
    <col min="15" max="15" width="3.42578125" customWidth="1"/>
    <col min="16" max="16" width="10.42578125" bestFit="1" customWidth="1"/>
    <col min="18" max="18" width="14.28515625" bestFit="1" customWidth="1"/>
    <col min="19" max="19" width="13.42578125" bestFit="1" customWidth="1"/>
  </cols>
  <sheetData>
    <row r="3" spans="2:19" x14ac:dyDescent="0.25">
      <c r="B3" s="4" t="s">
        <v>83</v>
      </c>
      <c r="D3" s="4" t="s">
        <v>18</v>
      </c>
      <c r="F3" s="4" t="s">
        <v>84</v>
      </c>
      <c r="H3" s="6" t="s">
        <v>8</v>
      </c>
      <c r="J3" s="6" t="s">
        <v>13</v>
      </c>
      <c r="L3" s="6" t="s">
        <v>26</v>
      </c>
      <c r="N3" s="6" t="s">
        <v>71</v>
      </c>
      <c r="P3" s="6" t="s">
        <v>87</v>
      </c>
      <c r="R3" s="6" t="s">
        <v>1241</v>
      </c>
    </row>
    <row r="4" spans="2:19" x14ac:dyDescent="0.25">
      <c r="B4" t="s">
        <v>79</v>
      </c>
      <c r="D4" t="s">
        <v>20</v>
      </c>
      <c r="F4" t="s">
        <v>7</v>
      </c>
      <c r="H4" s="5" t="s">
        <v>9</v>
      </c>
      <c r="J4" t="s">
        <v>14</v>
      </c>
      <c r="L4" t="s">
        <v>27</v>
      </c>
      <c r="N4" s="49">
        <v>45292</v>
      </c>
      <c r="P4" s="5" t="s">
        <v>88</v>
      </c>
      <c r="R4" s="76">
        <v>45292</v>
      </c>
      <c r="S4" t="s">
        <v>1237</v>
      </c>
    </row>
    <row r="5" spans="2:19" x14ac:dyDescent="0.25">
      <c r="B5" t="s">
        <v>80</v>
      </c>
      <c r="D5" t="s">
        <v>41</v>
      </c>
      <c r="F5" t="s">
        <v>4</v>
      </c>
      <c r="H5" s="5" t="s">
        <v>10</v>
      </c>
      <c r="J5" t="s">
        <v>15</v>
      </c>
      <c r="L5" t="s">
        <v>28</v>
      </c>
      <c r="N5" s="49">
        <v>45323</v>
      </c>
      <c r="P5" s="5" t="s">
        <v>89</v>
      </c>
      <c r="R5" s="76">
        <v>45334</v>
      </c>
      <c r="S5" t="s">
        <v>1237</v>
      </c>
    </row>
    <row r="6" spans="2:19" x14ac:dyDescent="0.25">
      <c r="B6" t="s">
        <v>81</v>
      </c>
      <c r="D6" t="s">
        <v>21</v>
      </c>
      <c r="F6" t="s">
        <v>5</v>
      </c>
      <c r="J6" t="s">
        <v>16</v>
      </c>
      <c r="L6" t="s">
        <v>29</v>
      </c>
      <c r="N6" s="49">
        <v>45352</v>
      </c>
      <c r="P6" s="5" t="s">
        <v>90</v>
      </c>
      <c r="R6" s="76">
        <v>45335</v>
      </c>
      <c r="S6" t="s">
        <v>1239</v>
      </c>
    </row>
    <row r="7" spans="2:19" x14ac:dyDescent="0.25">
      <c r="B7" t="s">
        <v>82</v>
      </c>
      <c r="D7" t="s">
        <v>85</v>
      </c>
      <c r="F7" t="s">
        <v>1083</v>
      </c>
      <c r="J7" t="s">
        <v>54</v>
      </c>
      <c r="L7" t="s">
        <v>1224</v>
      </c>
      <c r="N7" s="49">
        <v>45383</v>
      </c>
      <c r="P7" s="5" t="s">
        <v>91</v>
      </c>
      <c r="R7" s="76">
        <v>45380</v>
      </c>
      <c r="S7" t="s">
        <v>1238</v>
      </c>
    </row>
    <row r="8" spans="2:19" x14ac:dyDescent="0.25">
      <c r="B8" t="s">
        <v>43</v>
      </c>
      <c r="D8" t="s">
        <v>128</v>
      </c>
      <c r="F8" t="s">
        <v>11</v>
      </c>
      <c r="L8" t="s">
        <v>30</v>
      </c>
      <c r="N8" s="49">
        <v>45413</v>
      </c>
      <c r="P8" s="5" t="s">
        <v>92</v>
      </c>
      <c r="R8" s="76">
        <v>45403</v>
      </c>
      <c r="S8" t="s">
        <v>1236</v>
      </c>
    </row>
    <row r="9" spans="2:19" x14ac:dyDescent="0.25">
      <c r="D9" t="s">
        <v>22</v>
      </c>
      <c r="F9" t="s">
        <v>43</v>
      </c>
      <c r="L9" t="s">
        <v>31</v>
      </c>
      <c r="N9" s="49">
        <v>45444</v>
      </c>
      <c r="R9" s="76">
        <v>45413</v>
      </c>
      <c r="S9" t="s">
        <v>1240</v>
      </c>
    </row>
    <row r="10" spans="2:19" x14ac:dyDescent="0.25">
      <c r="L10" t="s">
        <v>32</v>
      </c>
      <c r="N10" s="49">
        <v>45474</v>
      </c>
      <c r="R10" s="76">
        <v>45442</v>
      </c>
      <c r="S10" t="s">
        <v>1234</v>
      </c>
    </row>
    <row r="11" spans="2:19" x14ac:dyDescent="0.25">
      <c r="L11" t="s">
        <v>33</v>
      </c>
      <c r="N11" s="49">
        <v>45505</v>
      </c>
      <c r="R11" s="76">
        <v>45542</v>
      </c>
      <c r="S11" t="s">
        <v>1235</v>
      </c>
    </row>
    <row r="12" spans="2:19" s="8" customFormat="1" x14ac:dyDescent="0.25">
      <c r="D12"/>
      <c r="F12"/>
      <c r="H12" s="9"/>
      <c r="N12" s="49">
        <v>45536</v>
      </c>
      <c r="R12" s="76">
        <v>45577</v>
      </c>
      <c r="S12" t="s">
        <v>1235</v>
      </c>
    </row>
    <row r="13" spans="2:19" s="8" customFormat="1" x14ac:dyDescent="0.25">
      <c r="D13"/>
      <c r="F13"/>
      <c r="H13" s="9"/>
      <c r="N13" s="49">
        <v>45566</v>
      </c>
      <c r="R13" s="76">
        <v>45598</v>
      </c>
      <c r="S13" t="s">
        <v>1235</v>
      </c>
    </row>
    <row r="14" spans="2:19" s="8" customFormat="1" x14ac:dyDescent="0.25">
      <c r="H14" s="9"/>
      <c r="N14" s="49">
        <v>45597</v>
      </c>
      <c r="R14" s="76">
        <v>45611</v>
      </c>
      <c r="S14" t="s">
        <v>1238</v>
      </c>
    </row>
    <row r="15" spans="2:19" s="8" customFormat="1" x14ac:dyDescent="0.25">
      <c r="H15" s="9"/>
      <c r="N15" s="49">
        <v>45627</v>
      </c>
      <c r="R15" s="76">
        <v>45616</v>
      </c>
      <c r="S15" t="s">
        <v>1240</v>
      </c>
    </row>
    <row r="16" spans="2:19" s="8" customFormat="1" x14ac:dyDescent="0.25">
      <c r="H16" s="9"/>
      <c r="R16" s="76">
        <v>45651</v>
      </c>
      <c r="S16" t="s">
        <v>1240</v>
      </c>
    </row>
    <row r="17" spans="4:19" x14ac:dyDescent="0.25">
      <c r="D17" s="8"/>
      <c r="F17" s="8"/>
      <c r="R17" s="76">
        <v>45658</v>
      </c>
      <c r="S17" t="s">
        <v>1240</v>
      </c>
    </row>
    <row r="18" spans="4:19" x14ac:dyDescent="0.25">
      <c r="F18" s="8"/>
      <c r="R18" s="76">
        <v>45719</v>
      </c>
      <c r="S18" t="s">
        <v>1237</v>
      </c>
    </row>
    <row r="19" spans="4:19" x14ac:dyDescent="0.25">
      <c r="R19" s="76">
        <v>45720</v>
      </c>
      <c r="S19" t="s">
        <v>1239</v>
      </c>
    </row>
    <row r="20" spans="4:19" x14ac:dyDescent="0.25">
      <c r="R20" s="76">
        <v>45765</v>
      </c>
      <c r="S20" t="s">
        <v>1238</v>
      </c>
    </row>
    <row r="21" spans="4:19" x14ac:dyDescent="0.25">
      <c r="R21" s="76">
        <v>45768</v>
      </c>
      <c r="S21" t="s">
        <v>1237</v>
      </c>
    </row>
    <row r="22" spans="4:19" x14ac:dyDescent="0.25">
      <c r="R22" s="76">
        <v>45778</v>
      </c>
      <c r="S22" t="s">
        <v>1234</v>
      </c>
    </row>
    <row r="23" spans="4:19" x14ac:dyDescent="0.25">
      <c r="R23" s="76">
        <v>45827</v>
      </c>
      <c r="S23" t="s">
        <v>1234</v>
      </c>
    </row>
    <row r="24" spans="4:19" x14ac:dyDescent="0.25">
      <c r="R24" s="76">
        <v>45907</v>
      </c>
      <c r="S24" t="s">
        <v>1236</v>
      </c>
    </row>
    <row r="25" spans="4:19" x14ac:dyDescent="0.25">
      <c r="R25" s="76">
        <v>45942</v>
      </c>
      <c r="S25" t="s">
        <v>1236</v>
      </c>
    </row>
    <row r="26" spans="4:19" x14ac:dyDescent="0.25">
      <c r="R26" s="76">
        <v>45963</v>
      </c>
      <c r="S26" t="s">
        <v>1236</v>
      </c>
    </row>
    <row r="27" spans="4:19" x14ac:dyDescent="0.25">
      <c r="R27" s="76">
        <v>45976</v>
      </c>
      <c r="S27" t="s">
        <v>1235</v>
      </c>
    </row>
    <row r="28" spans="4:19" x14ac:dyDescent="0.25">
      <c r="R28" s="76">
        <v>45981</v>
      </c>
      <c r="S28" t="s">
        <v>1234</v>
      </c>
    </row>
    <row r="29" spans="4:19" x14ac:dyDescent="0.25">
      <c r="R29" s="76">
        <v>46016</v>
      </c>
      <c r="S29" t="s">
        <v>1234</v>
      </c>
    </row>
  </sheetData>
  <pageMargins left="0.511811024" right="0.511811024" top="0.78740157499999996" bottom="0.78740157499999996" header="0.31496062000000002" footer="0.31496062000000002"/>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03C2-9A43-4E74-B80B-078921222193}">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M49"/>
  <sheetViews>
    <sheetView showGridLines="0" workbookViewId="0">
      <selection activeCell="G44" sqref="G44"/>
    </sheetView>
  </sheetViews>
  <sheetFormatPr defaultRowHeight="15" x14ac:dyDescent="0.25"/>
  <cols>
    <col min="2" max="2" width="9.140625" style="5"/>
    <col min="3" max="3" width="18.7109375" customWidth="1"/>
    <col min="4" max="4" width="20.28515625" customWidth="1"/>
    <col min="5" max="5" width="19.42578125" customWidth="1"/>
    <col min="6" max="6" width="24.7109375" customWidth="1"/>
    <col min="7" max="7" width="49.140625" customWidth="1"/>
    <col min="8" max="8" width="28.5703125" style="87" customWidth="1"/>
    <col min="9" max="9" width="19.85546875" customWidth="1"/>
    <col min="10" max="10" width="12.5703125" customWidth="1"/>
    <col min="11" max="11" width="12.28515625" customWidth="1"/>
    <col min="12" max="12" width="12.42578125" customWidth="1"/>
    <col min="13" max="13" width="9.140625" style="8"/>
  </cols>
  <sheetData>
    <row r="2" spans="2:13" ht="21" x14ac:dyDescent="0.35">
      <c r="C2" s="92" t="s">
        <v>625</v>
      </c>
    </row>
    <row r="4" spans="2:13" s="8" customFormat="1" ht="30" x14ac:dyDescent="0.25">
      <c r="B4" s="9"/>
      <c r="C4" s="99" t="s">
        <v>620</v>
      </c>
      <c r="D4" s="99" t="s">
        <v>621</v>
      </c>
      <c r="E4" s="99" t="s">
        <v>19</v>
      </c>
      <c r="F4" s="99" t="s">
        <v>368</v>
      </c>
      <c r="G4" s="99" t="s">
        <v>1</v>
      </c>
      <c r="H4" s="99" t="s">
        <v>622</v>
      </c>
      <c r="I4" s="99" t="s">
        <v>623</v>
      </c>
      <c r="J4" s="99" t="s">
        <v>23</v>
      </c>
      <c r="K4" s="99" t="s">
        <v>24</v>
      </c>
      <c r="L4" s="99" t="s">
        <v>624</v>
      </c>
    </row>
    <row r="5" spans="2:13" s="8" customFormat="1" ht="90" x14ac:dyDescent="0.25">
      <c r="B5" s="9">
        <v>1</v>
      </c>
      <c r="C5" s="93" t="s">
        <v>7</v>
      </c>
      <c r="D5" s="94" t="s">
        <v>201</v>
      </c>
      <c r="E5" s="95" t="s">
        <v>205</v>
      </c>
      <c r="F5" s="96" t="s">
        <v>391</v>
      </c>
      <c r="G5" s="93" t="s">
        <v>206</v>
      </c>
      <c r="H5" s="96" t="s">
        <v>207</v>
      </c>
      <c r="I5" s="94" t="s">
        <v>208</v>
      </c>
      <c r="J5" s="98">
        <v>45386</v>
      </c>
      <c r="K5" s="98">
        <v>46847</v>
      </c>
      <c r="L5" s="97">
        <v>17570</v>
      </c>
      <c r="M5" s="71" t="str">
        <f>CONCATENATE(B5, "-",E5,"-",H5)</f>
        <v>1- TLB-CTR-2024/00009-CERTISIGN CERTIFICADORA DIGITAL S.A.</v>
      </c>
    </row>
    <row r="6" spans="2:13" s="8" customFormat="1" ht="45" x14ac:dyDescent="0.25">
      <c r="B6" s="9">
        <v>2</v>
      </c>
      <c r="C6" s="93" t="s">
        <v>7</v>
      </c>
      <c r="D6" s="94" t="s">
        <v>211</v>
      </c>
      <c r="E6" s="95" t="s">
        <v>214</v>
      </c>
      <c r="F6" s="96" t="s">
        <v>393</v>
      </c>
      <c r="G6" s="93" t="s">
        <v>215</v>
      </c>
      <c r="H6" s="96" t="s">
        <v>216</v>
      </c>
      <c r="I6" s="94" t="s">
        <v>217</v>
      </c>
      <c r="J6" s="98">
        <v>45394</v>
      </c>
      <c r="K6" s="98" t="s">
        <v>617</v>
      </c>
      <c r="L6" s="97">
        <v>49600</v>
      </c>
      <c r="M6" s="71" t="str">
        <f t="shared" ref="M6:M18" si="0">CONCATENATE(B6, "-",E6,"-",H6)</f>
        <v>2-2024NE000661-SMARTX IMPORTACAO E COMERCIO LTDA</v>
      </c>
    </row>
    <row r="7" spans="2:13" s="8" customFormat="1" ht="30" x14ac:dyDescent="0.25">
      <c r="B7" s="9">
        <v>3</v>
      </c>
      <c r="C7" s="93" t="s">
        <v>7</v>
      </c>
      <c r="D7" s="94" t="s">
        <v>218</v>
      </c>
      <c r="E7" s="95" t="s">
        <v>226</v>
      </c>
      <c r="F7" s="96" t="s">
        <v>395</v>
      </c>
      <c r="G7" s="93" t="s">
        <v>223</v>
      </c>
      <c r="H7" s="96" t="s">
        <v>227</v>
      </c>
      <c r="I7" s="94" t="s">
        <v>228</v>
      </c>
      <c r="J7" s="98">
        <v>45394</v>
      </c>
      <c r="K7" s="98" t="s">
        <v>617</v>
      </c>
      <c r="L7" s="97">
        <v>2320</v>
      </c>
      <c r="M7" s="71" t="str">
        <f t="shared" si="0"/>
        <v>3-2024NE000669-GRAFICA E EDITORA FERNANDES E LIRA LTDA</v>
      </c>
    </row>
    <row r="8" spans="2:13" s="8" customFormat="1" ht="45" x14ac:dyDescent="0.25">
      <c r="B8" s="9">
        <v>4</v>
      </c>
      <c r="C8" s="93" t="s">
        <v>7</v>
      </c>
      <c r="D8" s="94" t="s">
        <v>218</v>
      </c>
      <c r="E8" s="95" t="s">
        <v>222</v>
      </c>
      <c r="F8" s="96" t="s">
        <v>395</v>
      </c>
      <c r="G8" s="93" t="s">
        <v>223</v>
      </c>
      <c r="H8" s="96" t="s">
        <v>224</v>
      </c>
      <c r="I8" s="94" t="s">
        <v>225</v>
      </c>
      <c r="J8" s="98">
        <v>45394</v>
      </c>
      <c r="K8" s="98" t="s">
        <v>617</v>
      </c>
      <c r="L8" s="97">
        <v>9396.5300000000007</v>
      </c>
      <c r="M8" s="71" t="str">
        <f t="shared" si="0"/>
        <v>4-2024NE000670-BRASILIA COMERCIO ATACADISTA DE SUPRIMENTOS DE PAPELARIA LTDA</v>
      </c>
    </row>
    <row r="9" spans="2:13" s="8" customFormat="1" ht="45" x14ac:dyDescent="0.25">
      <c r="B9" s="9">
        <v>5</v>
      </c>
      <c r="C9" s="93" t="s">
        <v>7</v>
      </c>
      <c r="D9" s="94" t="s">
        <v>178</v>
      </c>
      <c r="E9" s="95" t="s">
        <v>188</v>
      </c>
      <c r="F9" s="96" t="s">
        <v>387</v>
      </c>
      <c r="G9" s="93" t="s">
        <v>182</v>
      </c>
      <c r="H9" s="96" t="s">
        <v>183</v>
      </c>
      <c r="I9" s="94" t="s">
        <v>184</v>
      </c>
      <c r="J9" s="98">
        <v>45356</v>
      </c>
      <c r="K9" s="98" t="s">
        <v>617</v>
      </c>
      <c r="L9" s="97">
        <v>42000.3</v>
      </c>
      <c r="M9" s="71" t="str">
        <f t="shared" si="0"/>
        <v>5-2024NE000606-PRONTO EVENTOS TECNOLOGIA E INTEGRACAO LTDA</v>
      </c>
    </row>
    <row r="10" spans="2:13" s="8" customFormat="1" ht="75" x14ac:dyDescent="0.25">
      <c r="B10" s="9">
        <v>6</v>
      </c>
      <c r="C10" s="93" t="s">
        <v>7</v>
      </c>
      <c r="D10" s="94" t="s">
        <v>345</v>
      </c>
      <c r="E10" s="95" t="s">
        <v>349</v>
      </c>
      <c r="F10" s="96" t="s">
        <v>423</v>
      </c>
      <c r="G10" s="93" t="s">
        <v>350</v>
      </c>
      <c r="H10" s="96" t="s">
        <v>351</v>
      </c>
      <c r="I10" s="94" t="s">
        <v>352</v>
      </c>
      <c r="J10" s="98">
        <v>45441</v>
      </c>
      <c r="K10" s="98">
        <v>47267</v>
      </c>
      <c r="L10" s="97">
        <v>11070</v>
      </c>
      <c r="M10" s="71" t="str">
        <f t="shared" si="0"/>
        <v>6-TLB-CTR-2024/00036-CÂMARA DE DIRIGENTES LOJISTA DO DISTRITO FEDERAL - CDL(DF)</v>
      </c>
    </row>
    <row r="11" spans="2:13" s="8" customFormat="1" ht="45" x14ac:dyDescent="0.25">
      <c r="B11" s="9">
        <v>7</v>
      </c>
      <c r="C11" s="93" t="s">
        <v>7</v>
      </c>
      <c r="D11" s="94" t="s">
        <v>294</v>
      </c>
      <c r="E11" s="95" t="s">
        <v>298</v>
      </c>
      <c r="F11" s="96" t="s">
        <v>411</v>
      </c>
      <c r="G11" s="93" t="s">
        <v>299</v>
      </c>
      <c r="H11" s="96" t="s">
        <v>300</v>
      </c>
      <c r="I11" s="94" t="s">
        <v>301</v>
      </c>
      <c r="J11" s="98">
        <v>45406</v>
      </c>
      <c r="K11" s="98">
        <v>45771</v>
      </c>
      <c r="L11" s="97">
        <v>110810</v>
      </c>
      <c r="M11" s="71" t="str">
        <f t="shared" si="0"/>
        <v>7-TLB-CTR-2024/00023-NEXVIA COMÉRCIO E SERVIÇOS DE EQUIPAMENTOS DE TELECOMUNICAÇÕES LTDA</v>
      </c>
    </row>
    <row r="12" spans="2:13" s="8" customFormat="1" ht="75" x14ac:dyDescent="0.25">
      <c r="B12" s="9">
        <v>8</v>
      </c>
      <c r="C12" s="93" t="s">
        <v>7</v>
      </c>
      <c r="D12" s="94" t="s">
        <v>353</v>
      </c>
      <c r="E12" s="95" t="s">
        <v>357</v>
      </c>
      <c r="F12" s="96" t="s">
        <v>424</v>
      </c>
      <c r="G12" s="93" t="s">
        <v>358</v>
      </c>
      <c r="H12" s="96" t="s">
        <v>359</v>
      </c>
      <c r="I12" s="94" t="s">
        <v>360</v>
      </c>
      <c r="J12" s="98">
        <v>45446</v>
      </c>
      <c r="K12" s="98">
        <v>46084</v>
      </c>
      <c r="L12" s="97">
        <v>830337.15</v>
      </c>
      <c r="M12" s="71" t="str">
        <f t="shared" si="0"/>
        <v>8-TLB-CTR-2024/00035-CENTRAL SERVIÇOS E GESTÃO LTDA</v>
      </c>
    </row>
    <row r="13" spans="2:13" s="8" customFormat="1" ht="45" x14ac:dyDescent="0.25">
      <c r="B13" s="9">
        <v>9</v>
      </c>
      <c r="C13" s="93" t="s">
        <v>7</v>
      </c>
      <c r="D13" s="94" t="s">
        <v>523</v>
      </c>
      <c r="E13" s="95" t="s">
        <v>527</v>
      </c>
      <c r="F13" s="96" t="s">
        <v>370</v>
      </c>
      <c r="G13" s="93" t="s">
        <v>530</v>
      </c>
      <c r="H13" s="96" t="s">
        <v>531</v>
      </c>
      <c r="I13" s="94" t="s">
        <v>283</v>
      </c>
      <c r="J13" s="98">
        <v>45464</v>
      </c>
      <c r="K13" s="98">
        <v>45657</v>
      </c>
      <c r="L13" s="97">
        <v>14340.16</v>
      </c>
      <c r="M13" s="71" t="str">
        <f t="shared" si="0"/>
        <v>9-2024NE000869-SEC POWER COMERCIAL, IMPORTADORA E EXPORTADORA LTDA</v>
      </c>
    </row>
    <row r="14" spans="2:13" s="8" customFormat="1" ht="90" x14ac:dyDescent="0.25">
      <c r="B14" s="9">
        <v>10</v>
      </c>
      <c r="C14" s="93" t="s">
        <v>7</v>
      </c>
      <c r="D14" s="94" t="s">
        <v>532</v>
      </c>
      <c r="E14" s="95" t="s">
        <v>536</v>
      </c>
      <c r="F14" s="96" t="s">
        <v>384</v>
      </c>
      <c r="G14" s="93" t="s">
        <v>533</v>
      </c>
      <c r="H14" s="96" t="s">
        <v>538</v>
      </c>
      <c r="I14" s="94" t="s">
        <v>539</v>
      </c>
      <c r="J14" s="98">
        <v>45474</v>
      </c>
      <c r="K14" s="98">
        <v>47300</v>
      </c>
      <c r="L14" s="97">
        <v>1569746.4</v>
      </c>
      <c r="M14" s="71" t="str">
        <f t="shared" si="0"/>
        <v>10-TLB-CTR-2024/00049-REAL JG FACILITIES S/A</v>
      </c>
    </row>
    <row r="15" spans="2:13" s="8" customFormat="1" ht="75" x14ac:dyDescent="0.25">
      <c r="B15" s="9">
        <v>11</v>
      </c>
      <c r="C15" s="93" t="s">
        <v>7</v>
      </c>
      <c r="D15" s="94" t="s">
        <v>549</v>
      </c>
      <c r="E15" s="95" t="s">
        <v>552</v>
      </c>
      <c r="F15" s="96" t="s">
        <v>554</v>
      </c>
      <c r="G15" s="93" t="s">
        <v>555</v>
      </c>
      <c r="H15" s="96" t="s">
        <v>556</v>
      </c>
      <c r="I15" s="94" t="s">
        <v>557</v>
      </c>
      <c r="J15" s="98">
        <v>45489</v>
      </c>
      <c r="K15" s="98">
        <v>45657</v>
      </c>
      <c r="L15" s="97">
        <v>8381.5300000000007</v>
      </c>
      <c r="M15" s="71" t="str">
        <f t="shared" si="0"/>
        <v>11-2024NE000893-ROBSON O DE SOUZA</v>
      </c>
    </row>
    <row r="16" spans="2:13" s="8" customFormat="1" ht="45" x14ac:dyDescent="0.25">
      <c r="B16" s="9">
        <v>12</v>
      </c>
      <c r="C16" s="93" t="s">
        <v>7</v>
      </c>
      <c r="D16" s="94" t="s">
        <v>605</v>
      </c>
      <c r="E16" s="95" t="s">
        <v>604</v>
      </c>
      <c r="F16" s="96" t="s">
        <v>384</v>
      </c>
      <c r="G16" s="93" t="s">
        <v>606</v>
      </c>
      <c r="H16" s="96" t="s">
        <v>607</v>
      </c>
      <c r="I16" s="94" t="s">
        <v>608</v>
      </c>
      <c r="J16" s="98">
        <v>45407</v>
      </c>
      <c r="K16" s="98">
        <v>45657</v>
      </c>
      <c r="L16" s="97">
        <v>10383.43</v>
      </c>
      <c r="M16" s="71" t="str">
        <f t="shared" si="0"/>
        <v>12-2024NE000682-COMERCIAL ALVORADA DE PRODUTOS PARA LIMPEZA E DESCARTÁVEIS LTDA</v>
      </c>
    </row>
    <row r="17" spans="2:13" ht="150" x14ac:dyDescent="0.25">
      <c r="B17" s="9">
        <v>13</v>
      </c>
      <c r="C17" s="93" t="s">
        <v>4</v>
      </c>
      <c r="D17" s="94" t="s">
        <v>117</v>
      </c>
      <c r="E17" s="95" t="s">
        <v>120</v>
      </c>
      <c r="F17" s="96" t="s">
        <v>375</v>
      </c>
      <c r="G17" s="93" t="s">
        <v>122</v>
      </c>
      <c r="H17" s="96" t="s">
        <v>123</v>
      </c>
      <c r="I17" s="94" t="s">
        <v>124</v>
      </c>
      <c r="J17" s="98" t="s">
        <v>112</v>
      </c>
      <c r="K17" s="98" t="s">
        <v>121</v>
      </c>
      <c r="L17" s="97">
        <v>77000</v>
      </c>
      <c r="M17" s="71" t="str">
        <f t="shared" si="0"/>
        <v>13-TLB-AUT-2024/02455-NÚCLEO DE INFORMAÇÃO E COORDENAÇÃO DO PONTO BR - NIC.br</v>
      </c>
    </row>
    <row r="18" spans="2:13" ht="30" x14ac:dyDescent="0.25">
      <c r="B18" s="9">
        <v>14</v>
      </c>
      <c r="C18" s="93" t="s">
        <v>4</v>
      </c>
      <c r="D18" s="94" t="s">
        <v>171</v>
      </c>
      <c r="E18" s="95" t="s">
        <v>187</v>
      </c>
      <c r="F18" s="96" t="s">
        <v>385</v>
      </c>
      <c r="G18" s="93" t="s">
        <v>175</v>
      </c>
      <c r="H18" s="96" t="s">
        <v>176</v>
      </c>
      <c r="I18" s="94" t="s">
        <v>177</v>
      </c>
      <c r="J18" s="98">
        <v>45345</v>
      </c>
      <c r="K18" s="98" t="s">
        <v>617</v>
      </c>
      <c r="L18" s="97">
        <v>22586.6</v>
      </c>
      <c r="M18" s="71" t="str">
        <f t="shared" si="0"/>
        <v>14-2024NE000566-ACCESS INTELLIGENCE, LLC</v>
      </c>
    </row>
    <row r="19" spans="2:13" ht="60" x14ac:dyDescent="0.25">
      <c r="B19" s="9">
        <v>15</v>
      </c>
      <c r="C19" s="93" t="s">
        <v>4</v>
      </c>
      <c r="D19" s="94" t="s">
        <v>237</v>
      </c>
      <c r="E19" s="95" t="s">
        <v>240</v>
      </c>
      <c r="F19" s="96" t="s">
        <v>400</v>
      </c>
      <c r="G19" s="93" t="s">
        <v>241</v>
      </c>
      <c r="H19" s="96" t="s">
        <v>242</v>
      </c>
      <c r="I19" s="94" t="s">
        <v>243</v>
      </c>
      <c r="J19" s="98" t="s">
        <v>619</v>
      </c>
      <c r="K19" s="98" t="s">
        <v>617</v>
      </c>
      <c r="L19" s="97">
        <v>6927.9</v>
      </c>
      <c r="M19" s="71" t="str">
        <f t="shared" ref="M19:M49" si="1">CONCATENATE(B19, "-",E19,"-",H19)</f>
        <v>15-2024NE000628-ATP SPECIALS BV</v>
      </c>
    </row>
    <row r="20" spans="2:13" ht="45" x14ac:dyDescent="0.25">
      <c r="B20" s="9">
        <v>16</v>
      </c>
      <c r="C20" s="93" t="s">
        <v>4</v>
      </c>
      <c r="D20" s="94" t="s">
        <v>151</v>
      </c>
      <c r="E20" s="95" t="s">
        <v>156</v>
      </c>
      <c r="F20" s="96" t="s">
        <v>385</v>
      </c>
      <c r="G20" s="93" t="s">
        <v>158</v>
      </c>
      <c r="H20" s="96" t="s">
        <v>159</v>
      </c>
      <c r="I20" s="94" t="s">
        <v>160</v>
      </c>
      <c r="J20" s="98" t="s">
        <v>616</v>
      </c>
      <c r="K20" s="98" t="s">
        <v>617</v>
      </c>
      <c r="L20" s="97">
        <v>32500</v>
      </c>
      <c r="M20" s="71" t="str">
        <f t="shared" si="1"/>
        <v>16-2024NE000601-INLABS CAPACITACAO PROFISSIONAL LTDA</v>
      </c>
    </row>
    <row r="21" spans="2:13" ht="45" x14ac:dyDescent="0.25">
      <c r="B21" s="9">
        <v>17</v>
      </c>
      <c r="C21" s="93" t="s">
        <v>4</v>
      </c>
      <c r="D21" s="94" t="s">
        <v>229</v>
      </c>
      <c r="E21" s="95" t="s">
        <v>233</v>
      </c>
      <c r="F21" s="96" t="s">
        <v>397</v>
      </c>
      <c r="G21" s="93" t="s">
        <v>234</v>
      </c>
      <c r="H21" s="96" t="s">
        <v>235</v>
      </c>
      <c r="I21" s="94"/>
      <c r="J21" s="98"/>
      <c r="K21" s="98"/>
      <c r="L21" s="97">
        <v>11670</v>
      </c>
      <c r="M21" s="71" t="str">
        <f t="shared" si="1"/>
        <v>17-2024NE000632-ZENITE INFORMACAO E CONSULTORIA S/A</v>
      </c>
    </row>
    <row r="22" spans="2:13" ht="45" x14ac:dyDescent="0.25">
      <c r="B22" s="9">
        <v>18</v>
      </c>
      <c r="C22" s="93" t="s">
        <v>4</v>
      </c>
      <c r="D22" s="94" t="s">
        <v>244</v>
      </c>
      <c r="E22" s="95" t="s">
        <v>247</v>
      </c>
      <c r="F22" s="96" t="s">
        <v>402</v>
      </c>
      <c r="G22" s="93" t="s">
        <v>248</v>
      </c>
      <c r="H22" s="96" t="s">
        <v>249</v>
      </c>
      <c r="I22" s="94" t="s">
        <v>250</v>
      </c>
      <c r="J22" s="98">
        <v>45390</v>
      </c>
      <c r="K22" s="98" t="s">
        <v>617</v>
      </c>
      <c r="L22" s="97">
        <v>1744</v>
      </c>
      <c r="M22" s="71" t="str">
        <f t="shared" si="1"/>
        <v>18-2024NE000653-CENOFISCO CENTRO DE CAPACITACAO PROFISSIONAL LTDA</v>
      </c>
    </row>
    <row r="23" spans="2:13" ht="30" x14ac:dyDescent="0.25">
      <c r="B23" s="9">
        <v>19</v>
      </c>
      <c r="C23" s="93" t="s">
        <v>4</v>
      </c>
      <c r="D23" s="94" t="s">
        <v>328</v>
      </c>
      <c r="E23" s="95" t="s">
        <v>332</v>
      </c>
      <c r="F23" s="96" t="s">
        <v>418</v>
      </c>
      <c r="G23" s="93" t="s">
        <v>333</v>
      </c>
      <c r="H23" s="96" t="s">
        <v>334</v>
      </c>
      <c r="I23" s="94" t="s">
        <v>335</v>
      </c>
      <c r="J23" s="98">
        <v>45421</v>
      </c>
      <c r="K23" s="98">
        <v>45786</v>
      </c>
      <c r="L23" s="97">
        <v>1300</v>
      </c>
      <c r="M23" s="71" t="str">
        <f t="shared" si="1"/>
        <v>19-TLB-CTR-2024/00024-TARGET ENGENHARIA  E  CONSULTORIA  LTDA.</v>
      </c>
    </row>
    <row r="24" spans="2:13" ht="45" x14ac:dyDescent="0.25">
      <c r="B24" s="9">
        <v>20</v>
      </c>
      <c r="C24" s="93" t="s">
        <v>4</v>
      </c>
      <c r="D24" s="94" t="s">
        <v>472</v>
      </c>
      <c r="E24" s="95" t="s">
        <v>475</v>
      </c>
      <c r="F24" s="96" t="s">
        <v>547</v>
      </c>
      <c r="G24" s="93" t="s">
        <v>476</v>
      </c>
      <c r="H24" s="96" t="s">
        <v>477</v>
      </c>
      <c r="I24" s="94" t="s">
        <v>478</v>
      </c>
      <c r="J24" s="98">
        <v>45463</v>
      </c>
      <c r="K24" s="98">
        <v>45657</v>
      </c>
      <c r="L24" s="97">
        <v>13477</v>
      </c>
      <c r="M24" s="71" t="str">
        <f t="shared" si="1"/>
        <v>20- TLB-CTR-2024/00045-INSTITUTO BRASILEIRO DE GOVERNANÇA CORPORATIVA - IBGC</v>
      </c>
    </row>
    <row r="25" spans="2:13" ht="45" x14ac:dyDescent="0.25">
      <c r="B25" s="9">
        <v>21</v>
      </c>
      <c r="C25" s="93" t="s">
        <v>4</v>
      </c>
      <c r="D25" s="94" t="s">
        <v>504</v>
      </c>
      <c r="E25" s="95" t="s">
        <v>508</v>
      </c>
      <c r="F25" s="96" t="s">
        <v>510</v>
      </c>
      <c r="G25" s="93" t="s">
        <v>511</v>
      </c>
      <c r="H25" s="96" t="s">
        <v>512</v>
      </c>
      <c r="I25" s="94" t="s">
        <v>513</v>
      </c>
      <c r="J25" s="98">
        <v>45407</v>
      </c>
      <c r="K25" s="98">
        <v>45657</v>
      </c>
      <c r="L25" s="97">
        <v>10500</v>
      </c>
      <c r="M25" s="71" t="str">
        <f t="shared" si="1"/>
        <v>21-2024NE000684-IBET INSTITUTO BRASILEIRO DE ESTUDOS TRIBUTARIOS</v>
      </c>
    </row>
    <row r="26" spans="2:13" ht="60" x14ac:dyDescent="0.25">
      <c r="B26" s="9">
        <v>22</v>
      </c>
      <c r="C26" s="93" t="s">
        <v>4</v>
      </c>
      <c r="D26" s="94" t="s">
        <v>514</v>
      </c>
      <c r="E26" s="95" t="s">
        <v>518</v>
      </c>
      <c r="F26" s="96" t="s">
        <v>510</v>
      </c>
      <c r="G26" s="93" t="s">
        <v>520</v>
      </c>
      <c r="H26" s="96" t="s">
        <v>521</v>
      </c>
      <c r="I26" s="94" t="s">
        <v>522</v>
      </c>
      <c r="J26" s="98">
        <v>45414</v>
      </c>
      <c r="K26" s="98">
        <v>45657</v>
      </c>
      <c r="L26" s="97">
        <v>5300</v>
      </c>
      <c r="M26" s="71" t="str">
        <f t="shared" si="1"/>
        <v>22-2024NE000711-INTEGRACAO - ESCOLA DE NEGOCIOS LTDA</v>
      </c>
    </row>
    <row r="27" spans="2:13" ht="75" x14ac:dyDescent="0.25">
      <c r="B27" s="9">
        <v>23</v>
      </c>
      <c r="C27" s="93" t="s">
        <v>4</v>
      </c>
      <c r="D27" s="94" t="s">
        <v>558</v>
      </c>
      <c r="E27" s="95" t="s">
        <v>560</v>
      </c>
      <c r="F27" s="96" t="s">
        <v>562</v>
      </c>
      <c r="G27" s="93" t="s">
        <v>602</v>
      </c>
      <c r="H27" s="96" t="s">
        <v>601</v>
      </c>
      <c r="I27" s="94" t="s">
        <v>564</v>
      </c>
      <c r="J27" s="98">
        <v>45503</v>
      </c>
      <c r="K27" s="98">
        <v>45595</v>
      </c>
      <c r="L27" s="97">
        <v>1900</v>
      </c>
      <c r="M27" s="71" t="str">
        <f t="shared" si="1"/>
        <v>23-2024NE000909-Bioseg Brasília Soluções em Segurança e Medicina do Trabalho Ltda.</v>
      </c>
    </row>
    <row r="28" spans="2:13" ht="30" x14ac:dyDescent="0.25">
      <c r="B28" s="9">
        <v>24</v>
      </c>
      <c r="C28" s="93" t="s">
        <v>4</v>
      </c>
      <c r="D28" s="94" t="s">
        <v>566</v>
      </c>
      <c r="E28" s="95" t="s">
        <v>569</v>
      </c>
      <c r="F28" s="96" t="s">
        <v>393</v>
      </c>
      <c r="G28" s="93" t="s">
        <v>571</v>
      </c>
      <c r="H28" s="96" t="s">
        <v>572</v>
      </c>
      <c r="I28" s="94" t="s">
        <v>573</v>
      </c>
      <c r="J28" s="98">
        <v>45474</v>
      </c>
      <c r="K28" s="98">
        <v>45657</v>
      </c>
      <c r="L28" s="97">
        <v>397</v>
      </c>
      <c r="M28" s="71" t="str">
        <f t="shared" si="1"/>
        <v>24-2024NE000885-PS Treinamento Profissional e Consultoria Empresarial Ltda</v>
      </c>
    </row>
    <row r="29" spans="2:13" ht="90" x14ac:dyDescent="0.25">
      <c r="B29" s="9">
        <v>25</v>
      </c>
      <c r="C29" s="93" t="s">
        <v>4</v>
      </c>
      <c r="D29" s="94" t="s">
        <v>574</v>
      </c>
      <c r="E29" s="95" t="s">
        <v>578</v>
      </c>
      <c r="F29" s="96" t="s">
        <v>580</v>
      </c>
      <c r="G29" s="93" t="s">
        <v>581</v>
      </c>
      <c r="H29" s="96" t="s">
        <v>582</v>
      </c>
      <c r="I29" s="94" t="s">
        <v>583</v>
      </c>
      <c r="J29" s="98">
        <v>45490</v>
      </c>
      <c r="K29" s="98">
        <v>45657</v>
      </c>
      <c r="L29" s="97">
        <v>59998</v>
      </c>
      <c r="M29" s="71" t="str">
        <f t="shared" si="1"/>
        <v>25-2024NE000896-ASSOCIACAO BRASILEIRA DE ENTIDADES ESTADUAIS</v>
      </c>
    </row>
    <row r="30" spans="2:13" ht="30" x14ac:dyDescent="0.25">
      <c r="B30" s="9">
        <v>26</v>
      </c>
      <c r="C30" s="93" t="s">
        <v>4</v>
      </c>
      <c r="D30" s="94" t="s">
        <v>584</v>
      </c>
      <c r="E30" s="95" t="s">
        <v>587</v>
      </c>
      <c r="F30" s="96" t="s">
        <v>510</v>
      </c>
      <c r="G30" s="93" t="s">
        <v>589</v>
      </c>
      <c r="H30" s="96" t="s">
        <v>590</v>
      </c>
      <c r="I30" s="94" t="s">
        <v>591</v>
      </c>
      <c r="J30" s="98">
        <v>45490</v>
      </c>
      <c r="K30" s="98">
        <v>45657</v>
      </c>
      <c r="L30" s="97">
        <v>13760</v>
      </c>
      <c r="M30" s="71" t="str">
        <f t="shared" si="1"/>
        <v>26-2024NE000895-ASSOCIACAO BRASILEIRA DE RECURSOS HUMANOS</v>
      </c>
    </row>
    <row r="31" spans="2:13" ht="45" x14ac:dyDescent="0.25">
      <c r="B31" s="9">
        <v>27</v>
      </c>
      <c r="C31" s="93" t="s">
        <v>4</v>
      </c>
      <c r="D31" s="94" t="s">
        <v>592</v>
      </c>
      <c r="E31" s="95" t="s">
        <v>595</v>
      </c>
      <c r="F31" s="96" t="s">
        <v>597</v>
      </c>
      <c r="G31" s="93" t="s">
        <v>598</v>
      </c>
      <c r="H31" s="96" t="s">
        <v>599</v>
      </c>
      <c r="I31" s="94" t="s">
        <v>478</v>
      </c>
      <c r="J31" s="98">
        <v>45510</v>
      </c>
      <c r="K31" s="98">
        <v>45657</v>
      </c>
      <c r="L31" s="97">
        <v>16230</v>
      </c>
      <c r="M31" s="71" t="str">
        <f t="shared" si="1"/>
        <v>27-2024NE000915-INSTITUTO BRASILEIRO DE GOVERNANCA CORPORATIVA</v>
      </c>
    </row>
    <row r="32" spans="2:13" ht="75" x14ac:dyDescent="0.25">
      <c r="B32" s="9">
        <v>28</v>
      </c>
      <c r="C32" s="93" t="s">
        <v>5</v>
      </c>
      <c r="D32" s="94" t="s">
        <v>98</v>
      </c>
      <c r="E32" s="95" t="s">
        <v>103</v>
      </c>
      <c r="F32" s="96" t="s">
        <v>373</v>
      </c>
      <c r="G32" s="93" t="s">
        <v>106</v>
      </c>
      <c r="H32" s="96" t="s">
        <v>107</v>
      </c>
      <c r="I32" s="94" t="s">
        <v>366</v>
      </c>
      <c r="J32" s="98" t="s">
        <v>104</v>
      </c>
      <c r="K32" s="98" t="s">
        <v>105</v>
      </c>
      <c r="L32" s="97">
        <v>305784.8</v>
      </c>
      <c r="M32" s="71" t="str">
        <f t="shared" si="1"/>
        <v>28-TLB-CTR-2024/00002-MICROTÉCNICA INFORMÁTICA LTDA.</v>
      </c>
    </row>
    <row r="33" spans="2:13" ht="150" x14ac:dyDescent="0.25">
      <c r="B33" s="9">
        <v>29</v>
      </c>
      <c r="C33" s="93" t="s">
        <v>5</v>
      </c>
      <c r="D33" s="94" t="s">
        <v>147</v>
      </c>
      <c r="E33" s="95" t="s">
        <v>145</v>
      </c>
      <c r="F33" s="96" t="s">
        <v>379</v>
      </c>
      <c r="G33" s="93" t="s">
        <v>144</v>
      </c>
      <c r="H33" s="96" t="s">
        <v>141</v>
      </c>
      <c r="I33" s="94" t="s">
        <v>142</v>
      </c>
      <c r="J33" s="98" t="s">
        <v>126</v>
      </c>
      <c r="K33" s="98" t="s">
        <v>127</v>
      </c>
      <c r="L33" s="97">
        <v>1484943</v>
      </c>
      <c r="M33" s="71" t="str">
        <f t="shared" si="1"/>
        <v>29-TLB-CTR-2024/00004-TRANSCOURIER LTDA</v>
      </c>
    </row>
    <row r="34" spans="2:13" ht="135" x14ac:dyDescent="0.25">
      <c r="B34" s="9">
        <v>30</v>
      </c>
      <c r="C34" s="93" t="s">
        <v>5</v>
      </c>
      <c r="D34" s="94" t="s">
        <v>265</v>
      </c>
      <c r="E34" s="95" t="s">
        <v>258</v>
      </c>
      <c r="F34" s="96" t="s">
        <v>404</v>
      </c>
      <c r="G34" s="93" t="s">
        <v>264</v>
      </c>
      <c r="H34" s="96" t="s">
        <v>262</v>
      </c>
      <c r="I34" s="94" t="s">
        <v>367</v>
      </c>
      <c r="J34" s="98" t="s">
        <v>259</v>
      </c>
      <c r="K34" s="98" t="s">
        <v>260</v>
      </c>
      <c r="L34" s="97">
        <v>2070821.3</v>
      </c>
      <c r="M34" s="71" t="str">
        <f t="shared" si="1"/>
        <v>30-TLB-CTR-2024/00006-HC COMUNICAÇÃO DE DADOS LTDA.</v>
      </c>
    </row>
    <row r="35" spans="2:13" ht="135" x14ac:dyDescent="0.25">
      <c r="B35" s="9">
        <v>31</v>
      </c>
      <c r="C35" s="93" t="s">
        <v>5</v>
      </c>
      <c r="D35" s="94" t="s">
        <v>254</v>
      </c>
      <c r="E35" s="95" t="s">
        <v>263</v>
      </c>
      <c r="F35" s="96" t="s">
        <v>404</v>
      </c>
      <c r="G35" s="93" t="s">
        <v>261</v>
      </c>
      <c r="H35" s="96" t="s">
        <v>262</v>
      </c>
      <c r="I35" s="94" t="s">
        <v>367</v>
      </c>
      <c r="J35" s="98" t="s">
        <v>259</v>
      </c>
      <c r="K35" s="98" t="s">
        <v>260</v>
      </c>
      <c r="L35" s="97">
        <v>6623405.9699999997</v>
      </c>
      <c r="M35" s="71" t="str">
        <f t="shared" si="1"/>
        <v>31-TLB-CTR-2024/00007-HC COMUNICAÇÃO DE DADOS LTDA.</v>
      </c>
    </row>
    <row r="36" spans="2:13" ht="60" x14ac:dyDescent="0.25">
      <c r="B36" s="9">
        <v>32</v>
      </c>
      <c r="C36" s="93" t="s">
        <v>5</v>
      </c>
      <c r="D36" s="94" t="s">
        <v>267</v>
      </c>
      <c r="E36" s="95" t="s">
        <v>271</v>
      </c>
      <c r="F36" s="96" t="s">
        <v>370</v>
      </c>
      <c r="G36" s="93" t="s">
        <v>273</v>
      </c>
      <c r="H36" s="96" t="s">
        <v>274</v>
      </c>
      <c r="I36" s="94" t="s">
        <v>275</v>
      </c>
      <c r="J36" s="98" t="s">
        <v>259</v>
      </c>
      <c r="K36" s="98" t="s">
        <v>272</v>
      </c>
      <c r="L36" s="97">
        <v>368396</v>
      </c>
      <c r="M36" s="71" t="str">
        <f t="shared" si="1"/>
        <v>32-TLB-CTR-2024/00010-INFOPLAN TECNOLOGIA COMÉRCIO E SERVIÇOS LTDA</v>
      </c>
    </row>
    <row r="37" spans="2:13" ht="75" x14ac:dyDescent="0.25">
      <c r="B37" s="9">
        <v>33</v>
      </c>
      <c r="C37" s="93" t="s">
        <v>5</v>
      </c>
      <c r="D37" s="94" t="s">
        <v>276</v>
      </c>
      <c r="E37" s="95" t="s">
        <v>280</v>
      </c>
      <c r="F37" s="96" t="s">
        <v>408</v>
      </c>
      <c r="G37" s="93" t="s">
        <v>281</v>
      </c>
      <c r="H37" s="96" t="s">
        <v>282</v>
      </c>
      <c r="I37" s="94" t="s">
        <v>283</v>
      </c>
      <c r="J37" s="98">
        <v>45357</v>
      </c>
      <c r="K37" s="98">
        <v>45722</v>
      </c>
      <c r="L37" s="97">
        <v>52800</v>
      </c>
      <c r="M37" s="71" t="str">
        <f t="shared" si="1"/>
        <v>33-TLB-CTR-2024/00011-SECPOWER COMERCIAL IMPORTADORA EXPORTADORA LTDA.</v>
      </c>
    </row>
    <row r="38" spans="2:13" ht="45" x14ac:dyDescent="0.25">
      <c r="B38" s="9">
        <v>34</v>
      </c>
      <c r="C38" s="93" t="s">
        <v>5</v>
      </c>
      <c r="D38" s="94" t="s">
        <v>284</v>
      </c>
      <c r="E38" s="95" t="s">
        <v>288</v>
      </c>
      <c r="F38" s="96" t="s">
        <v>409</v>
      </c>
      <c r="G38" s="93" t="s">
        <v>291</v>
      </c>
      <c r="H38" s="96" t="s">
        <v>292</v>
      </c>
      <c r="I38" s="94" t="s">
        <v>293</v>
      </c>
      <c r="J38" s="98" t="s">
        <v>289</v>
      </c>
      <c r="K38" s="98" t="s">
        <v>290</v>
      </c>
      <c r="L38" s="97">
        <v>81173</v>
      </c>
      <c r="M38" s="71" t="str">
        <f t="shared" si="1"/>
        <v>34-TLB-CTR-2024/00020-GLOBAL DISTRIBUIÇÃO DE BENS DE CONSUMO LTDA.</v>
      </c>
    </row>
    <row r="39" spans="2:13" ht="30" x14ac:dyDescent="0.25">
      <c r="B39" s="9">
        <v>35</v>
      </c>
      <c r="C39" s="93" t="s">
        <v>5</v>
      </c>
      <c r="D39" s="94" t="s">
        <v>302</v>
      </c>
      <c r="E39" s="95" t="s">
        <v>305</v>
      </c>
      <c r="F39" s="96" t="s">
        <v>414</v>
      </c>
      <c r="G39" s="93" t="s">
        <v>306</v>
      </c>
      <c r="H39" s="96" t="s">
        <v>307</v>
      </c>
      <c r="I39" s="94" t="s">
        <v>308</v>
      </c>
      <c r="J39" s="98">
        <v>45411</v>
      </c>
      <c r="K39" s="98">
        <v>47237</v>
      </c>
      <c r="L39" s="97">
        <v>648824.4</v>
      </c>
      <c r="M39" s="71" t="str">
        <f t="shared" si="1"/>
        <v>35-TLB-CTR-2024/00026-G9 FACILITIES LTDA</v>
      </c>
    </row>
    <row r="40" spans="2:13" ht="60" x14ac:dyDescent="0.25">
      <c r="B40" s="9">
        <v>36</v>
      </c>
      <c r="C40" s="93" t="s">
        <v>5</v>
      </c>
      <c r="D40" s="94" t="s">
        <v>309</v>
      </c>
      <c r="E40" s="95" t="s">
        <v>313</v>
      </c>
      <c r="F40" s="96" t="s">
        <v>415</v>
      </c>
      <c r="G40" s="93" t="s">
        <v>314</v>
      </c>
      <c r="H40" s="96" t="s">
        <v>315</v>
      </c>
      <c r="I40" s="94" t="s">
        <v>316</v>
      </c>
      <c r="J40" s="98">
        <v>45415</v>
      </c>
      <c r="K40" s="98">
        <v>47241</v>
      </c>
      <c r="L40" s="97">
        <v>414750</v>
      </c>
      <c r="M40" s="71" t="str">
        <f t="shared" si="1"/>
        <v>36-TLB-CTR-2024/00019-INSTITUTO DE PESQUISAS TECNOLOGICAS DO ESTADO DESAO PAULO S/A - IPT.</v>
      </c>
    </row>
    <row r="41" spans="2:13" ht="105" x14ac:dyDescent="0.25">
      <c r="B41" s="9">
        <v>37</v>
      </c>
      <c r="C41" s="93" t="s">
        <v>5</v>
      </c>
      <c r="D41" s="94" t="s">
        <v>340</v>
      </c>
      <c r="E41" s="95" t="s">
        <v>341</v>
      </c>
      <c r="F41" s="96" t="s">
        <v>420</v>
      </c>
      <c r="G41" s="93" t="s">
        <v>337</v>
      </c>
      <c r="H41" s="96" t="s">
        <v>338</v>
      </c>
      <c r="I41" s="94" t="s">
        <v>339</v>
      </c>
      <c r="J41" s="98">
        <v>45439</v>
      </c>
      <c r="K41" s="98">
        <v>46230</v>
      </c>
      <c r="L41" s="97">
        <v>74999.86</v>
      </c>
      <c r="M41" s="71" t="str">
        <f t="shared" si="1"/>
        <v>37-TLB-CTR-2024/00032-QUÂNTICA EMPRESA DE CONSULTORIA E SERVIÇOS LTDA</v>
      </c>
    </row>
    <row r="42" spans="2:13" ht="30" x14ac:dyDescent="0.25">
      <c r="B42" s="9">
        <v>38</v>
      </c>
      <c r="C42" s="93" t="s">
        <v>5</v>
      </c>
      <c r="D42" s="94" t="s">
        <v>361</v>
      </c>
      <c r="E42" s="95" t="s">
        <v>362</v>
      </c>
      <c r="F42" s="96" t="s">
        <v>461</v>
      </c>
      <c r="G42" s="93" t="s">
        <v>363</v>
      </c>
      <c r="H42" s="96" t="s">
        <v>364</v>
      </c>
      <c r="I42" s="94" t="s">
        <v>365</v>
      </c>
      <c r="J42" s="98">
        <v>45427</v>
      </c>
      <c r="K42" s="98">
        <v>45792</v>
      </c>
      <c r="L42" s="97">
        <v>180000</v>
      </c>
      <c r="M42" s="71" t="str">
        <f t="shared" si="1"/>
        <v>38-TLB-ARP-2024/00001-TECNO 2000 INDUSTRIA E COMERCIO LTDA</v>
      </c>
    </row>
    <row r="43" spans="2:13" ht="60" x14ac:dyDescent="0.25">
      <c r="B43" s="9">
        <v>39</v>
      </c>
      <c r="C43" s="93" t="s">
        <v>5</v>
      </c>
      <c r="D43" s="94" t="s">
        <v>479</v>
      </c>
      <c r="E43" s="95" t="s">
        <v>482</v>
      </c>
      <c r="F43" s="96" t="s">
        <v>542</v>
      </c>
      <c r="G43" s="93" t="s">
        <v>483</v>
      </c>
      <c r="H43" s="96" t="s">
        <v>485</v>
      </c>
      <c r="I43" s="94" t="s">
        <v>486</v>
      </c>
      <c r="J43" s="98">
        <v>45467</v>
      </c>
      <c r="K43" s="98">
        <v>45560</v>
      </c>
      <c r="L43" s="97">
        <v>43372.28</v>
      </c>
      <c r="M43" s="71" t="str">
        <f t="shared" si="1"/>
        <v>39-TLB-CTR-2024/00044-MEGA INFRA SOLUÇÕES EM INFRAESTRUTURA LTDA</v>
      </c>
    </row>
    <row r="44" spans="2:13" ht="210" x14ac:dyDescent="0.25">
      <c r="B44" s="9">
        <v>40</v>
      </c>
      <c r="C44" s="93" t="s">
        <v>5</v>
      </c>
      <c r="D44" s="94" t="s">
        <v>480</v>
      </c>
      <c r="E44" s="95" t="s">
        <v>488</v>
      </c>
      <c r="F44" s="96" t="s">
        <v>544</v>
      </c>
      <c r="G44" s="93" t="s">
        <v>490</v>
      </c>
      <c r="H44" s="96" t="s">
        <v>489</v>
      </c>
      <c r="I44" s="94" t="s">
        <v>486</v>
      </c>
      <c r="J44" s="98">
        <v>45468</v>
      </c>
      <c r="K44" s="98">
        <v>47295</v>
      </c>
      <c r="L44" s="97">
        <v>706981.67</v>
      </c>
      <c r="M44" s="71" t="str">
        <f t="shared" si="1"/>
        <v>40-TLB-CTR-2024/00048-EMPRESA REI DE OURO MUDANÇAS E TRANSPORTE</v>
      </c>
    </row>
    <row r="45" spans="2:13" ht="30" x14ac:dyDescent="0.25">
      <c r="B45" s="9">
        <v>41</v>
      </c>
      <c r="C45" s="93" t="s">
        <v>600</v>
      </c>
      <c r="D45" s="94" t="s">
        <v>161</v>
      </c>
      <c r="E45" s="95" t="s">
        <v>186</v>
      </c>
      <c r="F45" s="96" t="s">
        <v>384</v>
      </c>
      <c r="G45" s="93" t="s">
        <v>166</v>
      </c>
      <c r="H45" s="96" t="s">
        <v>169</v>
      </c>
      <c r="I45" s="94" t="s">
        <v>170</v>
      </c>
      <c r="J45" s="98">
        <v>45345</v>
      </c>
      <c r="K45" s="98" t="s">
        <v>617</v>
      </c>
      <c r="L45" s="97">
        <v>4838.95</v>
      </c>
      <c r="M45" s="71" t="str">
        <f t="shared" si="1"/>
        <v>41-2024NE000575-JMC PRESTACAO DE SERVICOS DIVERSOS LTDA</v>
      </c>
    </row>
    <row r="46" spans="2:13" ht="30" x14ac:dyDescent="0.25">
      <c r="B46" s="9">
        <v>42</v>
      </c>
      <c r="C46" s="93" t="s">
        <v>600</v>
      </c>
      <c r="D46" s="94" t="s">
        <v>161</v>
      </c>
      <c r="E46" s="95" t="s">
        <v>185</v>
      </c>
      <c r="F46" s="96" t="s">
        <v>384</v>
      </c>
      <c r="G46" s="93" t="s">
        <v>165</v>
      </c>
      <c r="H46" s="96" t="s">
        <v>167</v>
      </c>
      <c r="I46" s="94" t="s">
        <v>168</v>
      </c>
      <c r="J46" s="98">
        <v>45397</v>
      </c>
      <c r="K46" s="98" t="s">
        <v>617</v>
      </c>
      <c r="L46" s="97">
        <v>10495</v>
      </c>
      <c r="M46" s="71" t="str">
        <f t="shared" si="1"/>
        <v>42-2024NE000576-PIRES &amp; SANTOS COMERCIO LTDA</v>
      </c>
    </row>
    <row r="47" spans="2:13" ht="45" x14ac:dyDescent="0.25">
      <c r="B47" s="9">
        <v>43</v>
      </c>
      <c r="C47" s="93" t="s">
        <v>600</v>
      </c>
      <c r="D47" s="94" t="s">
        <v>491</v>
      </c>
      <c r="E47" s="95" t="s">
        <v>495</v>
      </c>
      <c r="F47" s="96" t="s">
        <v>497</v>
      </c>
      <c r="G47" s="93" t="s">
        <v>498</v>
      </c>
      <c r="H47" s="96" t="s">
        <v>499</v>
      </c>
      <c r="I47" s="94" t="s">
        <v>500</v>
      </c>
      <c r="J47" s="98">
        <v>45449</v>
      </c>
      <c r="K47" s="98">
        <v>45657</v>
      </c>
      <c r="L47" s="97">
        <v>11562.56</v>
      </c>
      <c r="M47" s="71" t="str">
        <f t="shared" si="1"/>
        <v>43-2024NE000831-LEGACY DISTRIBUIDORA DE INFORMATICA E ELETROELETRONICOS LTDA</v>
      </c>
    </row>
    <row r="48" spans="2:13" ht="45" x14ac:dyDescent="0.25">
      <c r="B48" s="9">
        <v>44</v>
      </c>
      <c r="C48" s="93" t="s">
        <v>600</v>
      </c>
      <c r="D48" s="94" t="s">
        <v>491</v>
      </c>
      <c r="E48" s="95" t="s">
        <v>501</v>
      </c>
      <c r="F48" s="96" t="s">
        <v>497</v>
      </c>
      <c r="G48" s="93" t="s">
        <v>498</v>
      </c>
      <c r="H48" s="96" t="s">
        <v>502</v>
      </c>
      <c r="I48" s="94" t="s">
        <v>503</v>
      </c>
      <c r="J48" s="98">
        <v>45453</v>
      </c>
      <c r="K48" s="98">
        <v>45657</v>
      </c>
      <c r="L48" s="97">
        <v>650</v>
      </c>
      <c r="M48" s="71" t="str">
        <f t="shared" si="1"/>
        <v>44-2024NE000840-CALCAM COMERCIAL DE SUPRIMENTOS DE INFORMATICA LTDA</v>
      </c>
    </row>
    <row r="49" spans="2:13" ht="30" x14ac:dyDescent="0.25">
      <c r="B49" s="9">
        <v>45</v>
      </c>
      <c r="C49" s="93" t="s">
        <v>600</v>
      </c>
      <c r="D49" s="94" t="s">
        <v>610</v>
      </c>
      <c r="E49" s="95" t="s">
        <v>609</v>
      </c>
      <c r="F49" s="96" t="s">
        <v>580</v>
      </c>
      <c r="G49" s="93" t="s">
        <v>612</v>
      </c>
      <c r="H49" s="96" t="s">
        <v>613</v>
      </c>
      <c r="I49" s="94" t="s">
        <v>614</v>
      </c>
      <c r="J49" s="98">
        <v>45435</v>
      </c>
      <c r="K49" s="98">
        <v>45657</v>
      </c>
      <c r="L49" s="97">
        <v>12150</v>
      </c>
      <c r="M49" s="71" t="str">
        <f t="shared" si="1"/>
        <v>45-2024NE000817-SUBLIMA BOLSAS LTDA</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25</vt:i4>
      </vt:variant>
    </vt:vector>
  </HeadingPairs>
  <TitlesOfParts>
    <vt:vector size="25" baseType="lpstr">
      <vt:lpstr>BASE CTR FINALIZADOS</vt:lpstr>
      <vt:lpstr>Base SAP</vt:lpstr>
      <vt:lpstr>BASE ARP FINALIZADOS</vt:lpstr>
      <vt:lpstr>CTR por ANO</vt:lpstr>
      <vt:lpstr>Din_Pub_CTR_PNCP_2026</vt:lpstr>
      <vt:lpstr>Din_Pub_CTR_SITE_2026</vt:lpstr>
      <vt:lpstr>Tab_Pub_CTR_SITE 2026</vt:lpstr>
      <vt:lpstr>Din_Pub_ARP</vt:lpstr>
      <vt:lpstr>Pub_ARP</vt:lpstr>
      <vt:lpstr>Din_Pub_CTR_obras_eng</vt:lpstr>
      <vt:lpstr>Consulta CTR ass mês</vt:lpstr>
      <vt:lpstr>Relat_Gestão GCC</vt:lpstr>
      <vt:lpstr>Índices GGE</vt:lpstr>
      <vt:lpstr>RAG 1</vt:lpstr>
      <vt:lpstr>RAG 2</vt:lpstr>
      <vt:lpstr>RAG3</vt:lpstr>
      <vt:lpstr>Pub_CTR_NE 2024</vt:lpstr>
      <vt:lpstr>Din_Pub_CTR_NE_2025 (2)</vt:lpstr>
      <vt:lpstr>Din_Pub_CTR_NE_2024</vt:lpstr>
      <vt:lpstr>Din_AQ.BENS</vt:lpstr>
      <vt:lpstr>PUB_AQ.BENS</vt:lpstr>
      <vt:lpstr>Din_Pub_geral</vt:lpstr>
      <vt:lpstr>Lista</vt:lpstr>
      <vt:lpstr>Planilha1</vt:lpstr>
      <vt:lpstr>Planilha4</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Arnaud Ferreira Diniz</dc:creator>
  <cp:lastModifiedBy>Pedro Arnaud Ferreira Diniz</cp:lastModifiedBy>
  <cp:lastPrinted>2025-02-25T14:52:11Z</cp:lastPrinted>
  <dcterms:created xsi:type="dcterms:W3CDTF">2023-02-02T18:26:47Z</dcterms:created>
  <dcterms:modified xsi:type="dcterms:W3CDTF">2026-09-29T15:24:07Z</dcterms:modified>
</cp:coreProperties>
</file>