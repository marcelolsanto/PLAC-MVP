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Z:\2600-GCC\2026\3. GESTÃO\3.20 - CONTROLES\"/>
    </mc:Choice>
  </mc:AlternateContent>
  <xr:revisionPtr revIDLastSave="0" documentId="13_ncr:1_{5CA3DDB9-5DD2-4EEE-BFEB-89ABAD911276}" xr6:coauthVersionLast="47" xr6:coauthVersionMax="47" xr10:uidLastSave="{00000000-0000-0000-0000-000000000000}"/>
  <bookViews>
    <workbookView xWindow="20370" yWindow="-120" windowWidth="25440" windowHeight="15270" tabRatio="922" xr2:uid="{00000000-000D-0000-FFFF-FFFF00000000}"/>
  </bookViews>
  <sheets>
    <sheet name="4. DISPENSA E INEXIGIBILIDADE" sheetId="1" r:id="rId1"/>
    <sheet name="ÍNDICES GGE" sheetId="9" r:id="rId2"/>
    <sheet name="Relatório de Gestão GCC" sheetId="10" r:id="rId3"/>
    <sheet name="RAG 1" sheetId="3" r:id="rId4"/>
    <sheet name="Din_Pub_OC_PNCP_2026" sheetId="6" r:id="rId5"/>
    <sheet name="Din_Pub_OC_SITE_2026" sheetId="4" r:id="rId6"/>
    <sheet name="TAB_PUB_OC_site 2026" sheetId="11" r:id="rId7"/>
    <sheet name="Pub__NE 2025" sheetId="5" state="hidden" r:id="rId8"/>
    <sheet name="Lista" sheetId="2" r:id="rId9"/>
  </sheets>
  <definedNames>
    <definedName name="_xlnm._FilterDatabase" localSheetId="0" hidden="1">'4. DISPENSA E INEXIGIBILIDADE'!$AG$3:$AI$3</definedName>
    <definedName name="_xlnm._FilterDatabase" localSheetId="7" hidden="1">'Pub__NE 2025'!$B$5:$L$34</definedName>
    <definedName name="_xlnm._FilterDatabase" localSheetId="6" hidden="1">'TAB_PUB_OC_site 2026'!$B$5:$L$18</definedName>
  </definedNames>
  <calcPr calcId="191029"/>
  <pivotCaches>
    <pivotCache cacheId="3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128" i="1" l="1"/>
  <c r="AD128" i="1" s="1"/>
  <c r="AQ128" i="1"/>
  <c r="AR128" i="1"/>
  <c r="AS128" i="1"/>
  <c r="AQ82" i="1"/>
  <c r="AR82" i="1"/>
  <c r="AS82" i="1"/>
  <c r="AQ83" i="1"/>
  <c r="AR83" i="1"/>
  <c r="AS83" i="1"/>
  <c r="AQ120" i="1" l="1"/>
  <c r="AR120" i="1"/>
  <c r="AS120" i="1"/>
  <c r="AQ121" i="1"/>
  <c r="AR121" i="1"/>
  <c r="AS121" i="1"/>
  <c r="AQ122" i="1"/>
  <c r="AR122" i="1"/>
  <c r="AS122" i="1"/>
  <c r="AQ123" i="1"/>
  <c r="AR123" i="1"/>
  <c r="AS123" i="1"/>
  <c r="AQ124" i="1"/>
  <c r="AR124" i="1"/>
  <c r="AS124" i="1"/>
  <c r="AQ125" i="1"/>
  <c r="AR125" i="1"/>
  <c r="AS125" i="1"/>
  <c r="AQ126" i="1"/>
  <c r="AR126" i="1"/>
  <c r="AS126" i="1"/>
  <c r="AQ127" i="1"/>
  <c r="AR127" i="1"/>
  <c r="AS127" i="1"/>
  <c r="AQ129" i="1"/>
  <c r="AR129" i="1"/>
  <c r="AS129" i="1"/>
  <c r="AC127" i="1"/>
  <c r="AD127" i="1" s="1"/>
  <c r="AC126" i="1"/>
  <c r="AD126" i="1" s="1"/>
  <c r="AC125" i="1"/>
  <c r="AD125" i="1" s="1"/>
  <c r="AC122" i="1"/>
  <c r="AD122" i="1" s="1"/>
  <c r="AC123" i="1"/>
  <c r="AD123" i="1" s="1"/>
  <c r="AC124" i="1"/>
  <c r="AD124" i="1" s="1"/>
  <c r="AC121" i="1"/>
  <c r="AD121" i="1" s="1"/>
  <c r="AC120" i="1"/>
  <c r="AD120" i="1" s="1"/>
  <c r="AS118" i="1"/>
  <c r="AS119" i="1"/>
  <c r="AR118" i="1"/>
  <c r="AR119" i="1"/>
  <c r="AQ118" i="1"/>
  <c r="AQ119" i="1"/>
  <c r="AQ117" i="1"/>
  <c r="AR117" i="1"/>
  <c r="AS117" i="1"/>
  <c r="AC119" i="1"/>
  <c r="AD119" i="1" s="1"/>
  <c r="AD83" i="1"/>
  <c r="AD118" i="1"/>
  <c r="AS115" i="1" l="1"/>
  <c r="AS116" i="1"/>
  <c r="AR115" i="1"/>
  <c r="AR116" i="1"/>
  <c r="AQ115" i="1"/>
  <c r="AQ116" i="1"/>
  <c r="AQ27" i="1"/>
  <c r="AS24" i="1"/>
  <c r="AS22" i="1"/>
  <c r="AR18" i="1"/>
  <c r="AD117" i="1" l="1"/>
  <c r="AD115" i="1"/>
  <c r="AD116" i="1"/>
  <c r="AD114" i="1"/>
  <c r="AQ7" i="1"/>
  <c r="AR7" i="1"/>
  <c r="AS7" i="1"/>
  <c r="AQ8" i="1"/>
  <c r="AR8" i="1"/>
  <c r="AS8" i="1"/>
  <c r="AQ9" i="1"/>
  <c r="AR9" i="1"/>
  <c r="AS9" i="1"/>
  <c r="AQ10" i="1"/>
  <c r="AR10" i="1"/>
  <c r="AS10" i="1"/>
  <c r="AQ11" i="1"/>
  <c r="AR11" i="1"/>
  <c r="AS11" i="1"/>
  <c r="AQ12" i="1"/>
  <c r="AR12" i="1"/>
  <c r="AS12" i="1"/>
  <c r="AQ13" i="1"/>
  <c r="AR13" i="1"/>
  <c r="AS13" i="1"/>
  <c r="AQ14" i="1"/>
  <c r="AR14" i="1"/>
  <c r="AS14" i="1"/>
  <c r="AQ15" i="1"/>
  <c r="AR15" i="1"/>
  <c r="AS15" i="1"/>
  <c r="AQ16" i="1"/>
  <c r="AR16" i="1"/>
  <c r="AS16" i="1"/>
  <c r="AQ17" i="1"/>
  <c r="AR17" i="1"/>
  <c r="AS17" i="1"/>
  <c r="AQ18" i="1"/>
  <c r="AS18" i="1"/>
  <c r="AQ19" i="1"/>
  <c r="AR19" i="1"/>
  <c r="AS19" i="1"/>
  <c r="AQ20" i="1"/>
  <c r="AR20" i="1"/>
  <c r="AS20" i="1"/>
  <c r="AQ21" i="1"/>
  <c r="AR21" i="1"/>
  <c r="AS21" i="1"/>
  <c r="AQ22" i="1"/>
  <c r="AR22" i="1"/>
  <c r="AQ23" i="1"/>
  <c r="AR23" i="1"/>
  <c r="AS23" i="1"/>
  <c r="AQ24" i="1"/>
  <c r="AR24" i="1"/>
  <c r="AQ25" i="1"/>
  <c r="AR25" i="1"/>
  <c r="AS25" i="1"/>
  <c r="AQ26" i="1"/>
  <c r="AR26" i="1"/>
  <c r="AS26" i="1"/>
  <c r="AR27" i="1"/>
  <c r="AS27" i="1"/>
  <c r="AQ28" i="1"/>
  <c r="AR28" i="1"/>
  <c r="AS28" i="1"/>
  <c r="AQ29" i="1"/>
  <c r="AR29" i="1"/>
  <c r="AS29" i="1"/>
  <c r="AQ30" i="1"/>
  <c r="AR30" i="1"/>
  <c r="AS30" i="1"/>
  <c r="AQ31" i="1"/>
  <c r="AR31" i="1"/>
  <c r="AS31" i="1"/>
  <c r="AQ32" i="1"/>
  <c r="AR32" i="1"/>
  <c r="AS32" i="1"/>
  <c r="AQ33" i="1"/>
  <c r="AR33" i="1"/>
  <c r="AS33" i="1"/>
  <c r="AQ34" i="1"/>
  <c r="AR34" i="1"/>
  <c r="AS34" i="1"/>
  <c r="AQ35" i="1"/>
  <c r="AR35" i="1"/>
  <c r="AS35" i="1"/>
  <c r="AQ36" i="1"/>
  <c r="AR36" i="1"/>
  <c r="AS36" i="1"/>
  <c r="AQ37" i="1"/>
  <c r="AR37" i="1"/>
  <c r="AS37" i="1"/>
  <c r="AQ38" i="1"/>
  <c r="AR38" i="1"/>
  <c r="AS38" i="1"/>
  <c r="AQ39" i="1"/>
  <c r="AR39" i="1"/>
  <c r="AS39" i="1"/>
  <c r="AQ40" i="1"/>
  <c r="AR40" i="1"/>
  <c r="AS40" i="1"/>
  <c r="AQ41" i="1"/>
  <c r="AR41" i="1"/>
  <c r="AS41" i="1"/>
  <c r="AQ42" i="1"/>
  <c r="AR42" i="1"/>
  <c r="AS42" i="1"/>
  <c r="AQ43" i="1"/>
  <c r="AR43" i="1"/>
  <c r="AS43" i="1"/>
  <c r="AQ44" i="1"/>
  <c r="AR44" i="1"/>
  <c r="AS44" i="1"/>
  <c r="AQ45" i="1"/>
  <c r="AR45" i="1"/>
  <c r="AS45" i="1"/>
  <c r="AQ46" i="1"/>
  <c r="AR46" i="1"/>
  <c r="AS46" i="1"/>
  <c r="AQ47" i="1"/>
  <c r="AR47" i="1"/>
  <c r="AS47" i="1"/>
  <c r="AQ48" i="1"/>
  <c r="AR48" i="1"/>
  <c r="AS48" i="1"/>
  <c r="AQ49" i="1"/>
  <c r="AR49" i="1"/>
  <c r="AS49" i="1"/>
  <c r="AQ50" i="1"/>
  <c r="AR50" i="1"/>
  <c r="AS50" i="1"/>
  <c r="AQ51" i="1"/>
  <c r="AR51" i="1"/>
  <c r="AS51" i="1"/>
  <c r="AQ52" i="1"/>
  <c r="AR52" i="1"/>
  <c r="AS52" i="1"/>
  <c r="AQ53" i="1"/>
  <c r="AR53" i="1"/>
  <c r="AS53" i="1"/>
  <c r="AQ54" i="1"/>
  <c r="AR54" i="1"/>
  <c r="AS54" i="1"/>
  <c r="AQ55" i="1"/>
  <c r="AR55" i="1"/>
  <c r="AS55" i="1"/>
  <c r="AQ56" i="1"/>
  <c r="AR56" i="1"/>
  <c r="AS56" i="1"/>
  <c r="AQ57" i="1"/>
  <c r="AR57" i="1"/>
  <c r="AS57" i="1"/>
  <c r="AQ58" i="1"/>
  <c r="AR58" i="1"/>
  <c r="AS58" i="1"/>
  <c r="AQ59" i="1"/>
  <c r="AR59" i="1"/>
  <c r="AS59" i="1"/>
  <c r="AQ60" i="1"/>
  <c r="AR60" i="1"/>
  <c r="AS60" i="1"/>
  <c r="AQ61" i="1"/>
  <c r="AR61" i="1"/>
  <c r="AS61" i="1"/>
  <c r="AQ62" i="1"/>
  <c r="AR62" i="1"/>
  <c r="AS62" i="1"/>
  <c r="AQ63" i="1"/>
  <c r="AR63" i="1"/>
  <c r="AS63" i="1"/>
  <c r="AQ64" i="1"/>
  <c r="AR64" i="1"/>
  <c r="AS64" i="1"/>
  <c r="AQ65" i="1"/>
  <c r="AR65" i="1"/>
  <c r="AS65" i="1"/>
  <c r="AQ66" i="1"/>
  <c r="AR66" i="1"/>
  <c r="AS66" i="1"/>
  <c r="AQ67" i="1"/>
  <c r="AR67" i="1"/>
  <c r="AS67" i="1"/>
  <c r="AQ68" i="1"/>
  <c r="AR68" i="1"/>
  <c r="AS68" i="1"/>
  <c r="AQ69" i="1"/>
  <c r="AR69" i="1"/>
  <c r="AS69" i="1"/>
  <c r="AQ70" i="1"/>
  <c r="AR70" i="1"/>
  <c r="AS70" i="1"/>
  <c r="AQ71" i="1"/>
  <c r="AR71" i="1"/>
  <c r="AS71" i="1"/>
  <c r="AQ72" i="1"/>
  <c r="AR72" i="1"/>
  <c r="AS72" i="1"/>
  <c r="AQ73" i="1"/>
  <c r="AR73" i="1"/>
  <c r="AS73" i="1"/>
  <c r="AQ74" i="1"/>
  <c r="AR74" i="1"/>
  <c r="AS74" i="1"/>
  <c r="AQ75" i="1"/>
  <c r="AR75" i="1"/>
  <c r="AS75" i="1"/>
  <c r="AQ76" i="1"/>
  <c r="AR76" i="1"/>
  <c r="AS76" i="1"/>
  <c r="AQ77" i="1"/>
  <c r="AR77" i="1"/>
  <c r="AS77" i="1"/>
  <c r="AQ78" i="1"/>
  <c r="AR78" i="1"/>
  <c r="AS78" i="1"/>
  <c r="AQ79" i="1"/>
  <c r="AR79" i="1"/>
  <c r="AS79" i="1"/>
  <c r="AQ80" i="1"/>
  <c r="AR80" i="1"/>
  <c r="AS80" i="1"/>
  <c r="AQ81" i="1"/>
  <c r="AR81" i="1"/>
  <c r="AS81" i="1"/>
  <c r="AQ84" i="1"/>
  <c r="AR84" i="1"/>
  <c r="AS84" i="1"/>
  <c r="AQ85" i="1"/>
  <c r="AR85" i="1"/>
  <c r="AS85" i="1"/>
  <c r="AQ86" i="1"/>
  <c r="AR86" i="1"/>
  <c r="AS86" i="1"/>
  <c r="AQ87" i="1"/>
  <c r="AR87" i="1"/>
  <c r="AS87" i="1"/>
  <c r="AQ88" i="1"/>
  <c r="AR88" i="1"/>
  <c r="AS88" i="1"/>
  <c r="AQ89" i="1"/>
  <c r="AR89" i="1"/>
  <c r="AS89" i="1"/>
  <c r="AQ90" i="1"/>
  <c r="AR90" i="1"/>
  <c r="AS90" i="1"/>
  <c r="AQ91" i="1"/>
  <c r="AR91" i="1"/>
  <c r="AS91" i="1"/>
  <c r="AQ92" i="1"/>
  <c r="AR92" i="1"/>
  <c r="AS92" i="1"/>
  <c r="AQ93" i="1"/>
  <c r="AR93" i="1"/>
  <c r="AS93" i="1"/>
  <c r="AQ94" i="1"/>
  <c r="AR94" i="1"/>
  <c r="AS94" i="1"/>
  <c r="AQ95" i="1"/>
  <c r="AR95" i="1"/>
  <c r="AS95" i="1"/>
  <c r="AQ96" i="1"/>
  <c r="AR96" i="1"/>
  <c r="AS96" i="1"/>
  <c r="AQ97" i="1"/>
  <c r="AR97" i="1"/>
  <c r="AS97" i="1"/>
  <c r="AQ98" i="1"/>
  <c r="AR98" i="1"/>
  <c r="AS98" i="1"/>
  <c r="AQ99" i="1"/>
  <c r="AR99" i="1"/>
  <c r="AS99" i="1"/>
  <c r="AQ100" i="1"/>
  <c r="AR100" i="1"/>
  <c r="AS100" i="1"/>
  <c r="AQ101" i="1"/>
  <c r="AR101" i="1"/>
  <c r="AS101" i="1"/>
  <c r="AQ102" i="1"/>
  <c r="AR102" i="1"/>
  <c r="AS102" i="1"/>
  <c r="AQ103" i="1"/>
  <c r="AR103" i="1"/>
  <c r="AS103" i="1"/>
  <c r="AQ104" i="1"/>
  <c r="AR104" i="1"/>
  <c r="AS104" i="1"/>
  <c r="AQ105" i="1"/>
  <c r="AR105" i="1"/>
  <c r="AS105" i="1"/>
  <c r="AQ106" i="1"/>
  <c r="AR106" i="1"/>
  <c r="AS106" i="1"/>
  <c r="AQ107" i="1"/>
  <c r="AR107" i="1"/>
  <c r="AS107" i="1"/>
  <c r="AQ108" i="1"/>
  <c r="AR108" i="1"/>
  <c r="AS108" i="1"/>
  <c r="AQ109" i="1"/>
  <c r="AR109" i="1"/>
  <c r="AS109" i="1"/>
  <c r="AQ110" i="1"/>
  <c r="AR110" i="1"/>
  <c r="AS110" i="1"/>
  <c r="AQ111" i="1"/>
  <c r="AR111" i="1"/>
  <c r="AS111" i="1"/>
  <c r="AQ112" i="1"/>
  <c r="AR112" i="1"/>
  <c r="AS112" i="1"/>
  <c r="AQ113" i="1"/>
  <c r="AR113" i="1"/>
  <c r="AS113" i="1"/>
  <c r="AQ114" i="1"/>
  <c r="AR114" i="1"/>
  <c r="AS114" i="1"/>
  <c r="AQ6" i="1"/>
  <c r="AR6" i="1"/>
  <c r="AS6" i="1"/>
  <c r="AS5" i="1"/>
  <c r="AR5" i="1"/>
  <c r="AQ5" i="1"/>
  <c r="AD113" i="1"/>
  <c r="AD112" i="1"/>
  <c r="AC111" i="1"/>
  <c r="AD111" i="1" s="1"/>
  <c r="AC110" i="1"/>
  <c r="AD110" i="1" s="1"/>
  <c r="AD109" i="1"/>
  <c r="AD108" i="1"/>
  <c r="M11" i="11"/>
  <c r="M12" i="11"/>
  <c r="M13" i="11"/>
  <c r="M14" i="11"/>
  <c r="M15" i="11"/>
  <c r="M16" i="11"/>
  <c r="M17" i="11"/>
  <c r="M18" i="11"/>
  <c r="AD107" i="1"/>
  <c r="AD106" i="1"/>
  <c r="L19" i="11"/>
  <c r="D19" i="11"/>
  <c r="M10" i="11"/>
  <c r="M9" i="11"/>
  <c r="M8" i="11"/>
  <c r="M7" i="11"/>
  <c r="M6" i="11"/>
  <c r="AD105" i="1"/>
  <c r="AD104" i="1"/>
  <c r="AD103" i="1"/>
  <c r="AD102" i="1"/>
  <c r="AD101" i="1"/>
  <c r="AD100" i="1"/>
  <c r="AD99" i="1"/>
  <c r="M34" i="5"/>
  <c r="AD96" i="1"/>
  <c r="AD97" i="1" l="1"/>
  <c r="AD95" i="1"/>
  <c r="M32" i="5"/>
  <c r="M33" i="5"/>
  <c r="AD86" i="1"/>
  <c r="AD87" i="1"/>
  <c r="AD88" i="1"/>
  <c r="AD98" i="1"/>
  <c r="AD94" i="1"/>
  <c r="AD92" i="1"/>
  <c r="AD93" i="1"/>
  <c r="AD91" i="1"/>
  <c r="AD90" i="1"/>
  <c r="M28" i="5"/>
  <c r="M29" i="5"/>
  <c r="M30" i="5"/>
  <c r="M31" i="5"/>
  <c r="AD89" i="1" l="1"/>
  <c r="AD85" i="1"/>
  <c r="AD84" i="1"/>
  <c r="M22" i="5"/>
  <c r="M23" i="5"/>
  <c r="M24" i="5"/>
  <c r="M25" i="5"/>
  <c r="M26" i="5"/>
  <c r="M27" i="5"/>
  <c r="AD82" i="1"/>
  <c r="AD81" i="1"/>
  <c r="AD80" i="1"/>
  <c r="AD79" i="1"/>
  <c r="AD76" i="1"/>
  <c r="AD77" i="1"/>
  <c r="AD75" i="1"/>
  <c r="AD74" i="1"/>
  <c r="AD73" i="1"/>
  <c r="M19" i="5"/>
  <c r="M20" i="5"/>
  <c r="M21" i="5"/>
  <c r="AD72" i="1"/>
  <c r="AD71" i="1" l="1"/>
  <c r="AD70" i="1" l="1"/>
  <c r="AD69" i="1" l="1"/>
  <c r="D35" i="5" l="1"/>
  <c r="M16" i="5"/>
  <c r="M17" i="5"/>
  <c r="M18" i="5"/>
  <c r="AD78" i="1" l="1"/>
  <c r="AD67" i="1" l="1"/>
  <c r="AD66" i="1" l="1"/>
  <c r="M7" i="5" l="1"/>
  <c r="M8" i="5"/>
  <c r="M9" i="5"/>
  <c r="M10" i="5"/>
  <c r="M11" i="5"/>
  <c r="M12" i="5"/>
  <c r="M13" i="5"/>
  <c r="M14" i="5"/>
  <c r="M15" i="5"/>
  <c r="M6" i="5"/>
  <c r="AD65" i="1" l="1"/>
  <c r="AD60" i="1" l="1"/>
  <c r="AD55" i="1" l="1"/>
  <c r="AC51" i="1" l="1"/>
  <c r="AC50" i="1"/>
  <c r="AC63" i="1"/>
  <c r="AD63" i="1" s="1"/>
  <c r="AD64" i="1"/>
  <c r="AD68" i="1"/>
  <c r="AC62" i="1" l="1"/>
  <c r="AD62" i="1" s="1"/>
  <c r="AD56" i="1" l="1"/>
  <c r="AD57" i="1"/>
  <c r="AD58" i="1"/>
  <c r="L35" i="5" l="1"/>
  <c r="AD59" i="1" l="1"/>
  <c r="AD61" i="1" l="1"/>
  <c r="AC54" i="1"/>
  <c r="AD54" i="1" s="1"/>
  <c r="AD52" i="1"/>
  <c r="AD53" i="1"/>
  <c r="AD51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35" i="1"/>
  <c r="AD34" i="1"/>
  <c r="AD33" i="1"/>
  <c r="AD32" i="1"/>
  <c r="AD31" i="1"/>
  <c r="AD30" i="1"/>
  <c r="AD28" i="1"/>
  <c r="AD29" i="1"/>
  <c r="AD27" i="1"/>
  <c r="AD24" i="1"/>
  <c r="AD25" i="1"/>
  <c r="AD26" i="1"/>
  <c r="AD23" i="1"/>
  <c r="AD22" i="1"/>
  <c r="AD21" i="1"/>
  <c r="AD18" i="1"/>
  <c r="AD19" i="1"/>
  <c r="AD20" i="1"/>
  <c r="AD16" i="1"/>
  <c r="AD17" i="1"/>
  <c r="AD14" i="1"/>
  <c r="AD15" i="1"/>
  <c r="AD13" i="1"/>
  <c r="AD9" i="1"/>
  <c r="AD10" i="1"/>
  <c r="AD11" i="1"/>
  <c r="AD12" i="1"/>
  <c r="AC8" i="1"/>
  <c r="AD8" i="1" s="1"/>
  <c r="AD7" i="1"/>
  <c r="AD6" i="1"/>
  <c r="AD5" i="1"/>
</calcChain>
</file>

<file path=xl/sharedStrings.xml><?xml version="1.0" encoding="utf-8"?>
<sst xmlns="http://schemas.openxmlformats.org/spreadsheetml/2006/main" count="3875" uniqueCount="1356">
  <si>
    <t>Nº PROCESSO SIGA</t>
  </si>
  <si>
    <t>STATUS</t>
  </si>
  <si>
    <t>MODALIDADE</t>
  </si>
  <si>
    <t>MODALIDADE DE LICITAÇÃO</t>
  </si>
  <si>
    <t>INEXIGIBILIDADE</t>
  </si>
  <si>
    <t>DATA RECEBIDO</t>
  </si>
  <si>
    <t>OBJETO</t>
  </si>
  <si>
    <t>FORNECEDOR</t>
  </si>
  <si>
    <t>INÍCIO VIGÊNCIA</t>
  </si>
  <si>
    <t>VALOR CONTRATO</t>
  </si>
  <si>
    <t xml:space="preserve">Nº DEG </t>
  </si>
  <si>
    <t>RESPONSÁVEL GCC</t>
  </si>
  <si>
    <t>Nº CTR SAP</t>
  </si>
  <si>
    <t>SIGILO</t>
  </si>
  <si>
    <t xml:space="preserve">SIGILOSO </t>
  </si>
  <si>
    <t>PÚBLICO</t>
  </si>
  <si>
    <t>STATUS GESTÃO</t>
  </si>
  <si>
    <t>VIGENTE</t>
  </si>
  <si>
    <t>VENCIDO</t>
  </si>
  <si>
    <t>DATA ASSINATURA</t>
  </si>
  <si>
    <t>TIPO DO OBJETO</t>
  </si>
  <si>
    <t>NATUEZA DO OBJETO</t>
  </si>
  <si>
    <t>Cessão</t>
  </si>
  <si>
    <t>Compras</t>
  </si>
  <si>
    <t>Informática (TIC)</t>
  </si>
  <si>
    <t>Locação de Imóveis</t>
  </si>
  <si>
    <t>Mão de Obra</t>
  </si>
  <si>
    <t>Obras</t>
  </si>
  <si>
    <t>Serviços</t>
  </si>
  <si>
    <t xml:space="preserve">Serviço </t>
  </si>
  <si>
    <t xml:space="preserve">Material </t>
  </si>
  <si>
    <t>Bens</t>
  </si>
  <si>
    <t>Bens e serviços</t>
  </si>
  <si>
    <t>DIRETORIA</t>
  </si>
  <si>
    <t>RESPONSÁVEL</t>
  </si>
  <si>
    <t>Nº CTR assinado</t>
  </si>
  <si>
    <t>FERIADOS 2024</t>
  </si>
  <si>
    <t>segunda-feira</t>
  </si>
  <si>
    <t>terça-feira</t>
  </si>
  <si>
    <t>sexta-feira</t>
  </si>
  <si>
    <t>domingo</t>
  </si>
  <si>
    <t>quarta-feira</t>
  </si>
  <si>
    <t>quinta-feira</t>
  </si>
  <si>
    <t>sábado</t>
  </si>
  <si>
    <t>1000-PRES</t>
  </si>
  <si>
    <t>2000-DAFRI</t>
  </si>
  <si>
    <t>3000-DTO</t>
  </si>
  <si>
    <t>4000-DC</t>
  </si>
  <si>
    <t>5000-DG</t>
  </si>
  <si>
    <t>NOTA DE EMPENHO</t>
  </si>
  <si>
    <t>Nº RC SAP</t>
  </si>
  <si>
    <t>DIAS ÚTEIS</t>
  </si>
  <si>
    <t>N/A</t>
  </si>
  <si>
    <t>FINALIZADO</t>
  </si>
  <si>
    <t>GESTÃO DE COMPRAS: DISPENSA E INEXIGIBILIDADE</t>
  </si>
  <si>
    <t>ROSILDA</t>
  </si>
  <si>
    <t>FRANCIELE</t>
  </si>
  <si>
    <t>LUCIANA</t>
  </si>
  <si>
    <t>OBSERVAÇÃO</t>
  </si>
  <si>
    <t>GLOG</t>
  </si>
  <si>
    <t>TLB-PRO-2024/05723</t>
  </si>
  <si>
    <t>MARCIA GONCALVES FARIA ROSA</t>
  </si>
  <si>
    <t>CNPJ/CPF</t>
  </si>
  <si>
    <t>16.454.959/0001-37</t>
  </si>
  <si>
    <t>2024NE001059</t>
  </si>
  <si>
    <t>-</t>
  </si>
  <si>
    <t>LAYLLAH</t>
  </si>
  <si>
    <t>NATUREZA DO CONTRATO</t>
  </si>
  <si>
    <t>ADMINISTRATIVO</t>
  </si>
  <si>
    <t xml:space="preserve">LOCAÇÃO </t>
  </si>
  <si>
    <t>COMPARTILHAMENTO</t>
  </si>
  <si>
    <t xml:space="preserve">ENERGIA </t>
  </si>
  <si>
    <t>AFASTAMENTO</t>
  </si>
  <si>
    <t>inserir controles de saldos ND</t>
  </si>
  <si>
    <t>RESPONSÁVEL GESTÃO</t>
  </si>
  <si>
    <t>PEDRO LAGOS</t>
  </si>
  <si>
    <t>DANIEL PENALVA</t>
  </si>
  <si>
    <t>TLB-PRO-2024/04811</t>
  </si>
  <si>
    <t>GPR -ASCOM</t>
  </si>
  <si>
    <t>Aquisição de drone</t>
  </si>
  <si>
    <t>NW SHOP COMÉRCIO LTDA</t>
  </si>
  <si>
    <t>30.282.962/0001-41</t>
  </si>
  <si>
    <t>2024NE001121</t>
  </si>
  <si>
    <t>TLB-ASS-2024/17078</t>
  </si>
  <si>
    <t>TLB-DEG-2024/00137</t>
  </si>
  <si>
    <t>Érico Luís Cortes Cazarré</t>
  </si>
  <si>
    <t>TLB-PRO-2024/03879</t>
  </si>
  <si>
    <t>GORS</t>
  </si>
  <si>
    <t>Contratação de serviços de reparo e higienização das cadeiras de escritório do CIGR</t>
  </si>
  <si>
    <t>GS SERVICOS LTDA</t>
  </si>
  <si>
    <t>34.292.339/0001-20</t>
  </si>
  <si>
    <t>2024NE001102</t>
  </si>
  <si>
    <t>TLB-ASS-2024/17013</t>
  </si>
  <si>
    <t>TLB-DEG-2024/00148</t>
  </si>
  <si>
    <t>Eder Viana Silva</t>
  </si>
  <si>
    <t>TLB-PRO-2024/06305</t>
  </si>
  <si>
    <t>GERP</t>
  </si>
  <si>
    <t>Teracom Telemática S.A</t>
  </si>
  <si>
    <t>02.820.966/0001-09</t>
  </si>
  <si>
    <t>2024NE001125</t>
  </si>
  <si>
    <t>TLB-ASS-2024/17112</t>
  </si>
  <si>
    <t>TLB-DEG-2024/00149</t>
  </si>
  <si>
    <t>MIRELE DE ALMEIDA MENCARI</t>
  </si>
  <si>
    <t>TLB-PRO-2024/00927</t>
  </si>
  <si>
    <t>Palestrante moderador para o Evento "Telebras Day"</t>
  </si>
  <si>
    <t>TLB-PRO-2024/00201</t>
  </si>
  <si>
    <t>Conferência Satellite 2024</t>
  </si>
  <si>
    <t>Compra de placas, transceivers e cabos compatíveis com os equipamentos DATACOM para a realização de upgrade do Switch DATACOM 4004 instalado na localidade de Presidente Dutra/MA para atendimento da demanda da Infovia do Maranhão.</t>
  </si>
  <si>
    <t>TLB-PRO-2024/00613</t>
  </si>
  <si>
    <t>TLB-PRO-2024/01201</t>
  </si>
  <si>
    <t>TLB-PRO-2024/00922</t>
  </si>
  <si>
    <t>TLB-PRO-2024/01130</t>
  </si>
  <si>
    <t>TLB-PRO-2024/00728</t>
  </si>
  <si>
    <t>TLB-PRO-2024/01473</t>
  </si>
  <si>
    <t>TLB-PRO-2024/01475</t>
  </si>
  <si>
    <t>TLB-PRO-2024/01308</t>
  </si>
  <si>
    <t>TLB-PRO-2024/02102</t>
  </si>
  <si>
    <t>TLB-PRO-2024/01992</t>
  </si>
  <si>
    <t>TLB-PRO-2024/02662</t>
  </si>
  <si>
    <t>TLB-PRO-2024/03371</t>
  </si>
  <si>
    <t>TLB-PRO-2024/01102</t>
  </si>
  <si>
    <t>TLB-PRO-2024/02467</t>
  </si>
  <si>
    <t>TLB-PRO-2024/03684</t>
  </si>
  <si>
    <t>TLB-PRO-2024/03973</t>
  </si>
  <si>
    <t>TLB-PRO-2024/02951</t>
  </si>
  <si>
    <t>TLB-PRO-2024/02910</t>
  </si>
  <si>
    <t>TLB-PRO-2024/04037</t>
  </si>
  <si>
    <t>TLB-PRO-2024/04040</t>
  </si>
  <si>
    <t>TLB-PRO-2024/04850</t>
  </si>
  <si>
    <t>TLB-PRO-2024/05179</t>
  </si>
  <si>
    <t>TLB-PRO-2024/04517</t>
  </si>
  <si>
    <t>TLB-PRO-2024/05477</t>
  </si>
  <si>
    <t>TLB-PRO-2024/06064</t>
  </si>
  <si>
    <t>TLB-PRO-2024/06102</t>
  </si>
  <si>
    <t>TLB-PRO-2024/06203</t>
  </si>
  <si>
    <t>TLB-PRO-2024/06226</t>
  </si>
  <si>
    <t>TLB-PRO-2024/06217</t>
  </si>
  <si>
    <t>TLB-PRO-2024/06221</t>
  </si>
  <si>
    <t>TLB-PRO-2024/06280</t>
  </si>
  <si>
    <t>TLB-PRO-2024/06285</t>
  </si>
  <si>
    <t>TLB-PRO-2024/06308</t>
  </si>
  <si>
    <t>TLB-PRO-2024/06369</t>
  </si>
  <si>
    <t>TLB-PRO-2024/06355</t>
  </si>
  <si>
    <t>TLB-PRO-2024/06358</t>
  </si>
  <si>
    <t>TLB-PRO-2024/06390</t>
  </si>
  <si>
    <t>TLB-PRO-2024/06363</t>
  </si>
  <si>
    <t>TLB-PRO-2024/06341</t>
  </si>
  <si>
    <t>TLB-PRO-2024/06558</t>
  </si>
  <si>
    <t>Filiação da Telebras à Fundação Nacional da Qualidade – FNQ</t>
  </si>
  <si>
    <t>Zênite Fácil - Estatais - Assinatura anual</t>
  </si>
  <si>
    <t>Participação da Telebras no Simpósio Internacional Especializado em Dinâmica de Vôo Espacial - International Symposium on Space Flight Dynamics (ISSFD).</t>
  </si>
  <si>
    <t>Associação da Telebras ao Instituto Brasileiro de Governança Corporativa - IBGC</t>
  </si>
  <si>
    <t>Consultoria para Evolução da Gestão do Conhecimento</t>
  </si>
  <si>
    <t>Curso de ICMS - Teoria e Prática</t>
  </si>
  <si>
    <t>Contratação da capacitação "Formação em PIS e Cofins"</t>
  </si>
  <si>
    <t>Participação no 11º Congresso Internacional de Compliance</t>
  </si>
  <si>
    <t>Incluir a Telebras como associada da ABRINT - Associação Brasileira de Provedores de Internet sob o título de parceira- fornecedora.</t>
  </si>
  <si>
    <t>Curso T&amp;D</t>
  </si>
  <si>
    <t>Contratação da participação no evento "11º Congresso Internacional de Compliance"</t>
  </si>
  <si>
    <t>Contratação da participação no evento "GDI Connect 2024 DF"</t>
  </si>
  <si>
    <t xml:space="preserve"> Associação da Telebras à Space Data Association – DAS</t>
  </si>
  <si>
    <t>Contratação de empresa especializada para a prestação de serviço de treinamento de Prevenção de Acidentes do Trabalho e de Assédio, para 10 (dez) membros da Comissão interna de Prevenção de Acidentes e de Assédio (CIPA) - Gestão 2024/2025</t>
  </si>
  <si>
    <t xml:space="preserve">Contratação da capacitação "AUDI 2 EOP" e associação ao Instituto dos Auditores Internos do Brasil  </t>
  </si>
  <si>
    <t>Associação/Filiação da Telebras à Sociedade Brasileira de Gestão do Conhecimento - SBGC.</t>
  </si>
  <si>
    <t>Curso Governance Officer oferecido pelo Instituto Brasileiro de Governança</t>
  </si>
  <si>
    <t>Capacitação Controladoria</t>
  </si>
  <si>
    <t>25º Congresso IBGC - Cultura de Governança e os Desafios do Brasil</t>
  </si>
  <si>
    <t>Capacitação NRs 06, 10, 12, 20 e 35</t>
  </si>
  <si>
    <t>Contratação da ferramenta de pesquisa e comparação de preços praticados pela administração pública, denominada Banco de Preços</t>
  </si>
  <si>
    <t>Capacitação Credenciamento</t>
  </si>
  <si>
    <t>Curso Treinamento Executivo Risk University</t>
  </si>
  <si>
    <t>Curso Governança Corporativa para Empresas Estatais</t>
  </si>
  <si>
    <t>Treinamento na Trilha: Tecnologia celular 4G – LTE</t>
  </si>
  <si>
    <t>Formação de Facilitadores em Modelagem da Cultura Organizacional</t>
  </si>
  <si>
    <t>Capacitação Técnica em Comunicação e Produção de Conteúdo para Gestão do Conhecimento.</t>
  </si>
  <si>
    <t>Desenvolvimento de Talentos e Gestão de Carreiras</t>
  </si>
  <si>
    <t>Curso de COBIT®️ 2019 Foundation para profissionais lotados na GTI</t>
  </si>
  <si>
    <t>Curso básico de DevOps, identificado como DevOps Fundamentos, na TRAINNING Education Center para os colaboradores da GTI</t>
  </si>
  <si>
    <t>Curso/Treinamento: Relações com Investidores na prática: Completo</t>
  </si>
  <si>
    <t>Capacitação GID Análise de dados</t>
  </si>
  <si>
    <t>Capacitação em modelagem de dados e Automação</t>
  </si>
  <si>
    <t>Treinamento Executivo - Risk University Imersão</t>
  </si>
  <si>
    <t>Treinamento: Habilidades de T&amp;D</t>
  </si>
  <si>
    <t>Treinamento e Certificação CISSP - Certified Information Systems Security Professional</t>
  </si>
  <si>
    <t>Contratação de empresa especializada para fornecimento de suporte e garantia de switches Dell.</t>
  </si>
  <si>
    <t>GGP</t>
  </si>
  <si>
    <t>TLB-DEG-2024/00016</t>
  </si>
  <si>
    <t xml:space="preserve">ADRYANA RAMOS DE OLIVEIRA </t>
  </si>
  <si>
    <t>2024NE000601</t>
  </si>
  <si>
    <t>DATA 
FINALIZADO</t>
  </si>
  <si>
    <t>TLB-DEG-2024/00013</t>
  </si>
  <si>
    <t>2024NE000566</t>
  </si>
  <si>
    <t>TLB-DEG-2024/00098</t>
  </si>
  <si>
    <t>JANINE OLIVEIRA</t>
  </si>
  <si>
    <t>2024NE000891</t>
  </si>
  <si>
    <t>GIRC</t>
  </si>
  <si>
    <t>GCC</t>
  </si>
  <si>
    <t>TLB-DEG-2024/00027</t>
  </si>
  <si>
    <t>GENARA LOPES BÜHLER</t>
  </si>
  <si>
    <t>2024NE000632</t>
  </si>
  <si>
    <t>TLB-DEG-2024/00025</t>
  </si>
  <si>
    <t>MÁRCIA MANUELA MEDRADO NUNES</t>
  </si>
  <si>
    <t>GEOS</t>
  </si>
  <si>
    <t>2024NE000628</t>
  </si>
  <si>
    <t>TLB-DEG-2024/00070</t>
  </si>
  <si>
    <t>ANTÔNIO CELSON DE JESUS NERIS</t>
  </si>
  <si>
    <t>TLB-CTR-2024/00045</t>
  </si>
  <si>
    <t>2024NE000824</t>
  </si>
  <si>
    <t>GD</t>
  </si>
  <si>
    <t>TLB-DEG-2024/00044</t>
  </si>
  <si>
    <t>ADRYANA RAMOS DE OLIVEIRA</t>
  </si>
  <si>
    <t>2024NE000684</t>
  </si>
  <si>
    <t>TLB-DEG-2024/00031</t>
  </si>
  <si>
    <t>GLAHICON ROGERIO GREGORIO</t>
  </si>
  <si>
    <t>GCONT</t>
  </si>
  <si>
    <t>2024NE000653</t>
  </si>
  <si>
    <t>CAPACITAÇÃO</t>
  </si>
  <si>
    <t>TLB-DEG-2024/00046</t>
  </si>
  <si>
    <t>ÉRIKA NEVES OLIVEIRA</t>
  </si>
  <si>
    <t>2024NE000693</t>
  </si>
  <si>
    <t>TLB-DEG-2024/00059</t>
  </si>
  <si>
    <t>GPM</t>
  </si>
  <si>
    <t>MARIANA RODRIGUES BOAVISTA LEITE</t>
  </si>
  <si>
    <t>2024NE000820</t>
  </si>
  <si>
    <t>TLB-DEG-2024/00051</t>
  </si>
  <si>
    <t>2024NE000711</t>
  </si>
  <si>
    <t>TLB-DEG-2024/00057</t>
  </si>
  <si>
    <t>2024NE000822</t>
  </si>
  <si>
    <t>TLB-DEG-2024/00075</t>
  </si>
  <si>
    <t>VICTOR COELHO ASSUNÇÃO CARNEIRO</t>
  </si>
  <si>
    <t>2024NE000885</t>
  </si>
  <si>
    <t>TLB-DEG-2024/00105</t>
  </si>
  <si>
    <t>2024NE000940</t>
  </si>
  <si>
    <t>TLB-DEG-2024/00080</t>
  </si>
  <si>
    <t>TLB-CTR-2024/00056</t>
  </si>
  <si>
    <t>CIPA</t>
  </si>
  <si>
    <t>TLB-DEG-2024/00085</t>
  </si>
  <si>
    <t>ROSILDA FERREIRA DA CUNHA</t>
  </si>
  <si>
    <t>2024NE000909</t>
  </si>
  <si>
    <t>TLB-DEG-2024/00093</t>
  </si>
  <si>
    <t>2024NE000920</t>
  </si>
  <si>
    <t>TLB-DEG-2024/00082</t>
  </si>
  <si>
    <t>2024NE000895</t>
  </si>
  <si>
    <t>TLB-DEG-2024/00110</t>
  </si>
  <si>
    <t>CAMILA DANIELA LIMA DE SOUZA GOMES</t>
  </si>
  <si>
    <t>TLB-ASS-2024/13480</t>
  </si>
  <si>
    <t>TLB-DEG-2024/00088</t>
  </si>
  <si>
    <t>ALLYNE CUNHA DE OLIVEIRA</t>
  </si>
  <si>
    <t>2024NE000915</t>
  </si>
  <si>
    <t>TLB-DEG-2024/00106</t>
  </si>
  <si>
    <t>HUGO PORTIERI PIGNATTI</t>
  </si>
  <si>
    <t>2024NE000946</t>
  </si>
  <si>
    <t>TLB-DEG-2024/00117</t>
  </si>
  <si>
    <t>2024NE000971</t>
  </si>
  <si>
    <t>TLB-DEG-2024/00116</t>
  </si>
  <si>
    <t>2024NE000972</t>
  </si>
  <si>
    <t>TLB-DEG-2024/00118</t>
  </si>
  <si>
    <t>2024NE000985</t>
  </si>
  <si>
    <t>2024NE001046</t>
  </si>
  <si>
    <t>TLB-DEG-2024/00125</t>
  </si>
  <si>
    <t>ROSILDA ABREU DA SILVA</t>
  </si>
  <si>
    <t>TLB-DEG-2024/00129</t>
  </si>
  <si>
    <t>2024NE001078</t>
  </si>
  <si>
    <t>2024NE001079</t>
  </si>
  <si>
    <t>PROCESSO CANCELADO E INSTAURADO NOVO</t>
  </si>
  <si>
    <t>TLB-DEG-2024/00130</t>
  </si>
  <si>
    <t>2024NE001081</t>
  </si>
  <si>
    <t>TLB-DEG-2024/00134</t>
  </si>
  <si>
    <t>2024NE001084</t>
  </si>
  <si>
    <t>TLB-DEG-2024/00135</t>
  </si>
  <si>
    <t>MADALENE MENEZES VERTELO</t>
  </si>
  <si>
    <t>2024NE001085</t>
  </si>
  <si>
    <t>TLB-DEG-2024/00136</t>
  </si>
  <si>
    <t>2024NE001082</t>
  </si>
  <si>
    <t>TLB-DEG-2024/00138</t>
  </si>
  <si>
    <t>2024NE001088</t>
  </si>
  <si>
    <t>TLB-DEG-2024/00145</t>
  </si>
  <si>
    <t>2024NE001105</t>
  </si>
  <si>
    <t>TLB-DEG-2024/00139</t>
  </si>
  <si>
    <t>2024NE001098</t>
  </si>
  <si>
    <t>TLB-DEG-2024/00140</t>
  </si>
  <si>
    <t>2024NE001103</t>
  </si>
  <si>
    <t>TLB-DEG-2024/00142</t>
  </si>
  <si>
    <t>2024NE001108</t>
  </si>
  <si>
    <t>TLB-DEG-2024/00143</t>
  </si>
  <si>
    <t>2024NE001104</t>
  </si>
  <si>
    <t>TLB-DEG-2024/00144</t>
  </si>
  <si>
    <t>2024NE001110</t>
  </si>
  <si>
    <t>TLB-DEG-2024/00147</t>
  </si>
  <si>
    <t>2024NE001109</t>
  </si>
  <si>
    <t>TLB-DEG-2024/00150</t>
  </si>
  <si>
    <t>2024NE001137</t>
  </si>
  <si>
    <t>GTI</t>
  </si>
  <si>
    <t>TLB-PRO-2024/05271</t>
  </si>
  <si>
    <t>Contratação de empresa especializada para fornecimento de suporte e garantia de servidores Dell.</t>
  </si>
  <si>
    <t>TLB-PRO-2025/00933</t>
  </si>
  <si>
    <t>Contratação da Capacitação - Inteligência Artificial Apliacada às Contratações Públicas</t>
  </si>
  <si>
    <t>Zênite Informação e Consultoria S/A</t>
  </si>
  <si>
    <t>86.781.069/0001-15</t>
  </si>
  <si>
    <t>TLB-PRO-2025/01070</t>
  </si>
  <si>
    <t>Contratação da Capacitação - Pesquisa de Preços para Contratações Públicas com o uso de Inteligência Artificial</t>
  </si>
  <si>
    <t>FRANCIELE FERREIRA DA SILVA</t>
  </si>
  <si>
    <t>TLB-PRO-2024/06004</t>
  </si>
  <si>
    <t>Instituto Brasileiro de Governança Corporativa - IBGC</t>
  </si>
  <si>
    <t>01.082.331/0001-80</t>
  </si>
  <si>
    <t>2025NE000538</t>
  </si>
  <si>
    <t>TLB-AUT-2025/04867</t>
  </si>
  <si>
    <t>TLB-DEG-2025/00041</t>
  </si>
  <si>
    <t>TLB-PRO-2024/05944</t>
  </si>
  <si>
    <t>Contratação de empresa especializada na prestação de serviços de informações e pesquisa no âmbito fiscal, trabalhista, previdenciário, contábil, auditoria e societário.</t>
  </si>
  <si>
    <t>LEGIS JET LTDA</t>
  </si>
  <si>
    <t>27.188.971/0001-63</t>
  </si>
  <si>
    <t xml:space="preserve">2025NE000532 </t>
  </si>
  <si>
    <t>TLB-CTR-2025/00017</t>
  </si>
  <si>
    <t>TLB-AUT-2025/04884</t>
  </si>
  <si>
    <t>ANNA PAULA PEDROSA VIEIRA</t>
  </si>
  <si>
    <t>2025NE000026</t>
  </si>
  <si>
    <t>2025NE000572</t>
  </si>
  <si>
    <t>TLB-DEG-2025/00049</t>
  </si>
  <si>
    <t>2025NE000539</t>
  </si>
  <si>
    <t>TLB-DEG-2025/00035</t>
  </si>
  <si>
    <t>Inlabs Capacitação Profissional Ltda</t>
  </si>
  <si>
    <t>16.700.677/0001-72</t>
  </si>
  <si>
    <t>ACCESS INTELLIGENCE, LLC</t>
  </si>
  <si>
    <t>Fundação Nacional de Qualidade - FNQ</t>
  </si>
  <si>
    <t>67.145.383/0001-67</t>
  </si>
  <si>
    <t>TLB-ASS-2024/04794</t>
  </si>
  <si>
    <t>Inove Treinamentos e Capacitação Ltda</t>
  </si>
  <si>
    <t> 50.088.618/0001-23</t>
  </si>
  <si>
    <t>ATP Specials BV</t>
  </si>
  <si>
    <t> Instituto Brasileiro de Governança Corporativa - IBGC</t>
  </si>
  <si>
    <t>2024NE000837</t>
  </si>
  <si>
    <t>Cenofisco Centro de Capacitação Profissional Ltda</t>
  </si>
  <si>
    <t>07.799.454/0001-13</t>
  </si>
  <si>
    <t>TLB-ASS-2024/08452</t>
  </si>
  <si>
    <t>Associação Brasileira de Provedores de Internet - ABRINT</t>
  </si>
  <si>
    <t>11.369.542/0001-52</t>
  </si>
  <si>
    <t> TLB-ASS-2024/06974</t>
  </si>
  <si>
    <t>Integração - Escola de Negócios Ltda</t>
  </si>
  <si>
    <t>03.493.782/0001-36</t>
  </si>
  <si>
    <t xml:space="preserve"> TLB-ASS-2024/08497</t>
  </si>
  <si>
    <t>LEC EDUCACAO E PESQUISA LTDA</t>
  </si>
  <si>
    <t>16.457.791/0001-13</t>
  </si>
  <si>
    <t>PS Treinamento Profissional e Consultoria Empresarial Ltda</t>
  </si>
  <si>
    <t>38.593.731/0001-60</t>
  </si>
  <si>
    <t>TLB-PRO-2025/01408</t>
  </si>
  <si>
    <t>Contratação de assinatura anual dos produtos de suporte jurídico à administração referente às contratações públicas: Zênite Fácil - Estatais e Zênite Fácil Inteligência Artificial - ZIÁ, que é a assistente de pesquisa do Zênite Fácil - Estatais que utiliza IA generativa.</t>
  </si>
  <si>
    <t xml:space="preserve"> 86.781.069/0001-15</t>
  </si>
  <si>
    <t xml:space="preserve"> TLB-ASS-2024/10193</t>
  </si>
  <si>
    <t>TLB-ASS-2024/13821</t>
  </si>
  <si>
    <t>Space Data Association</t>
  </si>
  <si>
    <t>Associação Brasileira de Entidades Estaduais e Públicas de tecnologia da Infrmção e comunicação ES - ABEP</t>
  </si>
  <si>
    <t>77.639.433/0001-16</t>
  </si>
  <si>
    <t>2024NE000896</t>
  </si>
  <si>
    <t>Bioseg Brasília Soluções em Segurança e Medicina do Trabalho Ltda</t>
  </si>
  <si>
    <t>46.590.489/0001-08</t>
  </si>
  <si>
    <t>TLB-ASS-2024/11469</t>
  </si>
  <si>
    <t xml:space="preserve">TLB-ASS-2024/12082 </t>
  </si>
  <si>
    <t>Instituto dos Auditores Internos do Brasil</t>
  </si>
  <si>
    <t>62.070.115/0001-00</t>
  </si>
  <si>
    <t xml:space="preserve"> Associação Brasileira de Recursos Humanos</t>
  </si>
  <si>
    <t> 43.456.425/0001-12</t>
  </si>
  <si>
    <t> TLB-ASS-2024/11013</t>
  </si>
  <si>
    <t>Associação Brasileira de Gestão do Conhecimento - SBGC</t>
  </si>
  <si>
    <t>04.471.222/0001-43</t>
  </si>
  <si>
    <t>2024NE000948</t>
  </si>
  <si>
    <t>TLB-ASS-2024/13048</t>
  </si>
  <si>
    <t>Instituto Brasileiro de Governança Corporativa</t>
  </si>
  <si>
    <t xml:space="preserve"> TLB-ASS-2024/11845</t>
  </si>
  <si>
    <t>Fundação Getulio Vargas</t>
  </si>
  <si>
    <t>33.641.663/0001-44</t>
  </si>
  <si>
    <t>TLB-ASS-2024/12840</t>
  </si>
  <si>
    <t>2024NE001135</t>
  </si>
  <si>
    <t>TLB-ASS-2024/17513</t>
  </si>
  <si>
    <t xml:space="preserve"> TLB-ASS-2024/14022</t>
  </si>
  <si>
    <t> 02/10/2024</t>
  </si>
  <si>
    <t xml:space="preserve"> TLB-ASS-2024/14431</t>
  </si>
  <si>
    <t>NP Tecnologia e Gestão de Dados Ltda</t>
  </si>
  <si>
    <t>07.797.967/0001-95</t>
  </si>
  <si>
    <t>TLB-ASS-2024/15214</t>
  </si>
  <si>
    <t>TLB-ASS-2024/16489</t>
  </si>
  <si>
    <t>KPMG Consultoria Ltda</t>
  </si>
  <si>
    <t>01.708.167/0001-74</t>
  </si>
  <si>
    <t>TLB-ASS-2024/16552</t>
  </si>
  <si>
    <t> TLB-ASS-2024/16583</t>
  </si>
  <si>
    <t>Fundação Instituto Nacional de Telecomunicações</t>
  </si>
  <si>
    <t>24.492.886/0001-04</t>
  </si>
  <si>
    <t xml:space="preserve"> TLB-ASS-2024/16671</t>
  </si>
  <si>
    <t>Akademia de Transformação Organizacional LTDA</t>
  </si>
  <si>
    <t>29.484.585/0001-44</t>
  </si>
  <si>
    <t xml:space="preserve"> TLB-ASS-2024/16672</t>
  </si>
  <si>
    <t>Mariana Rodrigues de Lima</t>
  </si>
  <si>
    <t>52.552.337/0001-05</t>
  </si>
  <si>
    <t xml:space="preserve"> TLB-ASS-2024/16669</t>
  </si>
  <si>
    <t> 02/12/2024</t>
  </si>
  <si>
    <t>Ibmec Educacional Ltda</t>
  </si>
  <si>
    <t>04.298.309/0007-56</t>
  </si>
  <si>
    <t xml:space="preserve"> TLB-ASS-2024/16858</t>
  </si>
  <si>
    <t>Singulares Tecnologia da Informação Ltda</t>
  </si>
  <si>
    <t>23.992.391/0001-73</t>
  </si>
  <si>
    <t xml:space="preserve"> TLB-ASS-2024/17036</t>
  </si>
  <si>
    <t>MINDWORKS -TECNOLOGIA E TREINAMENTO LTDA</t>
  </si>
  <si>
    <t>48.933.398/0001-45</t>
  </si>
  <si>
    <t xml:space="preserve"> TLB-ASS-2024/17006</t>
  </si>
  <si>
    <t>FUNDAÇÃO INSTITUTO DE PESQUISAS CONTABEIS, ATUARIAIS E FINANCEIRAS - FIPECAFI</t>
  </si>
  <si>
    <t>46.359.865/0001-40</t>
  </si>
  <si>
    <t xml:space="preserve"> TLB-ASS-2024/17017</t>
  </si>
  <si>
    <t>TLB-ASS-2024/17038</t>
  </si>
  <si>
    <t xml:space="preserve"> 10/12/2024</t>
  </si>
  <si>
    <t>Mindworks - Tecnologia e Treinamento Ltda</t>
  </si>
  <si>
    <t>TLB-ASS-2024/17033</t>
  </si>
  <si>
    <t>KPMG ASSURANCE SERVICES LTDA</t>
  </si>
  <si>
    <t>06.240.429/0007-28</t>
  </si>
  <si>
    <t xml:space="preserve"> TLB-ASS-2024/17057</t>
  </si>
  <si>
    <t>ABTD ASSOCIAÇÃO BRASILEIRA DE TREINAMENTO</t>
  </si>
  <si>
    <t>43.730.787/0001-50</t>
  </si>
  <si>
    <t>KA SOLUTION INFORMÁTICA LTDA</t>
  </si>
  <si>
    <t>04.527.228/0001-95</t>
  </si>
  <si>
    <t>DELL COMPUTADORES DO BRASIL LTDA</t>
  </si>
  <si>
    <t xml:space="preserve"> 72.381.189/0001-10</t>
  </si>
  <si>
    <t>2025NE000449</t>
  </si>
  <si>
    <t>72.381.189/0001-10</t>
  </si>
  <si>
    <t>LEC Educação e Pesquisa Ltda</t>
  </si>
  <si>
    <t xml:space="preserve"> TLB-ASS-2024/06684</t>
  </si>
  <si>
    <t>IBET Instituto Brasileiro de Estudos Tributários</t>
  </si>
  <si>
    <t>63.104.475/0001-48</t>
  </si>
  <si>
    <t>TLB-ASS-2024/06584</t>
  </si>
  <si>
    <t>IMPAKT CONSULTORIA S/S LIMITADA</t>
  </si>
  <si>
    <t>08.170.564/0001-84</t>
  </si>
  <si>
    <t>TLB-ASS-2024/16668</t>
  </si>
  <si>
    <t>Soma de VALOR CONTRATO</t>
  </si>
  <si>
    <t>2025NE000588</t>
  </si>
  <si>
    <t>EX242162</t>
  </si>
  <si>
    <t>TLB-PRO-2025/01643</t>
  </si>
  <si>
    <t xml:space="preserve">Nº PROCESSO </t>
  </si>
  <si>
    <t>TIPO DO CONTRATO</t>
  </si>
  <si>
    <t>Nº CONTRATO</t>
  </si>
  <si>
    <t>FISCAL</t>
  </si>
  <si>
    <t>MODALID. LICITAÇÃO</t>
  </si>
  <si>
    <t>INÍCIO DA VIGÊNCIA</t>
  </si>
  <si>
    <t>FIM DA VIGÊNCIA</t>
  </si>
  <si>
    <t>VALOR DO CONTRATO</t>
  </si>
  <si>
    <t>Contrato</t>
  </si>
  <si>
    <t>Total</t>
  </si>
  <si>
    <t>NOTAS DE EMPENHOS 2025</t>
  </si>
  <si>
    <t>Contrato de Adesão</t>
  </si>
  <si>
    <t>Termo de Adesão</t>
  </si>
  <si>
    <t>Contrato de SWAP</t>
  </si>
  <si>
    <t xml:space="preserve">Concessão </t>
  </si>
  <si>
    <t>Nota de Empenho</t>
  </si>
  <si>
    <t>TLB-AUT-2025/05769</t>
  </si>
  <si>
    <t>TLB-AUT-2025/05781</t>
  </si>
  <si>
    <t>Elias Rodrigues da Silva</t>
  </si>
  <si>
    <t>Rosilda Abreu da Silva</t>
  </si>
  <si>
    <t>TLB-DEG-2025/00056</t>
  </si>
  <si>
    <t>TLB-PRO-2024/06219</t>
  </si>
  <si>
    <t>Treinamento - Environmental, Social &amp; Governance (ESG)</t>
  </si>
  <si>
    <t>TLB-PRO-2025/01806</t>
  </si>
  <si>
    <t>Curso Preparatório PMP</t>
  </si>
  <si>
    <t>TLB-PRO-2025/01053</t>
  </si>
  <si>
    <t>Capacitação interna - Modelagem Financeira</t>
  </si>
  <si>
    <t>KPMG Business School |Treinamentos Corporativos</t>
  </si>
  <si>
    <t xml:space="preserve"> 05.490.840/0001-01</t>
  </si>
  <si>
    <t>MODERNPMO GESTAO E TECNOLOGIA LTDA GESTAO E TECNOLOGIA LTDA</t>
  </si>
  <si>
    <t>21.268.624/0001-64</t>
  </si>
  <si>
    <t>FK PARTNERS</t>
  </si>
  <si>
    <t xml:space="preserve"> 06.336.797/0001-89</t>
  </si>
  <si>
    <t>Participação da Telebras, por meio de ação promocional, no Evento Abrint Global Congress 2025, organizado exclusivamente pela Abrint - Associação Brasileira de Provedores de Internet. O evento ocorrerá no Anhembi, em São Paulo, de 07 a 09 de maio de 2025.</t>
  </si>
  <si>
    <t>ABRINT</t>
  </si>
  <si>
    <t>Nº Fornecedor SAP</t>
  </si>
  <si>
    <t>TLB-PRO-2024/06151</t>
  </si>
  <si>
    <t>Aquisição de impressora de cartão PVC/crachá para a Telebras.</t>
  </si>
  <si>
    <t>SC BRASIL GROUP SOLUÇÕES TECNOLÓGICAS LTDA</t>
  </si>
  <si>
    <t>43.478.505/0001-79</t>
  </si>
  <si>
    <t>TLB-AUT-2025/05744-A </t>
  </si>
  <si>
    <t>TLB-DEG-2025/00055-A</t>
  </si>
  <si>
    <t>2025NE000544</t>
  </si>
  <si>
    <t>MARIA JOSÉ QUINTAS</t>
  </si>
  <si>
    <t>INSTITUTO BRASILEIRO DE GOVERNANÇA CORPORATIVA</t>
  </si>
  <si>
    <t xml:space="preserve">4400003080﻿
</t>
  </si>
  <si>
    <t>2025NE000608</t>
  </si>
  <si>
    <t>TLB-DEG-2025/00060</t>
  </si>
  <si>
    <t xml:space="preserve">Camila Daniela Lima </t>
  </si>
  <si>
    <t>2025NE000613</t>
  </si>
  <si>
    <t>2025NE000607</t>
  </si>
  <si>
    <t xml:space="preserve">TLB-DEG-2025/00061
</t>
  </si>
  <si>
    <t>2025NE000610</t>
  </si>
  <si>
    <t>TLB-DEG-2025/00062</t>
  </si>
  <si>
    <t>TLB-AUT-2025/06589</t>
  </si>
  <si>
    <t>Mariana Rodrigues Boavista Leite</t>
  </si>
  <si>
    <t>TA nº 04720000_2025NE000613</t>
  </si>
  <si>
    <t>37753638000103-1-000019/2025</t>
  </si>
  <si>
    <t>925150-1/2025</t>
  </si>
  <si>
    <t>925150 - 2/2025</t>
  </si>
  <si>
    <t>37753638000103-1-000020/2025</t>
  </si>
  <si>
    <t>925150 - 3/2025</t>
  </si>
  <si>
    <t>37753638000103-1-000021/2025</t>
  </si>
  <si>
    <t>925150 - 4/2025</t>
  </si>
  <si>
    <t>PNCP</t>
  </si>
  <si>
    <t>37753638000103-1-000022/2025</t>
  </si>
  <si>
    <t>925150 - 5/2025</t>
  </si>
  <si>
    <t>37753638000103-1-000023/2025</t>
  </si>
  <si>
    <t>925150 - 6/2025</t>
  </si>
  <si>
    <t>37753638000103-1-000024/2025</t>
  </si>
  <si>
    <t>37753638000103-1-000025/2025</t>
  </si>
  <si>
    <t>925150 - 7/2025</t>
  </si>
  <si>
    <t>925150 - 8/2025</t>
  </si>
  <si>
    <t>A. F. Comércio de Livros e Cursos Especializados Ltda</t>
  </si>
  <si>
    <t>37753638000103-1-000026/2025</t>
  </si>
  <si>
    <t>SIM</t>
  </si>
  <si>
    <t xml:space="preserve"> VALOR CONTRATO</t>
  </si>
  <si>
    <t>Publicação do Contrato PNCP</t>
  </si>
  <si>
    <t>37753638000103-1-000027/2025</t>
  </si>
  <si>
    <t>925150 - 9/2025</t>
  </si>
  <si>
    <t>925150 - 10/2025</t>
  </si>
  <si>
    <t xml:space="preserve">37753638000103-1-000028/2025
</t>
  </si>
  <si>
    <t>Telebras não utiliza o sistema PGC (Não SISG).</t>
  </si>
  <si>
    <t>37753638000103-1-000008/2025</t>
  </si>
  <si>
    <t>90002/2025</t>
  </si>
  <si>
    <t>TLB-PRO-2025/01491</t>
  </si>
  <si>
    <t>SACHA CALMON - MISABEL DERZI, CONSULTORES E ADVOGADOS</t>
  </si>
  <si>
    <t>00.140.626/0001-01</t>
  </si>
  <si>
    <t>TLB-CTR-2025/00026</t>
  </si>
  <si>
    <t>925150 - 11/2025</t>
  </si>
  <si>
    <t>37753638000103-1-000029/2025</t>
  </si>
  <si>
    <t>TLB-PRO-2025/01052</t>
  </si>
  <si>
    <t>Capacitação "Análise de Viabilidade de Projetos".</t>
  </si>
  <si>
    <t>06.336.797/0001-89</t>
  </si>
  <si>
    <t>2025NE000690</t>
  </si>
  <si>
    <t>TLB-DEG-2025/00066</t>
  </si>
  <si>
    <t>FINAL 
VIGÊNCIA</t>
  </si>
  <si>
    <t>TLB-PRO-2025/02256</t>
  </si>
  <si>
    <t>Contratação da Capacitação - Programa de Imersão: Gestão Estratégica por Resultados em Licitações e Contratos</t>
  </si>
  <si>
    <t>3R CAPACITA COMERCIO DE MATERIAIS DIDATICOS E SERVICOS EDUCACIONAIS LTDA</t>
  </si>
  <si>
    <t>32.380.894/0001-89</t>
  </si>
  <si>
    <t>Obras e Serviço de Engenharia</t>
  </si>
  <si>
    <t>Tipo do Objeto</t>
  </si>
  <si>
    <t>Participação da Telebras, por meio de ação promocional, no Seminário Nacional de TIC para a Gestão Pública SECOP 2024, evento organizado exclusivamente pela Associação Brasileira de Entidades Estaduais de Tecnologia da Informação e Comunicação ABEP.</t>
  </si>
  <si>
    <t>Participação da GGP/DAFRI no CONARH 2024 - Congresso Nacional de Gestão de Pessoas.</t>
  </si>
  <si>
    <t>Atualizar</t>
  </si>
  <si>
    <t>2025NE000716</t>
  </si>
  <si>
    <t>TLB-DEG-2025/00074</t>
  </si>
  <si>
    <t>TLB-PRO-2025/02561</t>
  </si>
  <si>
    <t>Contratação da Capacitação ISO 31000:2018 - Capacitação em Gestão de Riscos</t>
  </si>
  <si>
    <t>67.634.022/0001-84</t>
  </si>
  <si>
    <t>QSP - CENTRO DA QUALIDADE, SEGURANCA E PRODUTIVIDADE PARA O BRASIL E AMERICA LATINA</t>
  </si>
  <si>
    <t>2025NE761</t>
  </si>
  <si>
    <t>TLB-PRO-2025/02662</t>
  </si>
  <si>
    <t>Participação da GGP no CONARH 2025- Congresso Nacional de Gestão de Pessoas</t>
  </si>
  <si>
    <t>ABRH- Associação Brasileira de Recursos Humanos</t>
  </si>
  <si>
    <t>43.456.425/0001-12</t>
  </si>
  <si>
    <t>37753638000103-1-000032/2025</t>
  </si>
  <si>
    <t>37753638000103-1-000033/2025</t>
  </si>
  <si>
    <t>925150 - 13/2025</t>
  </si>
  <si>
    <t>925150 - 12/2025</t>
  </si>
  <si>
    <t>90001/2025</t>
  </si>
  <si>
    <t>37753638000103-1-000007/2025</t>
  </si>
  <si>
    <t>Contratação de empresa especializada em assessoria esportiva, organização, apoio técnico, logístico e estrutural para participação da equipe de colaboradores da Telebras, em caminhada (3km) e corrida (5km e 10km) no evento MARATONA MONUMENTAL DE BRASÍLIA em comemoração ao aniversário de 52 anos da empresa e a Semana Interna de Prevenção de Acidentes do Trabalho (SIPAT.</t>
  </si>
  <si>
    <t>TLB-PRO-2025/02831</t>
  </si>
  <si>
    <t>Curso/Treinamento: 15 ª Convenção de Contabilidade do Distrito Federal: inovação, conhecimento e networking</t>
  </si>
  <si>
    <t>2025NE774</t>
  </si>
  <si>
    <t>CONSELHO REGIONAL DE CONTABILIDADE DO DISTRITO FEDERAL</t>
  </si>
  <si>
    <t>00.113.035/0001-37</t>
  </si>
  <si>
    <t>TLB-PRO-2025/03118</t>
  </si>
  <si>
    <t>Participação da Telebras, por meio de ação promocional, no evento SECOP 2025</t>
  </si>
  <si>
    <t>Associação Brasileira de Entidades Estaduais e Públicas de Tecnologia da Informação e Comunicação</t>
  </si>
  <si>
    <t>TLB-DEG-2025/00079</t>
  </si>
  <si>
    <t>TLB-DEG-2025/00080</t>
  </si>
  <si>
    <t>2025NE846</t>
  </si>
  <si>
    <t xml:space="preserve"> TLB-DEG-2025/00086</t>
  </si>
  <si>
    <t>Aquisição de bebedouros para atender as necessidades da sede da Telebras no COPE-P</t>
  </si>
  <si>
    <t>M &amp; J REFRIGERACAO LTDA</t>
  </si>
  <si>
    <t>54.638.483/0001-83</t>
  </si>
  <si>
    <t>2025NE000855</t>
  </si>
  <si>
    <t>Curso/Treinamento: 15 ª Convenção de Contabilidade do Distrito Federal: inovação, conhecimento e networking.</t>
  </si>
  <si>
    <t>Participação da GGP no CONARH 2025- Congresso Nacional de Gestão de Pessoas.</t>
  </si>
  <si>
    <t>Contratação da Capacitação ISO 31000:2018 - Capacitação em Gestão de Riscos.</t>
  </si>
  <si>
    <t>Adryana Ramos de Oliveira</t>
  </si>
  <si>
    <t>Camila Daniela Gomes</t>
  </si>
  <si>
    <t>925150 - 14/2025</t>
  </si>
  <si>
    <t>37753638000103-1-000044/2025</t>
  </si>
  <si>
    <t>925150 - 15/2025</t>
  </si>
  <si>
    <t>925150 - 16/2025</t>
  </si>
  <si>
    <t>37753638000103-1-000043/2025</t>
  </si>
  <si>
    <t>2025NE000761</t>
  </si>
  <si>
    <t>2025NE000774</t>
  </si>
  <si>
    <t>2025N000E846</t>
  </si>
  <si>
    <t>37753638000103-1-000045/2025</t>
  </si>
  <si>
    <t>TLB-PRO-2024/04999</t>
  </si>
  <si>
    <t>ARI</t>
  </si>
  <si>
    <t>Contratação de escritório de advocacia especializado para defesa judicial do ex Diretor da Telebras, o Sr.  Paulo Ferreira, contra decisão proferida no Processo Administrativo Sancionador nº RJ2018/5158 (Processo Eletrônico SEI 19957.007825/2018 11), instaurado pela Comissão de Valores Mobiliários (CVM).</t>
  </si>
  <si>
    <t xml:space="preserve"> 60.525.730/0001-38</t>
  </si>
  <si>
    <t>Badia e Quartim Advogados – BQA</t>
  </si>
  <si>
    <t>TLB-DEG-2025/00058</t>
  </si>
  <si>
    <t>TLB-DEG-2025/00057</t>
  </si>
  <si>
    <t>TLB-DEG-2025/00048</t>
  </si>
  <si>
    <t>2025NE000885</t>
  </si>
  <si>
    <t>TLB-PRO-2025/03743</t>
  </si>
  <si>
    <t>Contratação de empresa para inscrição  de até 35 empregados(as) da Telebras, no curso Apresentações estratégicas PPTPLAY.</t>
  </si>
  <si>
    <t>RENATO DE PAULA - APRESENTACOES INTELIGENTES LTDA (PPTPLAY)</t>
  </si>
  <si>
    <t>27.570.039/0001-09</t>
  </si>
  <si>
    <t>TLB-PRO-2025/03829</t>
  </si>
  <si>
    <t>Contrtação de empresa para inscrição de 09 empresário(s), no evento  Agile Trends GOV 2025.</t>
  </si>
  <si>
    <t>Neurobox Tecnologia em Informática Ltda</t>
  </si>
  <si>
    <t>09.136.376/0001-00</t>
  </si>
  <si>
    <t>2025NE000953</t>
  </si>
  <si>
    <t>TLB-DEG-2025/00099</t>
  </si>
  <si>
    <t>Adryana Ramos De Oliveira</t>
  </si>
  <si>
    <t>2025NE001029</t>
  </si>
  <si>
    <t>TLB-DEG-2025/00102</t>
  </si>
  <si>
    <t>ALENCASTRO</t>
  </si>
  <si>
    <t>TLB-DEG-2025/00100</t>
  </si>
  <si>
    <t>TLB-DEG-2025/00075</t>
  </si>
  <si>
    <t>2025NE001037</t>
  </si>
  <si>
    <t>TLB-PRO-2025/04301</t>
  </si>
  <si>
    <t>Contratação de empresa para inscrição de até 40 colaboradores das 4 diretorias da Telebras, com foco para a Diretoria Comercial, no curso  Conteúdo, Corpo e Voz: Estratégias de Comunicação Eficaz para Fechamento de Acordos Comerciais.</t>
  </si>
  <si>
    <t>IBMEC EDUCACIONAL LTDA</t>
  </si>
  <si>
    <t>04.298.309/0001-60</t>
  </si>
  <si>
    <t>2025NE001047</t>
  </si>
  <si>
    <t>TLB-DEG-2025/00104</t>
  </si>
  <si>
    <t>TLB-CTR-2025/00048</t>
  </si>
  <si>
    <t>TLB-AUT-2025/12277</t>
  </si>
  <si>
    <t>TLB-AUT-2024/12823</t>
  </si>
  <si>
    <t>TLB-DEG-2024/00126</t>
  </si>
  <si>
    <t>Rosilda Ferreira da Cunha</t>
  </si>
  <si>
    <t>FILIAÇÃO</t>
  </si>
  <si>
    <t>ASSOCIAÇÃO</t>
  </si>
  <si>
    <t>TLB-AUT-2024/10835</t>
  </si>
  <si>
    <t>EVENTO</t>
  </si>
  <si>
    <t>ASSINATURA</t>
  </si>
  <si>
    <t>Contratação de empresa para inscrição de 09 empresário(s), no evento  Agile Trends GOV 2025.</t>
  </si>
  <si>
    <t>37753638000103-2-000043/2025</t>
  </si>
  <si>
    <t>925150 - 21/2025</t>
  </si>
  <si>
    <t>FERNANDA</t>
  </si>
  <si>
    <t>967.144.251-04</t>
  </si>
  <si>
    <t>fernanda.elias@telebras.com.br</t>
  </si>
  <si>
    <t>TATIANA</t>
  </si>
  <si>
    <t>510.391.332-15</t>
  </si>
  <si>
    <t>tatiana.miranda@telebras.com.br</t>
  </si>
  <si>
    <t>925150 - 22/2025</t>
  </si>
  <si>
    <t>70610-440</t>
  </si>
  <si>
    <t>925150 - 23/2025</t>
  </si>
  <si>
    <t>925150 - 24/2025</t>
  </si>
  <si>
    <t>37753638000103-1-000057/2025</t>
  </si>
  <si>
    <t>37753638000103-1-000058/2025</t>
  </si>
  <si>
    <t>37753638000103-1-000059/2025</t>
  </si>
  <si>
    <t>TLB-PRO-2025/04685</t>
  </si>
  <si>
    <t>Contratação de empresa para inscrição dos(as) Conselheiros(as) José Cabral Guedes, Paula Vicente da Silva e Cleber Santiago  no 26º Congresso IBGC - Governança em um Mundo Disruptivo .</t>
  </si>
  <si>
    <t>TLB-PRO-2025/03622</t>
  </si>
  <si>
    <t>Contratação de empresa para inscrição a inscrição de 03 funcionário(s) da AUD, no Congresso Brasileiro de Auditoria Interna - CONBRAI - 2025.</t>
  </si>
  <si>
    <t>Congresso Brasileiro de Auditoria Interna</t>
  </si>
  <si>
    <t>TLB-PRO-2025/03941</t>
  </si>
  <si>
    <t>Participação no Futurecom 2025 - Evento de Conectividade, Inovação e Cibersegurança (30/09 a 02/10 - São Paulo Expo).</t>
  </si>
  <si>
    <t>Informa Markets Ltda</t>
  </si>
  <si>
    <t>01.914.765/0001-08</t>
  </si>
  <si>
    <t>2025NE001089</t>
  </si>
  <si>
    <t>TLB-PRO-2025/04652</t>
  </si>
  <si>
    <t>TLB-PRO-2025/03846</t>
  </si>
  <si>
    <t>Curso/Treinamento: Congresso Latino-americano de Satélites 2025</t>
  </si>
  <si>
    <t>Participação dos colaboradores da GEOS no Spacecraft Operations Course 2025</t>
  </si>
  <si>
    <t>2025NE001096</t>
  </si>
  <si>
    <t>TLB-DEG-2025/00118</t>
  </si>
  <si>
    <t>2025NE001103</t>
  </si>
  <si>
    <t>TLB-DEG-2025/00117</t>
  </si>
  <si>
    <t>2025NE001105</t>
  </si>
  <si>
    <t>DLR (Deutsches Zentrum für Luft- und Raumfahrt)</t>
  </si>
  <si>
    <t>TLB-DEG-2025/00120</t>
  </si>
  <si>
    <t>GLASBERG COMUNICAÇÕES LTDA</t>
  </si>
  <si>
    <t>65.011.538/0001-47</t>
  </si>
  <si>
    <t>TLB-DEG-2025/00114</t>
  </si>
  <si>
    <t>TLB-PRO-2025/04974</t>
  </si>
  <si>
    <t>Contratação da participação no 39° Congresso Brasileiro de Direito Administrativo</t>
  </si>
  <si>
    <t>TLB-ORC-2025/00002</t>
  </si>
  <si>
    <t>Ordem de Compra</t>
  </si>
  <si>
    <t>INSTITUTO BRASILEIRO DE DIREITO ADMINISTRATIVO - IBDA</t>
  </si>
  <si>
    <t>29.419.181/0001-77</t>
  </si>
  <si>
    <t>TLB-DEG-2025/00124</t>
  </si>
  <si>
    <t>TLB-PRO-2025/01134</t>
  </si>
  <si>
    <t>Contratação para aquisição de equipamentos do sistema de ar climatização (condensadoras) para as Estações de Acesso / Gateways</t>
  </si>
  <si>
    <t>VERTIV TECNOLOGIA DO BRASIL LTDA.</t>
  </si>
  <si>
    <t>03.698.870/0008-40</t>
  </si>
  <si>
    <t xml:space="preserve"> TLB-ORC-2025/00003</t>
  </si>
  <si>
    <t>TLB-DEG-2025/00133</t>
  </si>
  <si>
    <t>TLB-PRO-2025/01043</t>
  </si>
  <si>
    <t>CONSULTORIA PARA IMPLANTAÇÃO DE PRÁTICAS DE GESTÃO DO CONHECIMENTO</t>
  </si>
  <si>
    <t>TLB-PRO-2025/01133</t>
  </si>
  <si>
    <t>GMP</t>
  </si>
  <si>
    <t>Processo de contratação para aquisição de componentes do Grupo Motor Gerador (GMG) para as Estações de Acesso / Gateways</t>
  </si>
  <si>
    <t>x</t>
  </si>
  <si>
    <t>925150-19/2025</t>
  </si>
  <si>
    <t>37753638000103-1-000068/2025</t>
  </si>
  <si>
    <t>925150 - 29/2025</t>
  </si>
  <si>
    <t>37753638000103-1-000069/2025</t>
  </si>
  <si>
    <t>37753638000103-1-000070/2025</t>
  </si>
  <si>
    <t>925150 - 30/2025</t>
  </si>
  <si>
    <t>Internacional</t>
  </si>
  <si>
    <t>NA</t>
  </si>
  <si>
    <t>37753638000103-1-000071/2025</t>
  </si>
  <si>
    <t>925150 - 31/2025</t>
  </si>
  <si>
    <t>925150 - 32/2025</t>
  </si>
  <si>
    <t>37753638000103-1-000072/2025</t>
  </si>
  <si>
    <t>TLB-PRO-2025/05423</t>
  </si>
  <si>
    <t>Contratação de empresa para a inscrição de 01 colaboradora da AUD curso AUDI 2 EOP, com a respectiva associaçãos.</t>
  </si>
  <si>
    <t>INSTITUTO DOS AUDITORES INTERNOS DO BRASIL</t>
  </si>
  <si>
    <t xml:space="preserve"> TLB-ORC-2025/00006</t>
  </si>
  <si>
    <t>TLB-DEG-2025/00166</t>
  </si>
  <si>
    <t>TLB-PRO-2025/05572</t>
  </si>
  <si>
    <t>MCI BRASIL LTDA</t>
  </si>
  <si>
    <t>Contratação da capacitação HSM + 2025.</t>
  </si>
  <si>
    <t>TLB-ORC-2025/00007</t>
  </si>
  <si>
    <t>TLB-DEG-2025/00168</t>
  </si>
  <si>
    <t>TLB-PRO-2025/05575</t>
  </si>
  <si>
    <t>Contratação da Capacitação - Aprimoramento em Governança para Empresas Estatais.</t>
  </si>
  <si>
    <t>11.321.229/0001-44</t>
  </si>
  <si>
    <t>TLB-ORC-2025/00008</t>
  </si>
  <si>
    <t>TLB-DEG-2025/00177</t>
  </si>
  <si>
    <t xml:space="preserve"> TLB-PRO-2025/05053</t>
  </si>
  <si>
    <t>Contratação do Workshop de Gestão de Riscos.</t>
  </si>
  <si>
    <t>04.298.309/0013-02</t>
  </si>
  <si>
    <t>Rótulos de Linha</t>
  </si>
  <si>
    <t>Total Geral</t>
  </si>
  <si>
    <t>Soma de DIAS ÚTEIS</t>
  </si>
  <si>
    <t xml:space="preserve"> TLB-ORC-2025/00010</t>
  </si>
  <si>
    <t>Anna Cláudia Amorim da Silva</t>
  </si>
  <si>
    <t>TLB-DEG-2025/00179</t>
  </si>
  <si>
    <t xml:space="preserve"> TLB-PRO-2025/04066</t>
  </si>
  <si>
    <t>Contratação de serviços especializados em consultas às bases do Cadastro de Pessoa Física - CPF e Cadastro Nacional de Pessoa Jurídica - CNPJ</t>
  </si>
  <si>
    <t xml:space="preserve">SERPRO - SERVIÇO FEDERAL DE PROCESSAMENTO DE DADOS </t>
  </si>
  <si>
    <t>33.683.111/0001-07</t>
  </si>
  <si>
    <t>TLB-PRO-2025/03496</t>
  </si>
  <si>
    <t>HDs</t>
  </si>
  <si>
    <t>TBGPR-ASCOM</t>
  </si>
  <si>
    <t>Dispensa de Licitação</t>
  </si>
  <si>
    <t>MARFAP COMERCIAL LTDA</t>
  </si>
  <si>
    <t>49.978.985/0001-13</t>
  </si>
  <si>
    <t>TLB-ORC-2025/00004</t>
  </si>
  <si>
    <t>TLB-DEG-2025/00140</t>
  </si>
  <si>
    <t>TLB-PRO-2025/03511</t>
  </si>
  <si>
    <t>Estantes para COPE</t>
  </si>
  <si>
    <t>TBGEOS</t>
  </si>
  <si>
    <t>SOUL DISTRIBUIDORA DE PRODUTOS E EQUIPAMENTOS INDUSTRIAIS LTDA</t>
  </si>
  <si>
    <t>51.659.136/0001-49</t>
  </si>
  <si>
    <t>TLB-ORC-2025/00011</t>
  </si>
  <si>
    <t>Fernando Lambert</t>
  </si>
  <si>
    <t>TLB-DEG-2025/00189</t>
  </si>
  <si>
    <t>TLB-PRO-2025/01337</t>
  </si>
  <si>
    <t>Cabos breakout</t>
  </si>
  <si>
    <t>TBGERP</t>
  </si>
  <si>
    <t>FONNET COMÉRCIO DE EQUIPAMENTOS DE TELECOMUNICAÇÕES LTDA</t>
  </si>
  <si>
    <t>11.035.558/0001-29</t>
  </si>
  <si>
    <t>TLB-CTR-2025/00061</t>
  </si>
  <si>
    <t>TLB-AUT-2025/19125</t>
  </si>
  <si>
    <t>TLB-DEG-2025/00165</t>
  </si>
  <si>
    <t>Mirele de Almeida Mencari</t>
  </si>
  <si>
    <t>TLB-PRO-2025/03416</t>
  </si>
  <si>
    <t>Realização de concurso público</t>
  </si>
  <si>
    <t>CENTRO BRASILEIRO DE PESQUISA EM AVALIAÇÃO E SELEÇÃO E DE PROMOÇÃO DE EVENTOS (CEBRASPE)</t>
  </si>
  <si>
    <t>TLB-AUT-2025/21982</t>
  </si>
  <si>
    <t>ANNA CLÁUDIA AMORIM DA SILVA</t>
  </si>
  <si>
    <t>TLB-DEG-2025/00186</t>
  </si>
  <si>
    <t>TLB-CTR-2025/00103</t>
  </si>
  <si>
    <t>18.284.407/0001-53</t>
  </si>
  <si>
    <t>TLB-PRO-2025/04504</t>
  </si>
  <si>
    <t>MARCUS VINÍCIUS</t>
  </si>
  <si>
    <t>Aquisição de peças e partes para recuperação de sistema de ar condicionado do Datacenter da sede da Telebras</t>
  </si>
  <si>
    <t>TLB-PRO-2025/05445</t>
  </si>
  <si>
    <t>Contratação direta da Empresa Brasileira de Correios e Telégrafos - ECT, mediante adesão a Termo de Condições Comerciais, vinculado a Pacote de Serviços dos CORREIOS denominado Platinum.</t>
  </si>
  <si>
    <t>34.028.316/0001-03</t>
  </si>
  <si>
    <t>Empresa Brasileira de Correios e Telégrafos</t>
  </si>
  <si>
    <t>TLB-PRO-2025/05074</t>
  </si>
  <si>
    <t>Contratação de empresa especializada para fornecimento de serviços de assinatura de veículos jornalísticos em formato digital para atender a Assessoria de Comunicação da Telebras</t>
  </si>
  <si>
    <t>GPR - ASCOM</t>
  </si>
  <si>
    <t>TLB-PRO-2025/06493</t>
  </si>
  <si>
    <t>Contratação emergencial de empresa especializada na prestação de serviços de saúde do trabalho, visando à execução do Programa de Controle Médico de Saúde Ocupacional (PCMSO) e demais atividades correlatas, em atendimento à SEDE e COPE-P (DF), COPE-S (RJ) e Escritório Regional de Belém (PA).</t>
  </si>
  <si>
    <t>MPV - SERVIÇOS DE CLÍNICA MÉDICA, CARDIOLOGIA E CIRURGIA GERAL LTD</t>
  </si>
  <si>
    <t xml:space="preserve"> 15.471.958/0001-38</t>
  </si>
  <si>
    <t>GJ</t>
  </si>
  <si>
    <t>Contratação de escritório de advocacia de notória especialização em matéria tributária.</t>
  </si>
  <si>
    <t>2025NE809</t>
  </si>
  <si>
    <t>TLB-DEG-2025/00064</t>
  </si>
  <si>
    <t>Ezielma Braz Ferreira</t>
  </si>
  <si>
    <t>925150 - 33/2025</t>
  </si>
  <si>
    <t>925150 - 36/2025</t>
  </si>
  <si>
    <t>925150 - 37/2025</t>
  </si>
  <si>
    <t>Treinamento qualificação profissional</t>
  </si>
  <si>
    <t>925150 - 38/2025</t>
  </si>
  <si>
    <t>925150 - 39/2025</t>
  </si>
  <si>
    <t>925150 - 25/2025</t>
  </si>
  <si>
    <t>37753638000103-1-000080/2025</t>
  </si>
  <si>
    <t>37753638000103-1-000091/2025</t>
  </si>
  <si>
    <t>37753638000103-1-000092/2025</t>
  </si>
  <si>
    <t>37753638000103-1-000093/2025</t>
  </si>
  <si>
    <t>37753638000103-1-000094/2025</t>
  </si>
  <si>
    <t>37753638000103-1-000061/2025</t>
  </si>
  <si>
    <t>ROBERTA</t>
  </si>
  <si>
    <t>MARCUS VINICIUS</t>
  </si>
  <si>
    <t>TLB-PRO-2026/00317</t>
  </si>
  <si>
    <t>TLB-PRO-2025/07216</t>
  </si>
  <si>
    <t>Contratação de empresa para inscrição de até 40 funcionários/as da Telebras, no curso Reforma Tributária.</t>
  </si>
  <si>
    <t>TOSTAO FURADO LTDA</t>
  </si>
  <si>
    <t>42.460.333/0001-43</t>
  </si>
  <si>
    <t>TLB-ORC-2026/00003</t>
  </si>
  <si>
    <t>Contratação de empresa para a realização de palestra sobre Educação Financeira, cujo título apresentado pela prestadora do serviço seja: " Recalculando a Rota"</t>
  </si>
  <si>
    <t>Contagem de VALOR CONTRATO</t>
  </si>
  <si>
    <t>(Vários itens)</t>
  </si>
  <si>
    <t>TLB-AUT-2026/00688</t>
  </si>
  <si>
    <t>TLB-DEG-2026/00033</t>
  </si>
  <si>
    <t>NILTON CESAR SOARES DA SILVA LIRA</t>
  </si>
  <si>
    <t>TLB-CTR-2025/00115</t>
  </si>
  <si>
    <t>TLB-AUT-2025/23446</t>
  </si>
  <si>
    <t>TLB-DEG-2026/00002</t>
  </si>
  <si>
    <t>SARAH LIMA MOREIRA MOURA</t>
  </si>
  <si>
    <t>TLB-ORC-2026/00002</t>
  </si>
  <si>
    <t>38.708.432/0001-24</t>
  </si>
  <si>
    <t>G2 AR CONDICIONADO LTDA</t>
  </si>
  <si>
    <t>TLB-DEG-2026/00031</t>
  </si>
  <si>
    <t>THALES SETSUO YOSHIDA</t>
  </si>
  <si>
    <t>TLB-DEG-2026/00041</t>
  </si>
  <si>
    <t>Elisa Macêdo e Silva</t>
  </si>
  <si>
    <t>TLB-CTR-2025/00090</t>
  </si>
  <si>
    <t>TLB-AUT-2025/22260</t>
  </si>
  <si>
    <t>TLB-DEG-2025/00194</t>
  </si>
  <si>
    <t>Isac Pires Moraes Filho</t>
  </si>
  <si>
    <t>TLB-ASS-2025/09363</t>
  </si>
  <si>
    <t>TLB-PRO-2025/02898</t>
  </si>
  <si>
    <t>TLB-DEG-2025/00091</t>
  </si>
  <si>
    <t>SERGIO PINHO PIRETTI</t>
  </si>
  <si>
    <t>TLB-CTR-2025/00089</t>
  </si>
  <si>
    <t>TLB-AUT-2025/20268</t>
  </si>
  <si>
    <t>TLB-DEG-2025/00178</t>
  </si>
  <si>
    <t>Camila Daniela Lima de Souza Gomes</t>
  </si>
  <si>
    <t>ROLLS ROYCE SOLUTIONS BRASIL LTDA</t>
  </si>
  <si>
    <t>48.600.191/0001-59</t>
  </si>
  <si>
    <t>TLB-CTR-2026/00010</t>
  </si>
  <si>
    <t>TLB-AUT-2026/01125</t>
  </si>
  <si>
    <t>TLB-DEG-2026/00043</t>
  </si>
  <si>
    <t>Rodrigo Andrade Silveira de Araujo</t>
  </si>
  <si>
    <t>TLB-AUT-2026/00714</t>
  </si>
  <si>
    <t>TLB-DEG-2026/00035</t>
  </si>
  <si>
    <t>DALVA HELENA ROSA FERREIRA</t>
  </si>
  <si>
    <t>Inexigibilidade</t>
  </si>
  <si>
    <t>Contratação da participação na capacitação AUDI 2 EOP</t>
  </si>
  <si>
    <t>TLB-PRO-2026/00378</t>
  </si>
  <si>
    <t>TLB-ORC-2026/00004</t>
  </si>
  <si>
    <t>R$ 1.496.376,51 </t>
  </si>
  <si>
    <t>Dispensa</t>
  </si>
  <si>
    <t>os contratos (CTRs) já estão inclusos na planilha 14</t>
  </si>
  <si>
    <t>90006/2025</t>
  </si>
  <si>
    <t>Dispensa Eletrônica</t>
  </si>
  <si>
    <t>37753638000103-1-000038/2025</t>
  </si>
  <si>
    <t>TLB-PRO-2026/00436</t>
  </si>
  <si>
    <t>Contratação da inscrição de 4 empregados(as) da Telebras, no curso ISO 31000:2018 - Capacitação em Gestão de Riscos.</t>
  </si>
  <si>
    <t xml:space="preserve"> QSP - Centro da Qualidade, Segurança e Produtividade para o Brasil e América Latina</t>
  </si>
  <si>
    <t xml:space="preserve"> 67.634.022/0001-84</t>
  </si>
  <si>
    <t>TLB-PRO-2026/00475</t>
  </si>
  <si>
    <t>Contratação da capacitação “e-Social e EFD-Reinf com Foco na DCTFWeb para Órgãos Públicos”</t>
  </si>
  <si>
    <t xml:space="preserve"> SUPREME CAPACITAÇÃO E TREINAMENTO LTDA</t>
  </si>
  <si>
    <t>TLB-ORC-2026/00006</t>
  </si>
  <si>
    <t>TLB-ORC-2026/00007</t>
  </si>
  <si>
    <t>TLB-DEG-2026/00047</t>
  </si>
  <si>
    <t>TLB-DEG-2026/00045</t>
  </si>
  <si>
    <t>TLB-DEG-2026/00048</t>
  </si>
  <si>
    <t xml:space="preserve"> TLB-ORC-2026/00008</t>
  </si>
  <si>
    <t>TLB-PRO-2026/00657</t>
  </si>
  <si>
    <t>Contratação da participação na capacitação AUDI TI.</t>
  </si>
  <si>
    <t>TLB-PRO-2026/00580</t>
  </si>
  <si>
    <t>TLB-PRO-2026/00447</t>
  </si>
  <si>
    <t>Contratação da capacitação - NR 05 CIPA - Comissão Interna de Prevenção a Acidentes - Grau de Risco 2</t>
  </si>
  <si>
    <t>BIOSEG BRASILIA SOLUCOES EM SEGURANCA E MEDICINA DO TRABALHO LTDA</t>
  </si>
  <si>
    <t>Contratação da capacitação - NR 01 - Treinamento de Integração de Segurança 1</t>
  </si>
  <si>
    <t>TLB-ORC-2026/00010</t>
  </si>
  <si>
    <t>TLB-DEG-2026/00057</t>
  </si>
  <si>
    <t xml:space="preserve"> TLB-ORC-2026/00011</t>
  </si>
  <si>
    <t>TLB-DEG-2026/00056</t>
  </si>
  <si>
    <t>TLB-DEG-2026/00051</t>
  </si>
  <si>
    <t xml:space="preserve"> TLB-ORC-2026/00012</t>
  </si>
  <si>
    <t>TLB-PRO-2026/01002</t>
  </si>
  <si>
    <t>Contratação da participação no seminário políticas de comunicações.</t>
  </si>
  <si>
    <t xml:space="preserve">SAVE PRODUÇÕES EDITORIAIS LTDA </t>
  </si>
  <si>
    <t>01.288.907/0001-60</t>
  </si>
  <si>
    <t>TLB-DEG-2026/00060</t>
  </si>
  <si>
    <t>34.370.234/0001-42</t>
  </si>
  <si>
    <t>TLB-DEG-2026/00061</t>
  </si>
  <si>
    <t>PUBLICAÇÃO DA CONTRATAÇÃO - DISPENSAS E INEXIGIBILIDADE  NO PNCP 2026</t>
  </si>
  <si>
    <t>ORDENS DE COMPRAS 2026</t>
  </si>
  <si>
    <t>TLB-PRO-2026/00961</t>
  </si>
  <si>
    <t>Contratação da participação do presidente da Telebras no evento Satellite GovMilSpace.</t>
  </si>
  <si>
    <t xml:space="preserve"> Access Intelligence, LLC</t>
  </si>
  <si>
    <t>TLB-ORC-2026/00016</t>
  </si>
  <si>
    <t>TLB-DEG-2026/00065</t>
  </si>
  <si>
    <t>Contratação da participação de 10 colaboradores no evento “Agile Trends Gov 2026”.</t>
  </si>
  <si>
    <t>Retire o campo Contrato</t>
  </si>
  <si>
    <t>TLB-ORC-2026/00015</t>
  </si>
  <si>
    <t>Para renomear cada arquivo:</t>
  </si>
  <si>
    <t xml:space="preserve"> TLB-ORC-2026/00017</t>
  </si>
  <si>
    <t xml:space="preserve"> TLB-DEG-2026/00067</t>
  </si>
  <si>
    <t>Arquivo do contrato</t>
  </si>
  <si>
    <t>https://www.telebras.com.br/wp-content/uploads/2026/03/14.-TLBORC202600017-Neurobox-Tecnologia-em-Informatica-Ltda-Tipo-do-objeto-Servicos.pdf</t>
  </si>
  <si>
    <t>https://www.telebras.com.br/wp-content/uploads/2026/03/1.TLB-AUT-202600714-SERPRO-SERVICO-FEDERAL-DE-PROCESSAMENTO-DE-DADOS-Tipo-do-objeto-Servicos.pdf</t>
  </si>
  <si>
    <t>https://www.telebras.com.br/wp-content/uploads/2026/03/2.TLB-ORC-202600002-G2-AR-CONDICIONADO-LTDA-Tipo-do-objeto-Compras.pdf</t>
  </si>
  <si>
    <t>https://www.telebras.com.br/wp-content/uploads/2026/03/3.TLB-AUT-202600688-Empresa-Brasileira-de-Correios-e-Telegrafos-Tipo-do-objeto-Servicos.pdf</t>
  </si>
  <si>
    <t>https://www.telebras.com.br/wp-content/uploads/2026/03/4.TLB-ORC-202600003-TOSTAO-FURADO-LTDA-Tipo-do-objeto-Servicos.pdf</t>
  </si>
  <si>
    <t>https://www.telebras.com.br/wp-content/uploads/2026/03/5.TLB-ORC-202600006-Ibmec-Educacional-Ltda-Tipo-do-objeto-Servicos.pdf</t>
  </si>
  <si>
    <t>https://www.telebras.com.br/wp-content/uploads/2026/03/6.TLB-ORC-202600004-Instituto-dos-Auditores-Internos-do-Brasil-Tipo-do-objeto-Servicos.pdf</t>
  </si>
  <si>
    <t>https://www.telebras.com.br/wp-content/uploads/2026/03/7.TLB-ORC-202600007-QSP-Centro-da-Qualidade-Seguranca-e-Produtividade-para-o-Brasil-e-America-Latina-Tipo-do-objeto-Servicos.pdf</t>
  </si>
  <si>
    <t>https://www.telebras.com.br/wp-content/uploads/2026/03/8.-TLB-ORC-202600008-SUPREME-CAPACITACAO-E-TREINAMENTO-LTDA-Tipo-do-objeto-Servicos.pdf</t>
  </si>
  <si>
    <t>https://www.telebras.com.br/wp-content/uploads/2026/03/10.TLB-ORC-202600010-BIOSEG-BRASILIA-SOLUCOES-EM-SEGURANCA-E-MEDICINA-DO-TRABALHO-LTDA-Tipo-do-objeto-Servicos.pdf</t>
  </si>
  <si>
    <t>https://www.telebras.com.br/wp-content/uploads/2026/03/9.-TLB-ORC-202600011-Instituto-dos-Auditores-Internos-do-Brasil-Tipo-do-objeto-Servicos.pdf</t>
  </si>
  <si>
    <t>https://www.telebras.com.br/wp-content/uploads/2026/03/11.-TLB-ORC-202600012-BIOSEG-BRASILIA-SOLUCOES-EM-SEGURANCA-E-MEDICINA-DO-TRABALHO-LTDA-Tipo-do-objeto-Servicos.pdf</t>
  </si>
  <si>
    <t>https://www.telebras.com.br/wp-content/uploads/2026/03/12.TLB-ORC-202600015-SAVE-PRODUCOES-EDITORIAIS-LTDA-Tipo-do-objeto-Servicos.pdf</t>
  </si>
  <si>
    <t>https://www.telebras.com.br/wp-content/uploads/2026/03/13.TLB-ORC-202600016-Access-Intelligence-LLC-Tipo-do-objeto-Servicos.pdf</t>
  </si>
  <si>
    <t>Sistema de gestão documental SIGA-DOC com acesso restrito para usuários</t>
  </si>
  <si>
    <t>UASG</t>
  </si>
  <si>
    <t>CATMAT/CATSER</t>
  </si>
  <si>
    <t>925150 - 4/2026</t>
  </si>
  <si>
    <t>Compra divulgada no PNCP</t>
  </si>
  <si>
    <t>925150 - 5/2026</t>
  </si>
  <si>
    <t>925150 - 6/2026</t>
  </si>
  <si>
    <t xml:space="preserve"> 925150 - 7/2026</t>
  </si>
  <si>
    <t>925150 - 8/2026</t>
  </si>
  <si>
    <t>925150 - 9/2026</t>
  </si>
  <si>
    <t xml:space="preserve"> 925150 - 10/2026</t>
  </si>
  <si>
    <t>925150 - 11/2026</t>
  </si>
  <si>
    <t>TLB-PRO-2026/01444</t>
  </si>
  <si>
    <t>925150 - 12/2026</t>
  </si>
  <si>
    <t>925150 - 13/2026</t>
  </si>
  <si>
    <t>925150 - 14/2026</t>
  </si>
  <si>
    <t>925150 - 15/2026</t>
  </si>
  <si>
    <t xml:space="preserve"> 925150 - 16/2026</t>
  </si>
  <si>
    <t>ÁREA REQUISITANTE</t>
  </si>
  <si>
    <t>FISCAL DO CONTRATO</t>
  </si>
  <si>
    <t>TLB-ASS-2025/11220</t>
  </si>
  <si>
    <t>TLB-DEG-2025/00126</t>
  </si>
  <si>
    <t>JORGE PEREIRA FRAGOSO NETTO</t>
  </si>
  <si>
    <t>Inserir link gerado no WordPress</t>
  </si>
  <si>
    <t>https://www.telebras.com.br/wp-content/uploads/2026/03/TLB-CTR-202600010.pdf</t>
  </si>
  <si>
    <t>EM ANDAMENTO</t>
  </si>
  <si>
    <t>ETAPA</t>
  </si>
  <si>
    <t>TLB-PRO-2026/01174</t>
  </si>
  <si>
    <t xml:space="preserve"> French Space Agency</t>
  </si>
  <si>
    <t>TLB-CTR-2025/00023</t>
  </si>
  <si>
    <t>TLB-CTR-2025/00022</t>
  </si>
  <si>
    <t>TermodeAdesãonº04720000</t>
  </si>
  <si>
    <t>TLB-ORC-2025/00003</t>
  </si>
  <si>
    <t>TLB-ORC-2025/00006</t>
  </si>
  <si>
    <t>TLB-ORC-2025/00010</t>
  </si>
  <si>
    <t>TLB-ORC-2026/00008</t>
  </si>
  <si>
    <t>TLB-ORC-2026/00011</t>
  </si>
  <si>
    <t>TLB-ORC-2026/00012</t>
  </si>
  <si>
    <t>TLB-ORC-2026/00017</t>
  </si>
  <si>
    <t>https://www.telebras.com.br/wp-content/uploads/2025/04/1.2025NE000538-Instituto-Brasileiro-de-Governanca-Corporativa-IBGC.pdf</t>
  </si>
  <si>
    <t>https://www.telebras.com.br/wp-content/uploads/2025/04/2.2025NE000539-Zenite-Informacao-e-Consultoria.A.pdf</t>
  </si>
  <si>
    <t>https://www.telebras.com.br/wp-content/uploads/2025/04/3.2025NE000572-Inove-Treinamentos-e-Capacitacao-Ltda.pdf</t>
  </si>
  <si>
    <t>https://www.telebras.com.br/wp-content/uploads/2025/04/4.2025NE000588-Zenite-Informacao-e-Consultoria-SA.pdf</t>
  </si>
  <si>
    <t>https://www.telebras.com.br/wp-content/uploads/2025/05/5.TA-no-04720000_2025NE000613-ABRINT.pdf</t>
  </si>
  <si>
    <t>https://www.telebras.com.br/wp-content/uploads/2025/05/6.2025NE000608-KPMG-Business-School-Treinamentos-Corporativos.pdf</t>
  </si>
  <si>
    <t>https://www.telebras.com.br/wp-content/uploads/2025/05/7.2025NE000607-MODERNPMO-GESTAO-E-TECNOLOGIA-LTDA-GESTAO-E-TECNOLOGIA-LTDA.pdf</t>
  </si>
  <si>
    <t>https://www.telebras.com.br/wp-content/uploads/2025/05/8.2025NE000610-FK-PARTNERS.pdf</t>
  </si>
  <si>
    <t>https://www.telebras.com.br/wp-content/uploads/2025/06/9.2025NE000690-A.-F.-Comercio-de-Livros-e-Cursos-Especializados-Ltda.pdf</t>
  </si>
  <si>
    <t>https://www.telebras.com.br/wp-content/uploads/2025/06/10.2025NE000716-3R-CAPACITA-COMERCIO-DE-MATERIAIS-DIDATICOS-E-SERVICOS-EDUCACIONAIS-LTDA.pdf</t>
  </si>
  <si>
    <t>https://www.telebras.com.br/wp-content/uploads/2025/07/11.2025NE761-QSP-CENTRO-DA-QUALIDADE-SEGURANCA-E-PRODUTIVIDADE-PARA-O-BRASIL-E-AMERICA-LATINA.pdf</t>
  </si>
  <si>
    <t>https://www.telebras.com.br/wp-content/uploads/2025/07/12.2025NE774-ABRH-Associacao-Brasileira-de-Recursos-Humanos.pdf</t>
  </si>
  <si>
    <t>https://www.telebras.com.br/wp-content/uploads/2025/07/13.2025NE846-CONSELHO-REGIONAL-DE-CONTABILIDADE-DO-DISTRITO-FEDERAL.pdf</t>
  </si>
  <si>
    <t>https://www.telebras.com.br/wp-content/uploads/2025/09/14.2025NE000953-RENATO-DE-PAULA-APRESENTACOES-INTELIGENTES-LTDA-PPTPLAY.pdf</t>
  </si>
  <si>
    <t>https://www.telebras.com.br/wp-content/uploads/2025/08/14.2025NE001029-Neurobox-Tecnologia-em-Informatica-Ltda.pdf</t>
  </si>
  <si>
    <t>https://www.telebras.com.br/wp-content/uploads/2025/08/15.2025NE001047-Ibmec-Educacional-Ltda.pdf</t>
  </si>
  <si>
    <t>https://www.telebras.com.br/wp-content/uploads/2025/10/17.2025NE001089-Instituto-Brasileiro-de-Governanca-Corporativa.pdf</t>
  </si>
  <si>
    <t>https://www.telebras.com.br/wp-content/uploads/2025/10/18.2025NE001096-Congresso-Brasileiro-de-Auditoria-Interna.pdf</t>
  </si>
  <si>
    <t>https://www.telebras.com.br/wp-content/uploads/2025/10/19.2025NE001103-Informa-Markets-Ltda.pdf</t>
  </si>
  <si>
    <t>https://www.telebras.com.br/wp-content/uploads/2025/10/20.2025NE001105-DLR-Deutsches-Zentrum-fur-Luft-und-Raumfahrt.pdf</t>
  </si>
  <si>
    <t>https://www.telebras.com.br/wp-content/uploads/2025/10/21.-TLB-ORC-2025-00003-GLASBERG-COMUNICACOES-LTDA.pdf</t>
  </si>
  <si>
    <t>https://www.telebras.com.br/wp-content/uploads/2025/10/22.TLB-ORC-2025-00002-INSTITUTO-BRASILEIRO-DE-DIREITO-ADMINISTRATIVO-IBDA.pdf</t>
  </si>
  <si>
    <t>https://www.telebras.com.br/wp-content/uploads/2025/12/23.-TLB-ORC-2025.00006-Instituto-dos-Auditores-Internos-do-Brasil.pdf</t>
  </si>
  <si>
    <t>https://www.telebras.com.br/wp-content/uploads/2025/12/24.TLB-ORC-2025.00007-MCI-BRASIL-LTDA.pdf</t>
  </si>
  <si>
    <t>https://www.telebras.com.br/wp-content/uploads/2025/12/25.TLB-ORC-2025.00008-Instituto-Brasileiro-de-Governanca-Corporativa.pdf</t>
  </si>
  <si>
    <t>https://www.telebras.com.br/wp-content/uploads/2025/12/26.-TLB-ORC-2025.00010-Ibmec-Educacional-Ltda.pdf</t>
  </si>
  <si>
    <t>https://www.telebras.com.br/wp-content/uploads/2025/12/27.TLB-ORC-2025.00004-MARFAP-COMERCIAL-LTDA.pdf</t>
  </si>
  <si>
    <t>https://www.telebras.com.br/wp-content/uploads/2025/12/28.TLB-ORC-2025.00011-SOUL-DISTRIBUIDORA-DE-PRODUTOS-E-EQUIPAMENTOS-INDUSTRIAIS-LTDA.pdf</t>
  </si>
  <si>
    <t>https://www.telebras.com.br/wp-content/uploads/2026/01/29.2025NE000855-M-J-REFRIGERACAO-LTDA.pdf</t>
  </si>
  <si>
    <t>https://www.telebras.com.br/wp-content/uploads/2026/03/2025NE001037_Badia-e-Quartim-Advogados-–-BQA.pdf</t>
  </si>
  <si>
    <t>https://www.telebras.com.br/wp-content/uploads/2025/04/4.TLB-CTR-2025.00023-DELL-COMPUTADORES-DO-BRASIL-LTDA.pdf</t>
  </si>
  <si>
    <t>https://www.telebras.com.br/wp-content/uploads/2025/04/5.TLB-CTR-2025.00022-DELL-COMPUTADORES-DO-BRASIL-LTDA.pdf</t>
  </si>
  <si>
    <t>TLB-CTR-2025/00024</t>
  </si>
  <si>
    <t>https://www.telebras.com.br/wp-content/uploads/2025/04/11.TLB-CTR-2025.00024-SC-BRASIL-GROUP-SOLUCOES-TECNOLOGICAS-LTDA.pdf</t>
  </si>
  <si>
    <t>https://www.telebras.com.br/wp-content/uploads/2025/04/9.TLB-CTR-2025.00017-LEGIS-JET-LTDA.pdf</t>
  </si>
  <si>
    <t>https://www.telebras.com.br/wp-content/uploads/2025/05/12.TLB-CTR-2025.00026-SACHA-CALMON-MISABEL-DERZI-CONSULTORES-E-ADVOGADOS.pdf</t>
  </si>
  <si>
    <t>https://www.telebras.com.br/wp-content/uploads/2025/08/18.TLB-CTR-2025.00048-ASSOCIACAO-BRASILEIRA-DE-ENTIDADES-ESTADUAIS-E-PUBLICAS-DE-TECNOLOGIA-DA-INFORMACAO-E-COMUNICACAO-–-ABEP-TIC.pdf</t>
  </si>
  <si>
    <t>https://www.telebras.com.br/wp-content/uploads/2026/01/39.TLB-CTR-2025.00090-VERTIV-TECNOLOGIA-DO-BRASIL-LTDA.pdf</t>
  </si>
  <si>
    <t>https://www.telebras.com.br/wp-content/uploads/2025/12/29.TLB-CTR-2025.00089-IMPAKT-CONSULTORIA-SS-LIMITADA.pdf</t>
  </si>
  <si>
    <t>https://www.telebras.com.br/wp-content/uploads/2025/10/25.TLB-CTR-2025.00061-FONNET-COMERCIO-DE-EQUIPAMENTOS-DE-TELECOMUNICACOES-LTDA.pdf</t>
  </si>
  <si>
    <t>https://www.telebras.com.br/wp-content/uploads/2025/12/33.TLB-CTR-2025.00103-CENTRO-BRASILEIRO-DE-PESQUISA-EM-AVALIACAO-E-SELECAO-E-DE-PROMOCAO-DE-EVENTOS-CEBRASPE.pdf</t>
  </si>
  <si>
    <t>https://www.telebras.com.br/wp-content/uploads/2026/01/41.TLB-CTR-2025.00115-MPV-SERVICOS-DE-CLINICA-MEDICA-CARDIOLOGIA-E-CIRURGIA-GERAL-LTDA.pdf</t>
  </si>
  <si>
    <t>Nº DA LICITAÇÃO</t>
  </si>
  <si>
    <t>1. ANÁLISE DA INSTRUÇÃO PROCESSUAL</t>
  </si>
  <si>
    <t>2. PESQUISA DE MERCADO</t>
  </si>
  <si>
    <t>3. PREVISÃO ORÇAMENTÁRIA</t>
  </si>
  <si>
    <t>4. ANÁLISE JURÍDICA/SANEAMENTO DO PROCESSO</t>
  </si>
  <si>
    <t>5. TERMO DE APROVAÇÃO/TERMO DE RATIFICAÇÃO</t>
  </si>
  <si>
    <t>5. SANEADOR/LISTA DE VERIFICAÇÃO</t>
  </si>
  <si>
    <t>7. DIF/IVA/AJUSTE RC/DOCS SIGNATÁRIOS/CERTIDÕES</t>
  </si>
  <si>
    <t>ETAPAS - INEXIGIBILIDADE</t>
  </si>
  <si>
    <t>6. PUBLICAÇÃO DO EXTRATO DA INEXIGIBILIDADE/DISPENSA NO DOU</t>
  </si>
  <si>
    <t>8. ASSINATURA DO CONTRATO/PUBLICAÇÃO NO DOU</t>
  </si>
  <si>
    <t>CANCELADO</t>
  </si>
  <si>
    <t>SUSPENSO</t>
  </si>
  <si>
    <t>SOBRESTADO</t>
  </si>
  <si>
    <t>Contratação das participação de 2 funcionários da Telebras no evento International Symposium on Space Flight Dynamics (ISSFD).</t>
  </si>
  <si>
    <t>Contratação da participação de 2 empregados da Telebras no evento “Financial Planning and Analysis Summit”</t>
  </si>
  <si>
    <t>TLB-PRO-2026/01689</t>
  </si>
  <si>
    <t>AABC Organização de Eventos Ltda</t>
  </si>
  <si>
    <t>50.162.682/0001-07</t>
  </si>
  <si>
    <t>https://www.telebras.com.br/wp-content/uploads/2025/02/69.2024NE001059-MARCIA-GONCALVES-FARIA-ROSA.pdf</t>
  </si>
  <si>
    <t>https://www.telebras.com.br/wp-content/uploads/2024/12/12.2024NE000566-ACCESS-INTELLIGENCE-LLC.pdf</t>
  </si>
  <si>
    <t>https://www.telebras.com.br/wp-content/uploads/2024/12/16.2024NE000632-ZENITE-INFORMACAO-E-CONSULTORIA-SA.pdf</t>
  </si>
  <si>
    <t>https://www.telebras.com.br/wp-content/uploads/2024/12/13.2024NE000628-ATP-SPECIALS-BV.pdf</t>
  </si>
  <si>
    <t>https://www.telebras.com.br/wp-content/uploads/2024/12/34.2024NE000684-IBET-INSTITUTO-BRASILEIRO-DE-ESTUDOS-TRIBUTARIOS.pdf</t>
  </si>
  <si>
    <t>https://www.telebras.com.br/wp-content/uploads/2024/12/17.2024NE000653-CENOFISCO-CENTRO-DE-CAPACITACAO-PROFISSIONAL-LTDA.pdf</t>
  </si>
  <si>
    <t>https://www.telebras.com.br/wp-content/uploads/2024/12/39.2024NE000909-Bioseg-Brasilia-Solucoes-em-Seguranca-e-Medicina-do-Trabalho-Ltda.pdf</t>
  </si>
  <si>
    <t>https://www.telebras.com.br/wp-content/uploads/2024/12/41.2024NE000896-ASSOCIACAO-BRASILEIRA-DE-ENTIDADES-ESTADUAIS.pdf</t>
  </si>
  <si>
    <t>https://www.telebras.com.br/wp-content/uploads/2024/12/42.2024NE000895-ASSOCIACAO-BRASILEIRA-DE-RECURSOS-HUMANOS.pdf</t>
  </si>
  <si>
    <t>https://www.telebras.com.br/wp-content/uploads/2025/02/68.2024NE000946-Fundacao-Getulio-Vargas.pdf</t>
  </si>
  <si>
    <t>https://www.telebras.com.br/wp-content/uploads/2024/12/56.2024NE000972-INSTITUTO-BRASILEIRO-DE-GOVERNANCA-CORPORATIVA.pdf</t>
  </si>
  <si>
    <t>https://www.telebras.com.br/wp-content/uploads/2024/12/58.2024NE000985-Bioseg-Brasilia-Solucoes-em-Seguranca-e-Medicina-do-Trabalho-Ltda.pdf</t>
  </si>
  <si>
    <t>https://www.telebras.com.br/wp-content/uploads/2024/12/59.2024NE001046-NP-Tecnologia-e-Gestao-de-Dados-Ltda.pdf</t>
  </si>
  <si>
    <t>https://www.telebras.com.br/wp-content/uploads/2025/02/70.2024NE001078-ZENITE-INFORMACAO-E-CONSULTORIA-SA.pdf</t>
  </si>
  <si>
    <t>https://www.telebras.com.br/wp-content/uploads/2025/02/71.2024NE001081-INSTITUTO-BRASILEIRO-DE-GOVERNANCA-CORPORATIV_1.pdf</t>
  </si>
  <si>
    <t>https://www.telebras.com.br/wp-content/uploads/2025/02/72.2024NE001084-FUNDACAO-INSTITUTO-NACIONAL-DE-TELECOMUNICACO_2.pdf</t>
  </si>
  <si>
    <t>https://www.telebras.com.br/wp-content/uploads/2025/02/73.2024NE001085-AKADEMIA-DE-TRANSFORMACAO-ORGANIZACIONAL-LTDA.pdf</t>
  </si>
  <si>
    <t>https://www.telebras.com.br/wp-content/uploads/2025/02/74.2024NE001082-MARIANA-RODRIGUES-DE-LIMA_3.pdf</t>
  </si>
  <si>
    <t>https://www.telebras.com.br/wp-content/uploads/2025/02/75.2024NE001088-BMEC-EDUCACIONAL-LTDA_4.pdf</t>
  </si>
  <si>
    <t>https://www.telebras.com.br/wp-content/uploads/2025/02/76.2024NE001105-SINGULARES-TECNOLOGIA-DA-INFORMACAO-LTDA.pdf</t>
  </si>
  <si>
    <t>https://www.telebras.com.br/wp-content/uploads/2025/02/77.2024NE001098-MINDWORKS-TECNOLOGIA-E-TREINAMENTO-LTDA_5.pdf</t>
  </si>
  <si>
    <t>https://www.telebras.com.br/wp-content/uploads/2025/02/78.2024NE001103-FUNDACAO-INSTITUTO-DE-PESQUISAS-CONTABEIS-AT.pdf</t>
  </si>
  <si>
    <t>https://www.telebras.com.br/wp-content/uploads/2025/02/79.2024NE001108-MINDWORKS-TECNOLOGIA-E-TREINAMENTO-LTDA.pdf</t>
  </si>
  <si>
    <t>https://www.telebras.com.br/wp-content/uploads/2025/02/80.2024NE001104-MINDWORKS-TECNOLOGIA-E-TREINAMENTO-LTDA.pdf</t>
  </si>
  <si>
    <t>https://www.telebras.com.br/wp-content/uploads/2025/02/81.2024NE001110-KPMG-ASSURANCE-SERVICES-LTDA.pdf</t>
  </si>
  <si>
    <t>https://www.telebras.com.br/wp-content/uploads/2025/02/82.2024NE001109-ABTD-ASSOCIACAO-BRASILEIRA-DE-TREINAMENTO_6.pdf</t>
  </si>
  <si>
    <t>https://www.telebras.com.br/wp-content/uploads/2025/02/83.2024NE001137-KA-SOLUTION-INFORMATICA-LTDA_7.pdf</t>
  </si>
  <si>
    <t>https://www.telebras.com.br/wp-content/uploads/2024/12/14.2024NE000601-INLABS-CAPACITACAO-PROFISSIONAL-LTDA.pdf</t>
  </si>
  <si>
    <t>https://www.telebras.com.br/wp-content/uploads/2024/12/29.-TLB-CTR-2024-00045-INSTITUTO-BRASILEIRO-DE-GOVERNANCA-CORPORATIVA-IBGC.pdf</t>
  </si>
  <si>
    <t>TR</t>
  </si>
  <si>
    <t>ARQUIVOS DA LICITAÇÃO (LINKS WORD PRESS - SITE)</t>
  </si>
  <si>
    <t>JUST. ESCOLHA FORNECEDOR</t>
  </si>
  <si>
    <t>ATO RATIFICAÇÃO (Autor. Sup)</t>
  </si>
  <si>
    <t xml:space="preserve"> TLB-ORC-2026/00018</t>
  </si>
  <si>
    <t>TLB-DEG-2026/00070</t>
  </si>
  <si>
    <t>TLB-PRO-2026/01803</t>
  </si>
  <si>
    <t>TLB-PRO-2026/01844</t>
  </si>
  <si>
    <t>ASSOCIACAO BRASILEIRA DE PROVEDORES DE INTERNET E TELECOMUNICACOES</t>
  </si>
  <si>
    <t>TLB-PRO-2026/01896</t>
  </si>
  <si>
    <t>Contratação da participação no Evento Abrint Global Congress 2026.</t>
  </si>
  <si>
    <t>Contratação da participação de 06 funcionários no evento Eleva Estatais.</t>
  </si>
  <si>
    <t>Eleva Soluções Públicas Ltda</t>
  </si>
  <si>
    <t>47.766.718/0001-57</t>
  </si>
  <si>
    <t>TLB-ASS-2024/10894</t>
  </si>
  <si>
    <t>https://www.telebras.com.br/wp-content/uploads/2026/04/15.-2024NE001135-FUNDACAO-GETULIO-VARGAS-1.pdf</t>
  </si>
  <si>
    <t>https://www.telebras.com.br/wp-content/uploads/2026/04/14.-2024NE000915-INST-BRAS-DE-GOVERNANCA-CORPORATIVA-1.pdf</t>
  </si>
  <si>
    <t>https://www.telebras.com.br/wp-content/uploads/2026/04/13.-2024NE000948-ASSOC-BRAS-DE-GESTAO-CONHECIMENTO-SBGC-1.pdf</t>
  </si>
  <si>
    <t>https://www.telebras.com.br/wp-content/uploads/2026/04/11.-2024NE000920-INSTITUTO-DOS-AUDITORES-INTERNOS-DO-BRASIL-1.pdf</t>
  </si>
  <si>
    <t>https://www.telebras.com.br/wp-content/uploads/2026/04/10.-2024NE000940-SPACE-DATA-ASSOCIATION-1.pdf</t>
  </si>
  <si>
    <t>https://www.telebras.com.br/wp-content/uploads/2026/04/8.-2024NE000822-LEC-EDUCACAO-E-PESQUISA-LTDA-1.pdf</t>
  </si>
  <si>
    <t>https://www.telebras.com.br/wp-content/uploads/2026/04/7.-2024NE000711-INTEG-ESCOLA-DE-NEGOCIOS-LTDA-1.pdf</t>
  </si>
  <si>
    <t>https://www.telebras.com.br/wp-content/uploads/2026/04/6.-2024NE000820-ASSOC-BRAS-PROVEDORES-DE-INTERNET-ABRINT-1.pdf</t>
  </si>
  <si>
    <t>https://www.telebras.com.br/wp-content/uploads/2026/04/5.-2024NE000693-LEC-EDUC-E-PESQUISA-LTDA-1.pdf</t>
  </si>
  <si>
    <t>https://www.telebras.com.br/wp-content/uploads/2026/04/4.-2024NE000824-IMPAKT-CONSULTORIA-1.pdf</t>
  </si>
  <si>
    <t>https://www.telebras.com.br/wp-content/uploads/2026/04/1.-2024NE001121-NW-SHOP-COMERCIO-LTDA-1.pdf</t>
  </si>
  <si>
    <t>https://www.telebras.com.br/wp-content/uploads/2026/04/2.-2024NE001102-GS-SERVICOS-LTDA-1.pdf</t>
  </si>
  <si>
    <t>https://www.telebras.com.br/wp-content/uploads/2026/04/12.-2024NE000891-FUNDACAO-NACIONAL-DE-QUALIDADE-FNQ-1.pdf</t>
  </si>
  <si>
    <t>https://www.telebras.com.br/wp-content/uploads/2026/04/3.-2024NE001125-TERACOM-TELEMATICA-SA-1.pdf</t>
  </si>
  <si>
    <t>https://www.telebras.com.br/wp-content/uploads/2026/04/15.-TLBORC202600018-Agencia-Espacial-Francesa-Tipo-do-objeto-servico.pdf</t>
  </si>
  <si>
    <t>TLB-ORC-2026/00021</t>
  </si>
  <si>
    <t xml:space="preserve"> TLB-ORC-2026/00020</t>
  </si>
  <si>
    <t>Aquisição de material promocional de divulgação institucional (sacolas) para o exercício de 2026.</t>
  </si>
  <si>
    <t>925150 - 18/2026</t>
  </si>
  <si>
    <t>Obras e Serviços de Engenharia</t>
  </si>
  <si>
    <t>RENOMEAÇÃO AQUIVOS</t>
  </si>
  <si>
    <t>SEQ</t>
  </si>
  <si>
    <t>TLB-PRO-2026/02540</t>
  </si>
  <si>
    <t>Contratação da participação de 2 colaboradores da Telebras no evento IEEE (Institute of Electrical and Electronics Engineers, Inc.) - International Conference on Communications 2026.</t>
  </si>
  <si>
    <t>TLB-ORC-2026/00023</t>
  </si>
  <si>
    <t xml:space="preserve"> TLB-DEG-2026/00076</t>
  </si>
  <si>
    <t>TLB-DEG-2026/00077</t>
  </si>
  <si>
    <t>IEEE - International Conference on Communications</t>
  </si>
  <si>
    <t>Bruna Kerolayne Teixeira Félix</t>
  </si>
  <si>
    <t xml:space="preserve"> TLB-DEG-2026/00090</t>
  </si>
  <si>
    <t>TLB-PRO-2026/02273</t>
  </si>
  <si>
    <t>Participação da GGP no CONARH 2026 - Congresso Nacional de Gestão de Pessoas.</t>
  </si>
  <si>
    <t>TLB-PRO-2026/02574</t>
  </si>
  <si>
    <t>Contratação da participação de 2 colaboradopres no Congresso Brasileiro de Treinamento e Desenvolvimento (CBTD 2026).</t>
  </si>
  <si>
    <t>TLB-PRO-2026/02922</t>
  </si>
  <si>
    <t xml:space="preserve"> Contratação da participação de 4 (quatro) colaboradores da Telebras na capacitação "Formação em Gestão de Inteligência Artificial".</t>
  </si>
  <si>
    <t>ESPM - Associação Escola Superior de Propaganda e Marketing</t>
  </si>
  <si>
    <t>61.825.675/0001-64</t>
  </si>
  <si>
    <t xml:space="preserve"> TLB-ORC-2026/00025</t>
  </si>
  <si>
    <t>TLB-ORC-2026/00024</t>
  </si>
  <si>
    <t>TLB-DEG-2026/00092</t>
  </si>
  <si>
    <t xml:space="preserve"> TLB-ORC-2026/00027</t>
  </si>
  <si>
    <t>TLB-DEG-2026/00093</t>
  </si>
  <si>
    <t>TLB-PRO-2026/02929</t>
  </si>
  <si>
    <t>Contratação da participação no Congresso Latino-Americano de Auditoria Interna (CLAI) 2026.</t>
  </si>
  <si>
    <t>TLB-ORC-2026/00022</t>
  </si>
  <si>
    <t>RUTE ARANTES DE AZEVEDO - ME</t>
  </si>
  <si>
    <t>31.508.320/0001-80</t>
  </si>
  <si>
    <t>TLB-DEG-2026/00086</t>
  </si>
  <si>
    <t>https://www.telebras.com.br/wp-content/uploads/2026/05/TLBORC202600022A_RUTE-ARANTES-DE-AZEVEDO-ME.pdf</t>
  </si>
  <si>
    <t>TLB-AUT-2026/07283</t>
  </si>
  <si>
    <t>TLB-DEG-2026/00089</t>
  </si>
  <si>
    <t>https://www.telebras.com.br/wp-content/uploads/2026/05/TLBAUT202607283A_ABRINT-1.pdf</t>
  </si>
  <si>
    <t>https://www.telebras.com.br/wp-content/uploads/2026/05/TLBORC202600027A_ABRH-Associacao-Brasileira-de-Recursos-Humanos.pdf</t>
  </si>
  <si>
    <t>https://www.telebras.com.br/wp-content/uploads/2026/05/TLBORC202600025A_ABTD-ASSOCIACAO-BRASILEIRA-DE-TREINAMENTO.pdf</t>
  </si>
  <si>
    <t>https://www.telebras.com.br/wp-content/uploads/2026/05/TLBORC202600023A_IEEE_Institute-of-Electrical-and-Electronics.pdf</t>
  </si>
  <si>
    <t>https://www.telebras.com.br/wp-content/uploads/2026/05/TLBORC202600020A_ELEVA-SOLUCOES.pdf</t>
  </si>
  <si>
    <t>https://www.telebras.com.br/wp-content/uploads/2026/05/TLBORC202600024A_ESPM-Associacao-Escola-Superior-de-Propaganda-e-Marketing.pdf</t>
  </si>
  <si>
    <t>https://www.telebras.com.br/wp-content/uploads/2026/05/TLBORC202600021A_AABC-Organizacao-de-Eventos-Ltda.pdf</t>
  </si>
  <si>
    <t>O termo de refência e o objeto é o mesmo do n° 10</t>
  </si>
  <si>
    <t>TLB-PRO-2026/03278</t>
  </si>
  <si>
    <t>62.070.115/0001-01</t>
  </si>
  <si>
    <t>Contratação da participação de 05 colaboradores da Telebras, no curso Auditando a Gestão de Riscos Corporativos (GRC).</t>
  </si>
  <si>
    <t>TLB-PRO-2025/05401</t>
  </si>
  <si>
    <t>Contratação da versão Plus 100  da ferramenta de pesquisa e comparação de preços praticados pela administração pública, denominada Banco de Preços, que consiste num sistema de pesquisa baseado em resultados de licitações adjudicadas e homologadas, a fim de facilitar a pesquisa de mercado para estimar os custos das contratações da TELEBRAS.</t>
  </si>
  <si>
    <t xml:space="preserve"> TLB-ORC-2025/00005</t>
  </si>
  <si>
    <t>TLB-DEG-2025/00144</t>
  </si>
  <si>
    <t>Franciele Ferreira da Silva</t>
  </si>
  <si>
    <t>TLB-ORC-2026/00031</t>
  </si>
  <si>
    <t>TLB-DEG-2026/00098</t>
  </si>
  <si>
    <t xml:space="preserve"> TLB-ORC-2026/00033</t>
  </si>
  <si>
    <t xml:space="preserve"> TLB-DEG-2026/00102</t>
  </si>
  <si>
    <t>925150 - 2/2026</t>
  </si>
  <si>
    <t>925150 - 21/2026</t>
  </si>
  <si>
    <t>925150 - 22/2026</t>
  </si>
  <si>
    <t>925150 - 23/2026</t>
  </si>
  <si>
    <t>925150 - 24/2026</t>
  </si>
  <si>
    <t>925150 - 25/2026</t>
  </si>
  <si>
    <t>925150 - 26/2026</t>
  </si>
  <si>
    <t>925150 - 27/2026</t>
  </si>
  <si>
    <t>925150 - 28/2026</t>
  </si>
  <si>
    <t>https://www.telebras.com.br/wp-content/uploads/2026/06/TLBORC202600031A_Instituto-dos-Auditores-Internos-do-Brasil.pdf</t>
  </si>
  <si>
    <t>https://www.telebras.com.br/wp-content/uploads/2026/06/TLBORC202600033A_Instituto-dos-Auditores-Internos-do-Brasil.pdf</t>
  </si>
  <si>
    <t>TLB-PRO-2025/07112</t>
  </si>
  <si>
    <t>Contratação de empresa especializada para fornecimento de 8 (oito) licenças da ferramenta de design online CANVA PRO+</t>
  </si>
  <si>
    <t>TLB-PRO-2024/05917</t>
  </si>
  <si>
    <t>Contratação de Serviços Especializados de Reparos de Placas DWDM para Atendimento de RMAs</t>
  </si>
  <si>
    <t>PADTEC S.A </t>
  </si>
  <si>
    <t>03.549.807/0009-23</t>
  </si>
  <si>
    <t>TLB-AUT-2026/08343</t>
  </si>
  <si>
    <t>TLB-PRO-2026/02917</t>
  </si>
  <si>
    <t>Garrafas térmicas personalizadas com a logomarca da Telebras</t>
  </si>
  <si>
    <t>ASCOM/GP</t>
  </si>
  <si>
    <t>NOBRE BRINDES LTDA</t>
  </si>
  <si>
    <t>65.114.343/0001-22</t>
  </si>
  <si>
    <t>TLB-ORC-2026/00029</t>
  </si>
  <si>
    <t>TLB-PRO-2026/02420</t>
  </si>
  <si>
    <t>Aquisição de controladores automáticos (DEIF) do painel de automação dos Grupo Motor Gerador (GMG) para as Estações de Acesso/Gateways</t>
  </si>
  <si>
    <t>TLB-PRO-2026/03298</t>
  </si>
  <si>
    <t>Contratação de serviços técnicos especializados de auditoria independente para o 2º, 3º e 4º trimestre de 2026, com a apresentação das Demonstrações anuais.</t>
  </si>
  <si>
    <t>TLB-PRO-2026/02422</t>
  </si>
  <si>
    <t>Contratação de empresa especializada para instalação de Rede de proteção/ Rede anti-pássaro para a Estação de Acesso / Gateway Campo Grande.</t>
  </si>
  <si>
    <t>TLB-PRO-2026/02360</t>
  </si>
  <si>
    <t>Contratação de serviços para a realização da Copa Telebras, com fornecimento de infraestrutura, materiais e apoio operacional necessários à execução do evento.</t>
  </si>
  <si>
    <t>HMD BAR E LANCHONETE LTDA</t>
  </si>
  <si>
    <t>TLB-ORC-2026/00035</t>
  </si>
  <si>
    <t>03.756.709/0001-00</t>
  </si>
  <si>
    <t>TLB-PRO-2026/01132</t>
  </si>
  <si>
    <t>Contratação dos serviços de mudança dos equipamentos UPS - APC Symmetra PX160 para a nova sede da Telebras</t>
  </si>
  <si>
    <t>SCHNEIDER ELECTRIC BRASIL LTDA</t>
  </si>
  <si>
    <t>82.743.287/0001-04</t>
  </si>
  <si>
    <t>TLB-PRO-2026/02353</t>
  </si>
  <si>
    <t xml:space="preserve">Distribuição de publicidade legal impressa e/ou eletrônica </t>
  </si>
  <si>
    <t>EMPRESABRASILDECOMUNICAÇÃOS/A–EBC</t>
  </si>
  <si>
    <t xml:space="preserve"> </t>
  </si>
  <si>
    <t>https://www.telebras.com.br/wp-content/uploads/2026/06/78_JUST_ROLLS-ROYCE-SOLUTIONS-BRASIL-LTDA.pdf</t>
  </si>
  <si>
    <t>https://www.telebras.com.br/wp-content/uploads/2026/06/78_RAT_ROLLS-ROYCE-SOLUTIONS-BRASIL-LTDA.pdf</t>
  </si>
  <si>
    <t>https://www.telebras.com.br/wp-content/uploads/2026/06/78_TR_ROLLS-ROYCE-SOLUTIONS-BRASIL-LTDA.pdf</t>
  </si>
  <si>
    <t>https://www.telebras.com.br/wp-content/uploads/2026/06/83_JUST_SERPRO-SERVICO-FEDERAL-DE-PROCESSAMENTO-DE-DADOS.pdf</t>
  </si>
  <si>
    <t>https://www.telebras.com.br/wp-content/uploads/2026/06/83_RAT_SERPRO-SERVICO-FEDERAL-DE-PROCESSAMENTO-DE-DADOS.pdf</t>
  </si>
  <si>
    <t>https://www.telebras.com.br/wp-content/uploads/2026/06/83_TR_SERPRO-SERVICO-FEDERAL-DE-PROCESSAMENTO-DE-DADOS.pdf</t>
  </si>
  <si>
    <t>https://www.telebras.com.br/wp-content/uploads/2026/06/88_TR_G2-AR-CONDICIONADO-LTDA.pdf</t>
  </si>
  <si>
    <t>https://www.telebras.com.br/wp-content/uploads/2026/06/88_JUST_G2-AR-CONDICIONADO-LTDA.pdf</t>
  </si>
  <si>
    <t>https://www.telebras.com.br/wp-content/uploads/2026/06/88_APR_G2-AR-CONDICIONADO-LTDA.pdf</t>
  </si>
  <si>
    <t>https://www.telebras.com.br/wp-content/uploads/2026/06/89_JUST_Empresa-Brasileira-de-Correios-e-Telegrafos.pdf</t>
  </si>
  <si>
    <t>https://www.telebras.com.br/wp-content/uploads/2026/06/89_RAT_Empresa-Brasileira-de-Correios-e-Telegrafos.pdf</t>
  </si>
  <si>
    <t>https://www.telebras.com.br/wp-content/uploads/2026/06/93_RAT_IBMEC-EDUCACIONAL-LTDA.pdf</t>
  </si>
  <si>
    <t>https://www.telebras.com.br/wp-content/uploads/2026/06/93_TR_IBMEC-EDUCACIONAL-LTDA.pdf</t>
  </si>
  <si>
    <t>https://www.telebras.com.br/wp-content/uploads/2026/06/93_JUST_IBMEC-EDUCACIONAL-LTDA.pdf</t>
  </si>
  <si>
    <t>https://www.telebras.com.br/wp-content/uploads/2026/06/94_JUST_INSTITUTO-DOS-AUDITORES-INTERNOS-DO-BRASIL.pdf</t>
  </si>
  <si>
    <t>https://www.telebras.com.br/wp-content/uploads/2026/06/94_RAT_INSTITUTO-DOS-AUDITORES-INTERNOS-DO-BRASIL.pdf</t>
  </si>
  <si>
    <t>https://www.telebras.com.br/wp-content/uploads/2026/06/94_TR_INSTITUTO-DOS-AUDITORES-INTERNOS-DO-BRASIL.pdf</t>
  </si>
  <si>
    <t>https://www.telebras.com.br/wp-content/uploads/2026/06/95_JUST_-QSP-Centro-da-Qualidade-Seguranca-e-Produtividade-para-o-Brasil-e-America-Latina.pdf</t>
  </si>
  <si>
    <t>https://www.telebras.com.br/wp-content/uploads/2026/06/95_RAT_-QSP-Centro-da-Qualidade-Seguranca-e-Produtividade-para-o-Brasil-e-America-Latina.pdf</t>
  </si>
  <si>
    <t>https://www.telebras.com.br/wp-content/uploads/2026/06/95_TR_-QSP-Centro-da-Qualidade-Seguranca-e-Produtividade-para-o-Brasil-e-America-Latina.pdf</t>
  </si>
  <si>
    <t>https://www.telebras.com.br/wp-content/uploads/2026/06/96_JUST_-SUPREME-CAPACITACAO-E-TREINAMENTO-LTDA.pdf</t>
  </si>
  <si>
    <t>https://www.telebras.com.br/wp-content/uploads/2026/06/96_RAT_-SUPREME-CAPACITACAO-E-TREINAMENTO-LTDA.pdf</t>
  </si>
  <si>
    <t>https://www.telebras.com.br/wp-content/uploads/2026/06/96_TR_-SUPREME-CAPACITACAO-E-TREINAMENTO-LTDA.pdf</t>
  </si>
  <si>
    <t>https://www.telebras.com.br/wp-content/uploads/2026/06/97_JUST_INSTITUTO-DOS-AUDITORES-INTERNOS-DO-BRASIL.pdf</t>
  </si>
  <si>
    <t>https://www.telebras.com.br/wp-content/uploads/2026/06/97_RAT_INSTITUTO-DOS-AUDITORES-INTERNOS-DO-BRASIL.pdf</t>
  </si>
  <si>
    <t>https://www.telebras.com.br/wp-content/uploads/2026/06/97_TR_INSTITUTO-DOS-AUDITORES-INTERNOS-DO-BRASIL.pdf</t>
  </si>
  <si>
    <t>https://www.telebras.com.br/wp-content/uploads/2026/06/98_JUST_BIOSEG-BRASILIA-SOLUCOES-EM-SEGURANCA-E-MEDICINA-DO-TRABALHO-LTDA.pdf</t>
  </si>
  <si>
    <t>https://www.telebras.com.br/wp-content/uploads/2026/06/98_RAT_BIOSEG-BRASILIA-SOLUCOES-EM-SEGURANCA-E-MEDICINA-DO-TRABALHO-LTDA.pdf</t>
  </si>
  <si>
    <t>https://www.telebras.com.br/wp-content/uploads/2026/06/98_TR_BIOSEG-BRASILIA-SOLUCOES-EM-SEGURANCA-E-MEDICINA-DO-TRABALHO-LTDA.pdf</t>
  </si>
  <si>
    <t>https://www.telebras.com.br/wp-content/uploads/2026/06/99_JUST_BIOSEG-BRASILIA-SOLUCOES-EM-SEGURANCA-E-MEDICINA-DO-TRABALHO-LTDA.pdf</t>
  </si>
  <si>
    <t>https://www.telebras.com.br/wp-content/uploads/2026/06/99_RAT_BIOSEG-BRASILIA-SOLUCOES-EM-SEGURANCA-E-MEDICINA-DO-TRABALHO-LTDA.pdf</t>
  </si>
  <si>
    <t>https://www.telebras.com.br/wp-content/uploads/2026/06/99_TR_BIOSEG-BRASILIA-SOLUCOES-EM-SEGURANCA-E-MEDICINA-DO-TRABALHO-LTDA.pdf</t>
  </si>
  <si>
    <t>https://www.telebras.com.br/wp-content/uploads/2026/06/100_JUST_SAVE-PRODUCOES-EDITORIAIS-LTDA.pdf</t>
  </si>
  <si>
    <t>https://www.telebras.com.br/wp-content/uploads/2026/06/100_RAT_SAVE-PRODUCOES-EDITORIAIS-LTDA.pdf</t>
  </si>
  <si>
    <t>https://www.telebras.com.br/wp-content/uploads/2026/06/100_TR_SAVE-PRODUCOES-EDITORIAIS-LTDA.pdf</t>
  </si>
  <si>
    <t>https://www.telebras.com.br/wp-content/uploads/2026/06/101_JUST_-Access-Intelligence-LLC.pdf</t>
  </si>
  <si>
    <t>https://www.telebras.com.br/wp-content/uploads/2026/06/101_RAT_-Access-Intelligence-LLC.pdf</t>
  </si>
  <si>
    <t>https://www.telebras.com.br/wp-content/uploads/2026/06/101_TR_-Access-Intelligence-LLC.pdf</t>
  </si>
  <si>
    <t>https://www.telebras.com.br/wp-content/uploads/2026/06/102_JUST_Neurobox-Tecnologia-em-Informatica-Ltda.pdf</t>
  </si>
  <si>
    <t>https://www.telebras.com.br/wp-content/uploads/2026/06/102_RAT_Neurobox-Tecnologia-em-Informatica-Ltda.pdf</t>
  </si>
  <si>
    <t>https://www.telebras.com.br/wp-content/uploads/2026/06/102_TR_Neurobox-Tecnologia-em-Informatica-Ltda.pdf</t>
  </si>
  <si>
    <t>https://www.telebras.com.br/wp-content/uploads/2026/06/103_JUST_-French-Space-Agency.pdf</t>
  </si>
  <si>
    <t>https://www.telebras.com.br/wp-content/uploads/2026/06/103_RAT_-French-Space-Agency.pdf</t>
  </si>
  <si>
    <t>https://www.telebras.com.br/wp-content/uploads/2026/06/103_TR_-French-Space-Agency.pdf</t>
  </si>
  <si>
    <t>https://www.telebras.com.br/wp-content/uploads/2026/06/104_JUST_AABC-Organizacao-de-Eventos-Ltda.pdf</t>
  </si>
  <si>
    <t>https://www.telebras.com.br/wp-content/uploads/2026/06/104_RAT_AABC-Organizacao-de-Eventos-Ltda.pdf</t>
  </si>
  <si>
    <t>https://www.telebras.com.br/wp-content/uploads/2026/06/104_TR_AABC-Organizacao-de-Eventos-Ltda.pdf</t>
  </si>
  <si>
    <t>https://www.telebras.com.br/wp-content/uploads/2026/06/105_JUST_RUTE-ARANTES-DE-AZEVEDO-ME.pdf</t>
  </si>
  <si>
    <t>https://www.telebras.com.br/wp-content/uploads/2026/06/105_RAT_RUTE-ARANTES-DE-AZEVEDO-ME.pdf</t>
  </si>
  <si>
    <t>https://www.telebras.com.br/wp-content/uploads/2026/06/105_TR_RUTE-ARANTES-DE-AZEVEDO-ME.pdf</t>
  </si>
  <si>
    <t>https://www.telebras.com.br/wp-content/uploads/2026/06/106_JUST_ASSOCIACAO-BRASILEIRA-DE-PROVEDORES-DE-INTERNET-E-TELECOMUNICACOES.pdf</t>
  </si>
  <si>
    <t>https://www.telebras.com.br/wp-content/uploads/2026/06/106_RAT_ASSOCIACAO-BRASILEIRA-DE-PROVEDORES-DE-INTERNET-E-TELECOMUNICACOES.pdf</t>
  </si>
  <si>
    <t>https://www.telebras.com.br/wp-content/uploads/2026/06/106_TR_ASSOCIACAO-BRASILEIRA-DE-PROVEDORES-DE-INTERNET-E-TELECOMUNICACOES.pdf</t>
  </si>
  <si>
    <t>https://www.telebras.com.br/wp-content/uploads/2026/06/107_JUST_Eleva-Solucoes-Publicas-Ltda.pdf</t>
  </si>
  <si>
    <t>https://www.telebras.com.br/wp-content/uploads/2026/06/107_RAT_Eleva-Solucoes-Publicas-Ltda.pdf</t>
  </si>
  <si>
    <t>https://www.telebras.com.br/wp-content/uploads/2026/06/107_TR_Eleva-Solucoes-Publicas-Ltda.pdf</t>
  </si>
  <si>
    <t>https://www.telebras.com.br/wp-content/uploads/2026/06/108_JUST_IEEE-International-Conference-on-Communications.pdf</t>
  </si>
  <si>
    <t>https://www.telebras.com.br/wp-content/uploads/2026/06/108_RAT_IEEE-International-Conference-on-Communications.pdf</t>
  </si>
  <si>
    <t>https://www.telebras.com.br/wp-content/uploads/2026/06/108_TR_IEEE-International-Conference-on-Communications.pdf</t>
  </si>
  <si>
    <t>https://www.telebras.com.br/wp-content/uploads/2026/06/109_JUST_ABRH-Associacao-Brasileira-de-Recursos-Humanos.pdf</t>
  </si>
  <si>
    <t>https://www.telebras.com.br/wp-content/uploads/2026/06/109_RAT_ABRH-Associacao-Brasileira-de-Recursos-Humanos.pdf</t>
  </si>
  <si>
    <t>https://www.telebras.com.br/wp-content/uploads/2026/06/109_TR_ABRH-Associacao-Brasileira-de-Recursos-Humanos.pdf</t>
  </si>
  <si>
    <t>https://www.telebras.com.br/wp-content/uploads/2026/06/110_JUST_ABTD-ASSOCIACAO-BRASILEIRA-DE-TREINAMENTO.pdf</t>
  </si>
  <si>
    <t>https://www.telebras.com.br/wp-content/uploads/2026/06/110_RAT_ABTD-ASSOCIACAO-BRASILEIRA-DE-TREINAMENTO.pdf</t>
  </si>
  <si>
    <t>https://www.telebras.com.br/wp-content/uploads/2026/06/110_TR_ABTD-ASSOCIACAO-BRASILEIRA-DE-TREINAMENTO.pdf</t>
  </si>
  <si>
    <t>https://www.telebras.com.br/wp-content/uploads/2026/06/111_JUST_ESPM-Associacao-Escola-Superior-de-Propaganda-e-Marketing.pdf</t>
  </si>
  <si>
    <t>https://www.telebras.com.br/wp-content/uploads/2026/06/111_RAT_ESPM-Associacao-Escola-Superior-de-Propaganda-e-Marketing.pdf</t>
  </si>
  <si>
    <t>https://www.telebras.com.br/wp-content/uploads/2026/06/111_TR_ESPM-Associacao-Escola-Superior-de-Propaganda-e-Marketing.pdf</t>
  </si>
  <si>
    <t>https://www.telebras.com.br/wp-content/uploads/2026/06/112_JUST_INSTITUTO-DOS-AUDITORES-INTERNOS-DO-BRASIL.pdf</t>
  </si>
  <si>
    <t>https://www.telebras.com.br/wp-content/uploads/2026/06/112_RAT_INSTITUTO-DOS-AUDITORES-INTERNOS-DO-BRASIL.pdf</t>
  </si>
  <si>
    <t>https://www.telebras.com.br/wp-content/uploads/2026/06/112_TR_INSTITUTO-DOS-AUDITORES-INTERNOS-DO-BRASIL.pdf</t>
  </si>
  <si>
    <t>https://www.telebras.com.br/wp-content/uploads/2026/06/113_JUST_INSTITUTO-DOS-AUDITORES-INTERNOS-DO-BRASIL.pdf</t>
  </si>
  <si>
    <t>https://www.telebras.com.br/wp-content/uploads/2026/06/113_RAT_INSTITUTO-DOS-AUDITORES-INTERNOS-DO-BRASIL.pdf</t>
  </si>
  <si>
    <t>https://www.telebras.com.br/wp-content/uploads/2026/06/113_TR_INSTITUTO-DOS-AUDITORES-INTERNOS-DO-BRASIL.pdf</t>
  </si>
  <si>
    <t>https://www.telebras.com.br/wp-content/uploads/2026/06/TLB-CTR-202600033_PADTEC-S.A-.pdf</t>
  </si>
  <si>
    <t>https://www.telebras.com.br/wp-content/uploads/2026/06/TLBORC202600035A_HMD-BAR-E-LANCHONETE-LTDA.pdf</t>
  </si>
  <si>
    <t>https://www.telebras.com.br/wp-content/uploads/2026/06/TLBORC202600029A_NOBRE-BRINDES-LTDA.pdf</t>
  </si>
  <si>
    <t xml:space="preserve"> TLB-CTR-2026/00033</t>
  </si>
  <si>
    <t>https://www.telebras.com.br/wp-content/uploads/2026/06/115_JUST_PADTEC-S.A-.pdf</t>
  </si>
  <si>
    <t>https://www.telebras.com.br/wp-content/uploads/2026/06/115_RAT_PADTEC-S.A-.pdf</t>
  </si>
  <si>
    <t>https://www.telebras.com.br/wp-content/uploads/2026/06/115_TR_PADTEC-S.A-.pdf</t>
  </si>
  <si>
    <t>https://www.telebras.com.br/wp-content/uploads/2026/06/116_JUST_NOBRE-BRINDES-LTDA.pdf</t>
  </si>
  <si>
    <t>https://www.telebras.com.br/wp-content/uploads/2026/06/116_RAT_NOBRE-BRINDES-LTDA.pdf</t>
  </si>
  <si>
    <t>https://www.telebras.com.br/wp-content/uploads/2026/06/116_TR_NOBRE-BRINDES-LTDA.pdf</t>
  </si>
  <si>
    <t>https://www.telebras.com.br/wp-content/uploads/2026/06/120_RAT_HMD-BAR-E-LANCHONETE-LTDA.pdf</t>
  </si>
  <si>
    <t>https://www.telebras.com.br/wp-content/uploads/2026/06/120_TR_HMD-BAR-E-LANCHONETE-LTDA.pdf</t>
  </si>
  <si>
    <t>https://www.telebras.com.br/wp-content/uploads/2026/06/120_JUST_HMD-BAR-E-LANCHONETE-LTDA.pdf</t>
  </si>
  <si>
    <t>https://www.telebras.com.br/wp-content/uploads/2026/06/1_JUST_MARCIA-GONCALVES-FARIA-ROSA.pdf</t>
  </si>
  <si>
    <t>https://www.telebras.com.br/wp-content/uploads/2026/06/1_TR_MARCIA-GONCALVES-FARIA-ROSA.pdf</t>
  </si>
  <si>
    <t>https://www.telebras.com.br/wp-content/uploads/2026/06/2_JUST_NW-SHOP-COMERCIO-LTDA.pdf</t>
  </si>
  <si>
    <t>https://www.telebras.com.br/wp-content/uploads/2026/06/2_TR_NW-SHOP-COMERCIO-LTDA.pdf</t>
  </si>
  <si>
    <t>https://www.telebras.com.br/wp-content/uploads/2026/06/3_JUST_GS-SERVICOS-LTDA.pdf</t>
  </si>
  <si>
    <t>https://www.telebras.com.br/wp-content/uploads/2026/06/3_TR_GS-SERVICOS-LTDA.pdf</t>
  </si>
  <si>
    <t>https://www.telebras.com.br/wp-content/uploads/2026/06/4_RAT_Teracom-Telematica-S.A.pdf</t>
  </si>
  <si>
    <t>https://www.telebras.com.br/wp-content/uploads/2026/06/4_TR_Teracom-Telematica-S.A.pdf</t>
  </si>
  <si>
    <t>https://www.telebras.com.br/wp-content/uploads/2026/06/5_JUST_Inlabs-Capacitacao-Profissional-Ltda.pdf</t>
  </si>
  <si>
    <t>https://www.telebras.com.br/wp-content/uploads/2026/06/5_RAT_Inlabs-Capacitacao-Profissional-Ltda.pdf</t>
  </si>
  <si>
    <t>https://www.telebras.com.br/wp-content/uploads/2026/06/5_TR_Inlabs-Capacitacao-Profissional-Ltda.pdf</t>
  </si>
  <si>
    <t>https://www.telebras.com.br/wp-content/uploads/2026/06/6_JUST_ACCESS-INTELLIGENCE-LLC.pdf</t>
  </si>
  <si>
    <t>https://www.telebras.com.br/wp-content/uploads/2026/06/6_RAT_ACCESS-INTELLIGENCE-LLC.pdf</t>
  </si>
  <si>
    <t>https://www.telebras.com.br/wp-content/uploads/2026/06/6_TR_ACCESS-INTELLIGENCE-LLC.pdf</t>
  </si>
  <si>
    <t>https://www.telebras.com.br/wp-content/uploads/2026/06/7_JUST_Fundacao-Nacional-de-Qualidade-FNQ.pdf</t>
  </si>
  <si>
    <t>https://www.telebras.com.br/wp-content/uploads/2026/06/7_RAT_Fundacao-Nacional-de-Qualidade-FNQ.pdf</t>
  </si>
  <si>
    <t>https://www.telebras.com.br/wp-content/uploads/2026/06/7_TR_Fundacao-Nacional-de-Qualidade-FNQ.pdf</t>
  </si>
  <si>
    <t>https://www.telebras.com.br/wp-content/uploads/2026/06/8_JUST_Zenite-Informacao-e-Consultoria-SA.pdf</t>
  </si>
  <si>
    <t>https://www.telebras.com.br/wp-content/uploads/2026/06/8_RAT_Zenite-Informacao-e-Consultoria-SA.pdf</t>
  </si>
  <si>
    <t>https://www.telebras.com.br/wp-content/uploads/2026/06/8_TR_Zenite-Informacao-e-Consultoria-SA.pdf</t>
  </si>
  <si>
    <t>https://www.telebras.com.br/wp-content/uploads/2026/06/9_JUST_ATP-Specials-BV.pdf</t>
  </si>
  <si>
    <t>https://www.telebras.com.br/wp-content/uploads/2026/06/9_RAT_ATP-Specials-BV.pdf</t>
  </si>
  <si>
    <t>https://www.telebras.com.br/wp-content/uploads/2026/06/9_TR_ATP-Specials-BV.pdf</t>
  </si>
  <si>
    <t>https://www.telebras.com.br/wp-content/uploads/2026/06/10_JUST_-Instituto-Brasileiro-de-Governanca-Corporativa-IBGC.pdf</t>
  </si>
  <si>
    <t>https://www.telebras.com.br/wp-content/uploads/2026/06/10_RAT_-Instituto-Brasileiro-de-Governanca-Corporativa-IBGC.pdf</t>
  </si>
  <si>
    <t>https://www.telebras.com.br/wp-content/uploads/2026/06/10_TR_-Instituto-Brasileiro-de-Governanca-Corporativa-IBGC.pdf</t>
  </si>
  <si>
    <t>https://www.telebras.com.br/wp-content/uploads/2026/06/11_JUST_IMPAKT-CONSULTORIA-SS-LIMITADA.pdf</t>
  </si>
  <si>
    <t>https://www.telebras.com.br/wp-content/uploads/2026/06/11_RAT_IMPAKT-CONSULTORIA-SS-LIMITADA.pdf</t>
  </si>
  <si>
    <t>https://www.telebras.com.br/wp-content/uploads/2026/06/11_TR_IMPAKT-CONSULTORIA-SS-LIMITADA.pdf</t>
  </si>
  <si>
    <t>https://www.telebras.com.br/wp-content/uploads/2026/06/12_JUST_IBET-Instituto-Brasileiro-de-Estudos-Tributarios.pdf</t>
  </si>
  <si>
    <t>https://www.telebras.com.br/wp-content/uploads/2026/06/12_RAT_IBET-Instituto-Brasileiro-de-Estudos-Tributarios.pdf</t>
  </si>
  <si>
    <t>https://www.telebras.com.br/wp-content/uploads/2026/06/12_TR_IBET-Instituto-Brasileiro-de-Estudos-Tributarios.pdf</t>
  </si>
  <si>
    <t>https://www.telebras.com.br/wp-content/uploads/2026/06/13_JUST_Cenofisco-Centro-de-Capacitacao-Profissional-Ltda.pdf</t>
  </si>
  <si>
    <t>https://www.telebras.com.br/wp-content/uploads/2026/06/13_RAT_Cenofisco-Centro-de-Capacitacao-Profissional-Ltda.pdf</t>
  </si>
  <si>
    <t>https://www.telebras.com.br/wp-content/uploads/2026/06/13_TR_Cenofisco-Centro-de-Capacitacao-Profissional-Ltda.pdf</t>
  </si>
  <si>
    <t>https://www.telebras.com.br/wp-content/uploads/2026/06/14_JUST_LEC-Educacao-e-Pesquisa-Ltda.pdf</t>
  </si>
  <si>
    <t>https://www.telebras.com.br/wp-content/uploads/2026/06/14_RAT_LEC-Educacao-e-Pesquisa-Ltda.pdf</t>
  </si>
  <si>
    <t>https://www.telebras.com.br/wp-content/uploads/2026/06/14_TR_LEC-Educacao-e-Pesquisa-Ltda.pdf</t>
  </si>
  <si>
    <t>https://www.telebras.com.br/wp-content/uploads/2026/06/16_JUST_Integracao-Escola-de-Negocios-Ltda.pdf</t>
  </si>
  <si>
    <t>https://www.telebras.com.br/wp-content/uploads/2026/06/16_RAT_Integracao-Escola-de-Negocios-Ltda.pdf</t>
  </si>
  <si>
    <t>https://www.telebras.com.br/wp-content/uploads/2026/06/16_TR_Integracao-Escola-de-Negocios-Ltda.pdf</t>
  </si>
  <si>
    <t>https://www.telebras.com.br/wp-content/uploads/2026/06/17_JUST_LEC-EDUCACAO-E-PESQUISA-LTDA.pdf</t>
  </si>
  <si>
    <t>https://www.telebras.com.br/wp-content/uploads/2026/06/17_RAT_LEC-EDUCACAO-E-PESQUISA-LTDA.pdf</t>
  </si>
  <si>
    <t>https://www.telebras.com.br/wp-content/uploads/2026/06/17_TR_LEC-EDUCACAO-E-PESQUISA-LTDA.pdf</t>
  </si>
  <si>
    <t>https://www.telebras.com.br/wp-content/uploads/2026/06/18_JUST_PS-Treinamento-Profissional-e-Consultoria-Empresarial-Ltda.pdf</t>
  </si>
  <si>
    <t>https://www.telebras.com.br/wp-content/uploads/2026/06/18_RAT_PS-Treinamento-Profissional-e-Consultoria-Empresarial-Ltda.pdf</t>
  </si>
  <si>
    <t>https://www.telebras.com.br/wp-content/uploads/2026/06/18_TR_PS-Treinamento-Profissional-e-Consultoria-Empresarial-Ltda.pdf</t>
  </si>
  <si>
    <t>https://www.telebras.com.br/wp-content/uploads/2026/06/19_JUST_Space-Data-Association.pdf</t>
  </si>
  <si>
    <t>https://www.telebras.com.br/wp-content/uploads/2026/06/19_RAT_Space-Data-Association.pdf</t>
  </si>
  <si>
    <t>https://www.telebras.com.br/wp-content/uploads/2026/06/19_TR_Space-Data-Association.pdf</t>
  </si>
  <si>
    <t>https://www.telebras.com.br/wp-content/uploads/2026/06/20_JUST_Associacao-Brasileira-de-Entidades-Estaduais-e-Publicas-de-tecnologia-da-Infrmcao-e-comunicacao-ES-ABEP.pdf</t>
  </si>
  <si>
    <t>https://www.telebras.com.br/wp-content/uploads/2026/06/20_RAT_Associacao-Brasileira-de-Entidades-Estaduais-e-Publicas-de-tecnologia-da-Infrmcao-e-comunicacao-ES-ABEP.pdf</t>
  </si>
  <si>
    <t>https://www.telebras.com.br/wp-content/uploads/2026/06/20_TR_Associacao-Brasileira-de-Entidades-Estaduais-e-Publicas-de-tecnologia-da-Infrmcao-e-comunicacao-ES-ABEP.pdf</t>
  </si>
  <si>
    <t>https://www.telebras.com.br/wp-content/uploads/2026/06/21_JUST_Bioseg-Brasilia-Solucoes-em-Seguranca-e-Medicina-do-Trabalho-Ltda.pdf</t>
  </si>
  <si>
    <t>https://www.telebras.com.br/wp-content/uploads/2026/06/21_RAT_Bioseg-Brasilia-Solucoes-em-Seguranca-e-Medicina-do-Trabalho-Ltda.pdf</t>
  </si>
  <si>
    <t>https://www.telebras.com.br/wp-content/uploads/2026/06/21_TR_Bioseg-Brasilia-Solucoes-em-Seguranca-e-Medicina-do-Trabalho-Ltda.pdf</t>
  </si>
  <si>
    <t>https://www.telebras.com.br/wp-content/uploads/2026/06/22_JUST_Instituto-dos-Auditores-Internos-do-Brasil.pdf</t>
  </si>
  <si>
    <t>https://www.telebras.com.br/wp-content/uploads/2026/06/22_RAT_Instituto-dos-Auditores-Internos-do-Brasil.pdf</t>
  </si>
  <si>
    <t>https://www.telebras.com.br/wp-content/uploads/2026/06/22_TR_Instituto-dos-Auditores-Internos-do-Brasil.pdf</t>
  </si>
  <si>
    <t>https://www.telebras.com.br/wp-content/uploads/2026/06/23_JUST_-Associacao-Brasileira-de-Recursos-Humanos.pdf</t>
  </si>
  <si>
    <t>https://www.telebras.com.br/wp-content/uploads/2026/06/23_RAT_-Associacao-Brasileira-de-Recursos-Humanos.pdf</t>
  </si>
  <si>
    <t>https://www.telebras.com.br/wp-content/uploads/2026/06/23_TR_-Associacao-Brasileira-de-Recursos-Humanos.pdf</t>
  </si>
  <si>
    <t>https://www.telebras.com.br/wp-content/uploads/2026/06/24_JUST_Associacao-Brasileira-de-Gestao-do-Conhecimento-SBGC.pdf</t>
  </si>
  <si>
    <t>https://www.telebras.com.br/wp-content/uploads/2026/06/24_RAT_Associacao-Brasileira-de-Gestao-do-Conhecimento-SBGC.pdf</t>
  </si>
  <si>
    <t>https://www.telebras.com.br/wp-content/uploads/2026/06/24_TR_Associacao-Brasileira-de-Gestao-do-Conhecimento-SBGC.pdf</t>
  </si>
  <si>
    <t>https://www.telebras.com.br/wp-content/uploads/2026/06/25_JUST_Instituto-Brasileiro-de-Governanca-Corporativa.pdf</t>
  </si>
  <si>
    <t>https://www.telebras.com.br/wp-content/uploads/2026/06/25_RAT_Instituto-Brasileiro-de-Governanca-Corporativa.pdf</t>
  </si>
  <si>
    <t>https://www.telebras.com.br/wp-content/uploads/2026/06/25_TR_Instituto-Brasileiro-de-Governanca-Corporativa.pdf</t>
  </si>
  <si>
    <t>https://www.telebras.com.br/wp-content/uploads/2026/06/26_JUST_Fundacao-Getulio-Vargas.pdf</t>
  </si>
  <si>
    <t>https://www.telebras.com.br/wp-content/uploads/2026/06/26_RAT_Fundacao-Getulio-Vargas.pdf</t>
  </si>
  <si>
    <t>https://www.telebras.com.br/wp-content/uploads/2026/06/26_TR_Fundacao-Getulio-Vargas.pdf</t>
  </si>
  <si>
    <t>https://www.telebras.com.br/wp-content/uploads/2026/06/27_JUST_Fundacao-Getulio-Vargas.pdf</t>
  </si>
  <si>
    <t>https://www.telebras.com.br/wp-content/uploads/2026/06/27_RAT_Fundacao-Getulio-Vargas.pdf</t>
  </si>
  <si>
    <t>https://www.telebras.com.br/wp-content/uploads/2026/06/27_TR_Fundacao-Getulio-Vargas.pdf</t>
  </si>
  <si>
    <t>https://www.telebras.com.br/wp-content/uploads/2026/06/28_JUST_Instituto-Brasileiro-de-Governanca-Corporativa.pdf</t>
  </si>
  <si>
    <t>https://www.telebras.com.br/wp-content/uploads/2026/06/28_RAT_Instituto-Brasileiro-de-Governanca-Corporativa.pdf</t>
  </si>
  <si>
    <t>https://www.telebras.com.br/wp-content/uploads/2026/06/28_TR_Instituto-Brasileiro-de-Governanca-Corporativa.pdf</t>
  </si>
  <si>
    <t>https://www.telebras.com.br/wp-content/uploads/2026/06/29_JUST_Bioseg-Brasilia-Solucoes-em-Seguranca-e-Medicina-do-Trabalho-Ltda.pdf</t>
  </si>
  <si>
    <t>https://www.telebras.com.br/wp-content/uploads/2026/06/29_RAT_Bioseg-Brasilia-Solucoes-em-Seguranca-e-Medicina-do-Trabalho-Ltda.pdf</t>
  </si>
  <si>
    <t>https://www.telebras.com.br/wp-content/uploads/2026/06/29_TR_Bioseg-Brasilia-Solucoes-em-Seguranca-e-Medicina-do-Trabalho-Ltda.pdf</t>
  </si>
  <si>
    <t>https://www.telebras.com.br/wp-content/uploads/2026/06/30_JUST_NP-Tecnologia-e-Gestao-de-Dados-Ltda.pdf</t>
  </si>
  <si>
    <t>https://www.telebras.com.br/wp-content/uploads/2026/06/30_RAT_NP-Tecnologia-e-Gestao-de-Dados-Ltda.pdf</t>
  </si>
  <si>
    <t>https://www.telebras.com.br/wp-content/uploads/2026/06/30_TR_NP-Tecnologia-e-Gestao-de-Dados-Ltda.pdf</t>
  </si>
  <si>
    <t>https://www.telebras.com.br/wp-content/uploads/2026/06/31_JUST_Zenite-Informacao-e-Consultoria-SA.pdf</t>
  </si>
  <si>
    <t>https://www.telebras.com.br/wp-content/uploads/2026/06/31_RAT_Zenite-Informacao-e-Consultoria-SA.pdf</t>
  </si>
  <si>
    <t>https://www.telebras.com.br/wp-content/uploads/2026/06/31_TR_Zenite-Informacao-e-Consultoria-SA.pdf</t>
  </si>
  <si>
    <t>https://www.telebras.com.br/wp-content/uploads/2026/06/32_JUST_KPMG-Consultoria-Ltda.pdf</t>
  </si>
  <si>
    <t>https://www.telebras.com.br/wp-content/uploads/2026/06/32_RAT_KPMG-Consultoria-Ltda.pdf</t>
  </si>
  <si>
    <t>https://www.telebras.com.br/wp-content/uploads/2026/06/32_TR_KPMG-Consultoria-Ltda.pdf</t>
  </si>
  <si>
    <t>https://www.telebras.com.br/wp-content/uploads/2026/06/33_JUST_INSTITUTO-BRASILEIRO-DE-GOVERNANCA-CORPORATIVA.pdf</t>
  </si>
  <si>
    <t>https://www.telebras.com.br/wp-content/uploads/2026/06/33_RAT_INSTITUTO-BRASILEIRO-DE-GOVERNANCA-CORPORATIVA.pdf</t>
  </si>
  <si>
    <t>https://www.telebras.com.br/wp-content/uploads/2026/06/33_TR_INSTITUTO-BRASILEIRO-DE-GOVERNANCA-CORPORATIVA.pdf</t>
  </si>
  <si>
    <t>https://www.telebras.com.br/wp-content/uploads/2026/06/34_JUST_Fundacao-Instituto-Nacional-de-Telecomunicacoes.pdf</t>
  </si>
  <si>
    <t>https://www.telebras.com.br/wp-content/uploads/2026/06/34_RAT_Fundacao-Instituto-Nacional-de-Telecomunicacoes.pdf</t>
  </si>
  <si>
    <t>https://www.telebras.com.br/wp-content/uploads/2026/06/34_TR_Fundacao-Instituto-Nacional-de-Telecomunicacoes.pdf</t>
  </si>
  <si>
    <t>https://www.telebras.com.br/wp-content/uploads/2026/06/35_TR_Akademia-de-Transformacao-Organizacional-LTDA.pdf</t>
  </si>
  <si>
    <t>https://www.telebras.com.br/wp-content/uploads/2026/06/35_JUST_Akademia-de-Transformacao-Organizacional-LTDA.pdf</t>
  </si>
  <si>
    <t>https://www.telebras.com.br/wp-content/uploads/2026/06/35_RAT_Akademia-de-Transformacao-Organizacional-LTDA.pdf</t>
  </si>
  <si>
    <t>https://www.telebras.com.br/wp-content/uploads/2026/06/TLBORC202500005A_NP-TECNOLOGIA-E-GESTAO-DE-DADOS-LTDA.pdf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</si>
</sst>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\ #,##0.00"/>
  </numFmts>
  <fonts count="3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2"/>
      <color rgb="FF00206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24"/>
      <color rgb="FF00206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6"/>
      <color rgb="FF002060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color rgb="FF002060"/>
      <name val="Calibri"/>
      <family val="2"/>
      <scheme val="minor"/>
    </font>
    <font>
      <sz val="8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002060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color rgb="FF00206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8"/>
      <color rgb="FF002060"/>
      <name val="Calibri"/>
      <family val="2"/>
      <scheme val="minor"/>
    </font>
    <font>
      <u/>
      <sz val="11"/>
      <color theme="8" tint="-0.249977111117893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color rgb="FF002060"/>
      <name val="Calibri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2060"/>
        <bgColor theme="1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rgb="FF002060"/>
        <bgColor theme="8" tint="0.7999816888943144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</fills>
  <borders count="25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medium">
        <color theme="0"/>
      </bottom>
      <diagonal/>
    </border>
    <border>
      <left/>
      <right style="thin">
        <color theme="0"/>
      </right>
      <top/>
      <bottom style="medium">
        <color theme="0"/>
      </bottom>
      <diagonal/>
    </border>
    <border>
      <left style="medium">
        <color theme="0"/>
      </left>
      <right style="thin">
        <color theme="0"/>
      </right>
      <top/>
      <bottom style="medium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/>
      <top/>
      <bottom style="medium">
        <color theme="0"/>
      </bottom>
      <diagonal/>
    </border>
    <border>
      <left style="thin">
        <color theme="8" tint="0.59999389629810485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theme="8" tint="0.59999389629810485"/>
      </left>
      <right style="thin">
        <color theme="8" tint="0.59999389629810485"/>
      </right>
      <top style="medium">
        <color theme="0"/>
      </top>
      <bottom style="medium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medium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theme="0"/>
      </bottom>
      <diagonal/>
    </border>
  </borders>
  <cellStyleXfs count="4">
    <xf numFmtId="0" fontId="0" fillId="0" borderId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29" fillId="0" borderId="0" applyNumberFormat="0" applyFill="0" applyBorder="0" applyAlignment="0" applyProtection="0"/>
  </cellStyleXfs>
  <cellXfs count="253">
    <xf numFmtId="0" fontId="0" fillId="0" borderId="0" xfId="0"/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4" fontId="0" fillId="0" borderId="0" xfId="0" applyNumberFormat="1"/>
    <xf numFmtId="0" fontId="5" fillId="2" borderId="0" xfId="0" applyFont="1" applyFill="1" applyAlignment="1">
      <alignment horizontal="left" vertical="center"/>
    </xf>
    <xf numFmtId="14" fontId="4" fillId="0" borderId="0" xfId="0" applyNumberFormat="1" applyFont="1" applyAlignment="1">
      <alignment horizontal="center" vertical="center" wrapText="1"/>
    </xf>
    <xf numFmtId="0" fontId="2" fillId="4" borderId="4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vertical="center" wrapText="1"/>
    </xf>
    <xf numFmtId="14" fontId="4" fillId="0" borderId="0" xfId="0" applyNumberFormat="1" applyFont="1" applyAlignment="1">
      <alignment vertical="center" wrapText="1"/>
    </xf>
    <xf numFmtId="0" fontId="4" fillId="2" borderId="0" xfId="0" applyFont="1" applyFill="1" applyAlignment="1">
      <alignment horizontal="center" vertical="center"/>
    </xf>
    <xf numFmtId="0" fontId="4" fillId="6" borderId="0" xfId="0" applyFont="1" applyFill="1" applyAlignment="1">
      <alignment vertical="center" wrapText="1"/>
    </xf>
    <xf numFmtId="0" fontId="4" fillId="6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left" vertical="center"/>
    </xf>
    <xf numFmtId="14" fontId="4" fillId="6" borderId="0" xfId="0" applyNumberFormat="1" applyFont="1" applyFill="1" applyAlignment="1">
      <alignment horizontal="center" vertical="center" wrapText="1"/>
    </xf>
    <xf numFmtId="14" fontId="4" fillId="0" borderId="0" xfId="0" applyNumberFormat="1" applyFont="1" applyAlignment="1">
      <alignment horizontal="center" vertical="center"/>
    </xf>
    <xf numFmtId="14" fontId="9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6" borderId="0" xfId="0" applyFont="1" applyFill="1" applyAlignment="1">
      <alignment horizontal="center" vertical="center" wrapText="1"/>
    </xf>
    <xf numFmtId="14" fontId="9" fillId="6" borderId="0" xfId="0" applyNumberFormat="1" applyFont="1" applyFill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6" borderId="0" xfId="0" applyFont="1" applyFill="1" applyAlignment="1">
      <alignment horizontal="center" vertical="center" wrapText="1"/>
    </xf>
    <xf numFmtId="0" fontId="0" fillId="0" borderId="0" xfId="0" pivotButton="1"/>
    <xf numFmtId="0" fontId="0" fillId="0" borderId="0" xfId="0" pivotButton="1" applyAlignment="1">
      <alignment horizontal="center"/>
    </xf>
    <xf numFmtId="0" fontId="0" fillId="0" borderId="0" xfId="0" applyAlignment="1">
      <alignment horizontal="center"/>
    </xf>
    <xf numFmtId="4" fontId="0" fillId="0" borderId="0" xfId="0" applyNumberFormat="1"/>
    <xf numFmtId="14" fontId="10" fillId="6" borderId="0" xfId="0" applyNumberFormat="1" applyFont="1" applyFill="1" applyAlignment="1">
      <alignment horizontal="center" vertical="center" wrapText="1"/>
    </xf>
    <xf numFmtId="0" fontId="0" fillId="0" borderId="0" xfId="0" applyAlignment="1">
      <alignment horizontal="center" wrapText="1"/>
    </xf>
    <xf numFmtId="43" fontId="0" fillId="0" borderId="0" xfId="1" applyFont="1"/>
    <xf numFmtId="0" fontId="11" fillId="0" borderId="0" xfId="0" applyFont="1"/>
    <xf numFmtId="0" fontId="12" fillId="0" borderId="0" xfId="0" applyFont="1"/>
    <xf numFmtId="0" fontId="13" fillId="7" borderId="5" xfId="0" applyFont="1" applyFill="1" applyBorder="1" applyAlignment="1">
      <alignment horizontal="center" vertical="center" wrapText="1"/>
    </xf>
    <xf numFmtId="0" fontId="13" fillId="7" borderId="6" xfId="0" applyFont="1" applyFill="1" applyBorder="1" applyAlignment="1">
      <alignment horizontal="center" vertical="center" wrapText="1"/>
    </xf>
    <xf numFmtId="43" fontId="13" fillId="7" borderId="7" xfId="1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4" fillId="8" borderId="8" xfId="0" applyFont="1" applyFill="1" applyBorder="1" applyAlignment="1">
      <alignment horizontal="center" vertical="center" wrapText="1"/>
    </xf>
    <xf numFmtId="44" fontId="4" fillId="8" borderId="8" xfId="0" applyNumberFormat="1" applyFont="1" applyFill="1" applyBorder="1" applyAlignment="1">
      <alignment horizontal="center" vertical="center" wrapText="1"/>
    </xf>
    <xf numFmtId="43" fontId="0" fillId="0" borderId="0" xfId="1" applyFont="1" applyAlignment="1">
      <alignment horizontal="center" wrapText="1"/>
    </xf>
    <xf numFmtId="14" fontId="4" fillId="8" borderId="8" xfId="0" applyNumberFormat="1" applyFont="1" applyFill="1" applyBorder="1" applyAlignment="1">
      <alignment horizontal="center" vertical="center" wrapText="1"/>
    </xf>
    <xf numFmtId="0" fontId="4" fillId="10" borderId="0" xfId="0" applyFont="1" applyFill="1" applyAlignment="1">
      <alignment horizontal="center" vertical="center" wrapText="1"/>
    </xf>
    <xf numFmtId="0" fontId="9" fillId="10" borderId="0" xfId="0" applyFont="1" applyFill="1" applyAlignment="1">
      <alignment horizontal="center" vertical="center" wrapText="1"/>
    </xf>
    <xf numFmtId="0" fontId="10" fillId="10" borderId="0" xfId="0" applyFont="1" applyFill="1" applyAlignment="1">
      <alignment horizontal="center" vertical="center" wrapText="1"/>
    </xf>
    <xf numFmtId="0" fontId="4" fillId="10" borderId="0" xfId="0" applyFont="1" applyFill="1" applyAlignment="1">
      <alignment horizontal="center" vertical="center"/>
    </xf>
    <xf numFmtId="0" fontId="9" fillId="10" borderId="0" xfId="0" applyFon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0" fontId="7" fillId="8" borderId="8" xfId="0" applyFont="1" applyFill="1" applyBorder="1" applyAlignment="1">
      <alignment horizontal="center" vertical="center" wrapText="1"/>
    </xf>
    <xf numFmtId="14" fontId="7" fillId="8" borderId="8" xfId="0" applyNumberFormat="1" applyFont="1" applyFill="1" applyBorder="1" applyAlignment="1">
      <alignment horizontal="center" vertical="center" wrapText="1"/>
    </xf>
    <xf numFmtId="44" fontId="7" fillId="8" borderId="8" xfId="0" applyNumberFormat="1" applyFont="1" applyFill="1" applyBorder="1" applyAlignment="1">
      <alignment horizontal="center" vertical="center" wrapText="1"/>
    </xf>
    <xf numFmtId="0" fontId="14" fillId="0" borderId="0" xfId="0" applyFont="1"/>
    <xf numFmtId="14" fontId="15" fillId="0" borderId="0" xfId="0" applyNumberFormat="1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6" borderId="0" xfId="0" applyFont="1" applyFill="1" applyAlignment="1">
      <alignment horizontal="center" vertical="center" wrapText="1"/>
    </xf>
    <xf numFmtId="0" fontId="15" fillId="10" borderId="0" xfId="0" applyFont="1" applyFill="1" applyAlignment="1">
      <alignment horizontal="center" vertical="center" wrapText="1"/>
    </xf>
    <xf numFmtId="0" fontId="7" fillId="0" borderId="0" xfId="0" applyFont="1"/>
    <xf numFmtId="14" fontId="15" fillId="6" borderId="0" xfId="0" applyNumberFormat="1" applyFont="1" applyFill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14" fontId="16" fillId="0" borderId="0" xfId="0" applyNumberFormat="1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6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14" fontId="16" fillId="6" borderId="0" xfId="0" applyNumberFormat="1" applyFont="1" applyFill="1" applyAlignment="1">
      <alignment horizontal="center" vertical="center" wrapText="1"/>
    </xf>
    <xf numFmtId="14" fontId="17" fillId="0" borderId="0" xfId="0" applyNumberFormat="1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7" fillId="6" borderId="0" xfId="0" applyFont="1" applyFill="1" applyAlignment="1">
      <alignment horizontal="center" vertical="center" wrapText="1"/>
    </xf>
    <xf numFmtId="14" fontId="17" fillId="6" borderId="0" xfId="0" applyNumberFormat="1" applyFont="1" applyFill="1" applyAlignment="1">
      <alignment horizontal="center" vertical="center" wrapText="1"/>
    </xf>
    <xf numFmtId="0" fontId="17" fillId="10" borderId="0" xfId="0" applyFont="1" applyFill="1" applyAlignment="1">
      <alignment horizontal="center" vertical="center" wrapText="1"/>
    </xf>
    <xf numFmtId="0" fontId="4" fillId="8" borderId="9" xfId="0" applyFont="1" applyFill="1" applyBorder="1" applyAlignment="1">
      <alignment horizontal="center" vertical="center" wrapText="1"/>
    </xf>
    <xf numFmtId="0" fontId="4" fillId="8" borderId="10" xfId="0" applyFont="1" applyFill="1" applyBorder="1" applyAlignment="1">
      <alignment horizontal="center" vertical="center" wrapText="1"/>
    </xf>
    <xf numFmtId="14" fontId="4" fillId="8" borderId="10" xfId="0" applyNumberFormat="1" applyFont="1" applyFill="1" applyBorder="1" applyAlignment="1">
      <alignment horizontal="center" vertical="center" wrapText="1"/>
    </xf>
    <xf numFmtId="14" fontId="4" fillId="8" borderId="9" xfId="0" applyNumberFormat="1" applyFont="1" applyFill="1" applyBorder="1" applyAlignment="1">
      <alignment horizontal="center" vertical="center" wrapText="1"/>
    </xf>
    <xf numFmtId="44" fontId="4" fillId="8" borderId="8" xfId="1" applyNumberFormat="1" applyFont="1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0" xfId="0" applyAlignment="1">
      <alignment horizontal="left"/>
    </xf>
    <xf numFmtId="17" fontId="0" fillId="0" borderId="0" xfId="0" applyNumberFormat="1" applyAlignment="1">
      <alignment horizontal="left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" fillId="3" borderId="23" xfId="0" applyFont="1" applyFill="1" applyBorder="1" applyAlignment="1">
      <alignment horizontal="center" vertical="center" wrapText="1"/>
    </xf>
    <xf numFmtId="0" fontId="1" fillId="3" borderId="24" xfId="0" applyFont="1" applyFill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19" fillId="0" borderId="0" xfId="0" applyFont="1"/>
    <xf numFmtId="14" fontId="20" fillId="0" borderId="0" xfId="0" applyNumberFormat="1" applyFont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6" borderId="0" xfId="0" applyFont="1" applyFill="1" applyAlignment="1">
      <alignment horizontal="center" vertical="center" wrapText="1"/>
    </xf>
    <xf numFmtId="14" fontId="20" fillId="6" borderId="0" xfId="0" applyNumberFormat="1" applyFont="1" applyFill="1" applyAlignment="1">
      <alignment horizontal="center" vertical="center" wrapText="1"/>
    </xf>
    <xf numFmtId="0" fontId="20" fillId="10" borderId="0" xfId="0" applyFont="1" applyFill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6" borderId="11" xfId="0" applyFont="1" applyFill="1" applyBorder="1" applyAlignment="1">
      <alignment horizontal="center" vertical="center" wrapText="1"/>
    </xf>
    <xf numFmtId="0" fontId="20" fillId="6" borderId="14" xfId="0" applyFont="1" applyFill="1" applyBorder="1" applyAlignment="1">
      <alignment horizontal="center" vertical="center" wrapText="1"/>
    </xf>
    <xf numFmtId="0" fontId="20" fillId="6" borderId="15" xfId="0" applyFont="1" applyFill="1" applyBorder="1" applyAlignment="1">
      <alignment horizontal="center" vertical="center" wrapText="1"/>
    </xf>
    <xf numFmtId="14" fontId="20" fillId="6" borderId="19" xfId="0" applyNumberFormat="1" applyFont="1" applyFill="1" applyBorder="1" applyAlignment="1">
      <alignment horizontal="center" vertical="center" wrapText="1"/>
    </xf>
    <xf numFmtId="0" fontId="20" fillId="10" borderId="15" xfId="0" applyFont="1" applyFill="1" applyBorder="1" applyAlignment="1">
      <alignment horizontal="center" vertical="center" wrapText="1"/>
    </xf>
    <xf numFmtId="14" fontId="20" fillId="0" borderId="20" xfId="0" applyNumberFormat="1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14" fontId="20" fillId="0" borderId="11" xfId="0" applyNumberFormat="1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1" fillId="0" borderId="0" xfId="0" applyFont="1"/>
    <xf numFmtId="0" fontId="22" fillId="9" borderId="0" xfId="0" applyFont="1" applyFill="1" applyAlignment="1">
      <alignment horizontal="center" vertical="center" wrapText="1"/>
    </xf>
    <xf numFmtId="0" fontId="23" fillId="9" borderId="0" xfId="0" applyFont="1" applyFill="1" applyAlignment="1">
      <alignment horizontal="center" vertical="center" wrapText="1"/>
    </xf>
    <xf numFmtId="43" fontId="22" fillId="9" borderId="0" xfId="0" applyNumberFormat="1" applyFont="1" applyFill="1" applyAlignment="1">
      <alignment horizontal="center" vertical="center" wrapText="1"/>
    </xf>
    <xf numFmtId="0" fontId="21" fillId="0" borderId="0" xfId="0" applyFont="1" applyAlignment="1">
      <alignment horizontal="center" wrapText="1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4" fillId="0" borderId="15" xfId="0" applyFont="1" applyBorder="1" applyAlignment="1">
      <alignment horizontal="center" vertical="center" wrapText="1"/>
    </xf>
    <xf numFmtId="0" fontId="20" fillId="6" borderId="20" xfId="0" applyFont="1" applyFill="1" applyBorder="1" applyAlignment="1">
      <alignment horizontal="center" vertical="center" wrapText="1"/>
    </xf>
    <xf numFmtId="14" fontId="4" fillId="0" borderId="15" xfId="0" applyNumberFormat="1" applyFont="1" applyBorder="1" applyAlignment="1">
      <alignment horizontal="center" vertical="center" wrapText="1"/>
    </xf>
    <xf numFmtId="0" fontId="4" fillId="6" borderId="11" xfId="0" applyFont="1" applyFill="1" applyBorder="1" applyAlignment="1">
      <alignment horizontal="center" vertical="center" wrapText="1"/>
    </xf>
    <xf numFmtId="0" fontId="4" fillId="6" borderId="20" xfId="0" applyFont="1" applyFill="1" applyBorder="1" applyAlignment="1">
      <alignment horizontal="center" vertical="center" wrapText="1"/>
    </xf>
    <xf numFmtId="0" fontId="4" fillId="6" borderId="15" xfId="0" applyFont="1" applyFill="1" applyBorder="1" applyAlignment="1">
      <alignment horizontal="center" vertical="center" wrapText="1"/>
    </xf>
    <xf numFmtId="14" fontId="4" fillId="6" borderId="19" xfId="0" applyNumberFormat="1" applyFont="1" applyFill="1" applyBorder="1" applyAlignment="1">
      <alignment horizontal="center" vertical="center" wrapText="1"/>
    </xf>
    <xf numFmtId="0" fontId="4" fillId="10" borderId="15" xfId="0" applyFont="1" applyFill="1" applyBorder="1" applyAlignment="1">
      <alignment horizontal="center" vertical="center" wrapText="1"/>
    </xf>
    <xf numFmtId="14" fontId="4" fillId="0" borderId="20" xfId="0" applyNumberFormat="1" applyFont="1" applyBorder="1" applyAlignment="1">
      <alignment horizontal="center" vertical="center" wrapText="1"/>
    </xf>
    <xf numFmtId="14" fontId="4" fillId="0" borderId="13" xfId="0" applyNumberFormat="1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6" borderId="21" xfId="0" applyFont="1" applyFill="1" applyBorder="1" applyAlignment="1">
      <alignment horizontal="center" vertical="center" wrapText="1"/>
    </xf>
    <xf numFmtId="0" fontId="4" fillId="6" borderId="22" xfId="0" applyFont="1" applyFill="1" applyBorder="1" applyAlignment="1">
      <alignment horizontal="center" vertical="center" wrapText="1"/>
    </xf>
    <xf numFmtId="14" fontId="4" fillId="0" borderId="21" xfId="0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6" borderId="19" xfId="0" applyFont="1" applyFill="1" applyBorder="1" applyAlignment="1">
      <alignment horizontal="center" vertical="center" wrapText="1"/>
    </xf>
    <xf numFmtId="14" fontId="4" fillId="6" borderId="15" xfId="0" applyNumberFormat="1" applyFont="1" applyFill="1" applyBorder="1" applyAlignment="1">
      <alignment horizontal="center" vertical="center" wrapText="1"/>
    </xf>
    <xf numFmtId="14" fontId="20" fillId="0" borderId="12" xfId="0" applyNumberFormat="1" applyFont="1" applyBorder="1" applyAlignment="1">
      <alignment horizontal="center" vertical="center" wrapText="1"/>
    </xf>
    <xf numFmtId="14" fontId="4" fillId="0" borderId="19" xfId="0" applyNumberFormat="1" applyFont="1" applyBorder="1" applyAlignment="1">
      <alignment horizontal="center" vertical="center" wrapText="1"/>
    </xf>
    <xf numFmtId="49" fontId="0" fillId="0" borderId="0" xfId="0" applyNumberFormat="1"/>
    <xf numFmtId="0" fontId="24" fillId="0" borderId="0" xfId="0" applyFont="1" applyAlignment="1">
      <alignment horizontal="center" vertical="center" wrapText="1"/>
    </xf>
    <xf numFmtId="9" fontId="0" fillId="0" borderId="0" xfId="0" applyNumberFormat="1"/>
    <xf numFmtId="3" fontId="0" fillId="0" borderId="0" xfId="0" applyNumberFormat="1"/>
    <xf numFmtId="0" fontId="25" fillId="6" borderId="11" xfId="0" applyFont="1" applyFill="1" applyBorder="1" applyAlignment="1">
      <alignment horizontal="center" vertical="center" wrapText="1"/>
    </xf>
    <xf numFmtId="14" fontId="25" fillId="6" borderId="19" xfId="0" applyNumberFormat="1" applyFont="1" applyFill="1" applyBorder="1" applyAlignment="1">
      <alignment horizontal="center" vertical="center" wrapText="1"/>
    </xf>
    <xf numFmtId="0" fontId="25" fillId="10" borderId="15" xfId="0" applyFont="1" applyFill="1" applyBorder="1" applyAlignment="1">
      <alignment horizontal="center" vertical="center" wrapText="1"/>
    </xf>
    <xf numFmtId="14" fontId="25" fillId="0" borderId="0" xfId="0" applyNumberFormat="1" applyFont="1" applyAlignment="1">
      <alignment horizontal="center" vertical="center" wrapText="1"/>
    </xf>
    <xf numFmtId="0" fontId="25" fillId="0" borderId="15" xfId="0" applyFont="1" applyBorder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6" borderId="16" xfId="0" applyFont="1" applyFill="1" applyBorder="1" applyAlignment="1">
      <alignment horizontal="center" vertical="center" wrapText="1"/>
    </xf>
    <xf numFmtId="44" fontId="0" fillId="0" borderId="0" xfId="2" applyFont="1" applyAlignment="1">
      <alignment horizontal="center" vertical="center"/>
    </xf>
    <xf numFmtId="44" fontId="3" fillId="2" borderId="0" xfId="2" applyFont="1" applyFill="1" applyAlignment="1">
      <alignment horizontal="center" vertical="center"/>
    </xf>
    <xf numFmtId="44" fontId="1" fillId="3" borderId="1" xfId="2" applyFont="1" applyFill="1" applyBorder="1" applyAlignment="1">
      <alignment horizontal="center" vertical="center" wrapText="1"/>
    </xf>
    <xf numFmtId="44" fontId="4" fillId="6" borderId="0" xfId="2" applyFont="1" applyFill="1" applyAlignment="1">
      <alignment horizontal="center" vertical="center" wrapText="1"/>
    </xf>
    <xf numFmtId="44" fontId="4" fillId="6" borderId="0" xfId="2" applyFont="1" applyFill="1" applyAlignment="1">
      <alignment horizontal="center" vertical="center"/>
    </xf>
    <xf numFmtId="44" fontId="9" fillId="6" borderId="0" xfId="2" applyFont="1" applyFill="1" applyAlignment="1">
      <alignment horizontal="center" vertical="center" wrapText="1"/>
    </xf>
    <xf numFmtId="44" fontId="10" fillId="6" borderId="0" xfId="2" applyFont="1" applyFill="1" applyAlignment="1">
      <alignment horizontal="center" vertical="center" wrapText="1"/>
    </xf>
    <xf numFmtId="44" fontId="15" fillId="6" borderId="0" xfId="2" applyFont="1" applyFill="1" applyAlignment="1">
      <alignment horizontal="center" vertical="center" wrapText="1"/>
    </xf>
    <xf numFmtId="44" fontId="16" fillId="6" borderId="0" xfId="2" applyFont="1" applyFill="1" applyAlignment="1">
      <alignment horizontal="center" vertical="center" wrapText="1"/>
    </xf>
    <xf numFmtId="44" fontId="17" fillId="6" borderId="0" xfId="2" applyFont="1" applyFill="1" applyAlignment="1">
      <alignment horizontal="center" vertical="center" wrapText="1"/>
    </xf>
    <xf numFmtId="44" fontId="20" fillId="6" borderId="0" xfId="2" applyFont="1" applyFill="1" applyAlignment="1">
      <alignment horizontal="center" vertical="center" wrapText="1"/>
    </xf>
    <xf numFmtId="44" fontId="4" fillId="6" borderId="12" xfId="2" applyFont="1" applyFill="1" applyBorder="1" applyAlignment="1">
      <alignment horizontal="center" vertical="center" wrapText="1"/>
    </xf>
    <xf numFmtId="44" fontId="4" fillId="6" borderId="19" xfId="2" applyFont="1" applyFill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6" borderId="13" xfId="0" applyFont="1" applyFill="1" applyBorder="1" applyAlignment="1">
      <alignment horizontal="center" vertical="center" wrapText="1"/>
    </xf>
    <xf numFmtId="0" fontId="26" fillId="6" borderId="11" xfId="0" applyFont="1" applyFill="1" applyBorder="1" applyAlignment="1">
      <alignment horizontal="center" vertical="center" wrapText="1"/>
    </xf>
    <xf numFmtId="14" fontId="26" fillId="6" borderId="19" xfId="0" applyNumberFormat="1" applyFont="1" applyFill="1" applyBorder="1" applyAlignment="1">
      <alignment horizontal="center" vertical="center" wrapText="1"/>
    </xf>
    <xf numFmtId="0" fontId="26" fillId="10" borderId="15" xfId="0" applyFont="1" applyFill="1" applyBorder="1" applyAlignment="1">
      <alignment horizontal="center" vertical="center" wrapText="1"/>
    </xf>
    <xf numFmtId="0" fontId="26" fillId="0" borderId="15" xfId="0" applyFont="1" applyBorder="1" applyAlignment="1">
      <alignment horizontal="center" vertical="center" wrapText="1"/>
    </xf>
    <xf numFmtId="14" fontId="26" fillId="0" borderId="0" xfId="0" applyNumberFormat="1" applyFont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14" fontId="26" fillId="0" borderId="20" xfId="0" applyNumberFormat="1" applyFont="1" applyBorder="1" applyAlignment="1">
      <alignment horizontal="center" vertical="center" wrapText="1"/>
    </xf>
    <xf numFmtId="44" fontId="20" fillId="6" borderId="19" xfId="2" applyFont="1" applyFill="1" applyBorder="1" applyAlignment="1">
      <alignment horizontal="center" vertical="center" wrapText="1"/>
    </xf>
    <xf numFmtId="14" fontId="4" fillId="0" borderId="12" xfId="0" applyNumberFormat="1" applyFont="1" applyBorder="1" applyAlignment="1">
      <alignment horizontal="center" vertical="center" wrapText="1"/>
    </xf>
    <xf numFmtId="14" fontId="26" fillId="6" borderId="0" xfId="0" applyNumberFormat="1" applyFont="1" applyFill="1" applyAlignment="1">
      <alignment horizontal="center" vertical="center" wrapText="1"/>
    </xf>
    <xf numFmtId="0" fontId="27" fillId="8" borderId="8" xfId="0" applyFont="1" applyFill="1" applyBorder="1" applyAlignment="1">
      <alignment horizontal="center" vertical="center" wrapText="1"/>
    </xf>
    <xf numFmtId="0" fontId="27" fillId="8" borderId="9" xfId="0" applyFont="1" applyFill="1" applyBorder="1" applyAlignment="1">
      <alignment horizontal="center" vertical="center" wrapText="1"/>
    </xf>
    <xf numFmtId="0" fontId="27" fillId="8" borderId="10" xfId="0" applyFont="1" applyFill="1" applyBorder="1" applyAlignment="1">
      <alignment horizontal="center" vertical="center" wrapText="1"/>
    </xf>
    <xf numFmtId="14" fontId="27" fillId="8" borderId="10" xfId="0" applyNumberFormat="1" applyFont="1" applyFill="1" applyBorder="1" applyAlignment="1">
      <alignment horizontal="center" vertical="center" wrapText="1"/>
    </xf>
    <xf numFmtId="14" fontId="27" fillId="8" borderId="9" xfId="0" applyNumberFormat="1" applyFont="1" applyFill="1" applyBorder="1" applyAlignment="1">
      <alignment horizontal="center" vertical="center" wrapText="1"/>
    </xf>
    <xf numFmtId="14" fontId="27" fillId="8" borderId="8" xfId="0" applyNumberFormat="1" applyFont="1" applyFill="1" applyBorder="1" applyAlignment="1">
      <alignment horizontal="center" vertical="center" wrapText="1"/>
    </xf>
    <xf numFmtId="44" fontId="27" fillId="8" borderId="8" xfId="1" applyNumberFormat="1" applyFont="1" applyFill="1" applyBorder="1" applyAlignment="1">
      <alignment horizontal="center" vertical="center" wrapText="1"/>
    </xf>
    <xf numFmtId="0" fontId="28" fillId="0" borderId="0" xfId="0" applyFont="1" applyAlignment="1">
      <alignment wrapText="1"/>
    </xf>
    <xf numFmtId="0" fontId="8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/>
    </xf>
    <xf numFmtId="14" fontId="30" fillId="6" borderId="19" xfId="0" applyNumberFormat="1" applyFont="1" applyFill="1" applyBorder="1" applyAlignment="1">
      <alignment horizontal="center" vertical="center" wrapText="1"/>
    </xf>
    <xf numFmtId="14" fontId="30" fillId="6" borderId="14" xfId="2" applyNumberFormat="1" applyFont="1" applyFill="1" applyBorder="1" applyAlignment="1">
      <alignment horizontal="center" vertical="center" wrapText="1"/>
    </xf>
    <xf numFmtId="14" fontId="30" fillId="6" borderId="12" xfId="0" applyNumberFormat="1" applyFont="1" applyFill="1" applyBorder="1" applyAlignment="1">
      <alignment horizontal="center" vertical="center" wrapText="1"/>
    </xf>
    <xf numFmtId="14" fontId="30" fillId="0" borderId="11" xfId="0" applyNumberFormat="1" applyFont="1" applyBorder="1" applyAlignment="1">
      <alignment horizontal="center" vertical="center" wrapText="1"/>
    </xf>
    <xf numFmtId="0" fontId="30" fillId="0" borderId="0" xfId="0" applyFont="1" applyAlignment="1">
      <alignment horizontal="center" vertical="center" wrapText="1"/>
    </xf>
    <xf numFmtId="0" fontId="30" fillId="6" borderId="0" xfId="0" applyFont="1" applyFill="1" applyAlignment="1">
      <alignment horizontal="center" vertical="center" wrapText="1"/>
    </xf>
    <xf numFmtId="0" fontId="30" fillId="10" borderId="14" xfId="0" applyFont="1" applyFill="1" applyBorder="1" applyAlignment="1">
      <alignment horizontal="center" vertical="center" wrapText="1"/>
    </xf>
    <xf numFmtId="14" fontId="30" fillId="0" borderId="0" xfId="0" applyNumberFormat="1" applyFont="1" applyAlignment="1">
      <alignment horizontal="center" vertical="center" wrapText="1"/>
    </xf>
    <xf numFmtId="14" fontId="30" fillId="6" borderId="20" xfId="2" applyNumberFormat="1" applyFont="1" applyFill="1" applyBorder="1" applyAlignment="1">
      <alignment horizontal="center" vertical="center" wrapText="1"/>
    </xf>
    <xf numFmtId="14" fontId="30" fillId="6" borderId="11" xfId="0" applyNumberFormat="1" applyFont="1" applyFill="1" applyBorder="1" applyAlignment="1">
      <alignment horizontal="center" vertical="center" wrapText="1"/>
    </xf>
    <xf numFmtId="0" fontId="30" fillId="10" borderId="0" xfId="0" applyFont="1" applyFill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44" fontId="30" fillId="6" borderId="19" xfId="2" applyFont="1" applyFill="1" applyBorder="1" applyAlignment="1">
      <alignment horizontal="center" vertical="center" wrapText="1"/>
    </xf>
    <xf numFmtId="14" fontId="30" fillId="6" borderId="15" xfId="0" applyNumberFormat="1" applyFont="1" applyFill="1" applyBorder="1" applyAlignment="1">
      <alignment horizontal="center" vertical="center" wrapText="1"/>
    </xf>
    <xf numFmtId="0" fontId="30" fillId="10" borderId="15" xfId="0" applyFont="1" applyFill="1" applyBorder="1" applyAlignment="1">
      <alignment horizontal="center" vertical="center" wrapText="1"/>
    </xf>
    <xf numFmtId="14" fontId="30" fillId="6" borderId="15" xfId="2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31" fillId="0" borderId="0" xfId="0" applyFont="1" applyAlignment="1">
      <alignment horizontal="left"/>
    </xf>
    <xf numFmtId="0" fontId="1" fillId="11" borderId="1" xfId="0" applyFont="1" applyFill="1" applyBorder="1" applyAlignment="1">
      <alignment horizontal="left" vertical="center" wrapText="1"/>
    </xf>
    <xf numFmtId="0" fontId="32" fillId="0" borderId="0" xfId="3" applyFont="1" applyAlignment="1">
      <alignment horizontal="left" vertical="center"/>
    </xf>
    <xf numFmtId="0" fontId="32" fillId="0" borderId="0" xfId="3" applyNumberFormat="1" applyFont="1" applyAlignment="1">
      <alignment horizontal="left" vertical="center"/>
    </xf>
    <xf numFmtId="0" fontId="33" fillId="0" borderId="0" xfId="0" applyFont="1" applyAlignment="1">
      <alignment horizontal="left" vertical="center" wrapText="1"/>
    </xf>
    <xf numFmtId="0" fontId="32" fillId="0" borderId="0" xfId="3" quotePrefix="1" applyNumberFormat="1" applyFont="1" applyAlignment="1">
      <alignment horizontal="left" vertical="center"/>
    </xf>
    <xf numFmtId="0" fontId="32" fillId="0" borderId="0" xfId="3" applyFont="1" applyAlignment="1">
      <alignment horizontal="left" vertical="center" wrapText="1"/>
    </xf>
    <xf numFmtId="0" fontId="4" fillId="0" borderId="19" xfId="0" applyFont="1" applyBorder="1" applyAlignment="1">
      <alignment horizontal="left" vertical="center"/>
    </xf>
    <xf numFmtId="0" fontId="30" fillId="0" borderId="15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 wrapText="1"/>
    </xf>
    <xf numFmtId="8" fontId="30" fillId="6" borderId="19" xfId="2" applyNumberFormat="1" applyFont="1" applyFill="1" applyBorder="1" applyAlignment="1">
      <alignment horizontal="center" vertical="center" wrapText="1"/>
    </xf>
    <xf numFmtId="14" fontId="30" fillId="6" borderId="0" xfId="0" applyNumberFormat="1" applyFont="1" applyFill="1" applyAlignment="1">
      <alignment horizontal="center" vertical="center" wrapText="1"/>
    </xf>
    <xf numFmtId="0" fontId="30" fillId="0" borderId="11" xfId="0" applyFont="1" applyBorder="1" applyAlignment="1">
      <alignment horizontal="center" vertical="center" wrapText="1"/>
    </xf>
    <xf numFmtId="0" fontId="4" fillId="6" borderId="14" xfId="0" applyFont="1" applyFill="1" applyBorder="1" applyAlignment="1">
      <alignment horizontal="center" vertical="center" wrapText="1"/>
    </xf>
    <xf numFmtId="0" fontId="4" fillId="6" borderId="17" xfId="0" applyFont="1" applyFill="1" applyBorder="1" applyAlignment="1">
      <alignment horizontal="center" vertical="center" wrapText="1"/>
    </xf>
    <xf numFmtId="8" fontId="30" fillId="6" borderId="17" xfId="2" applyNumberFormat="1" applyFont="1" applyFill="1" applyBorder="1" applyAlignment="1">
      <alignment horizontal="center" vertical="center" wrapText="1"/>
    </xf>
    <xf numFmtId="0" fontId="29" fillId="0" borderId="0" xfId="3" applyAlignment="1">
      <alignment horizontal="center" vertical="center" wrapText="1"/>
    </xf>
    <xf numFmtId="0" fontId="29" fillId="0" borderId="0" xfId="3" applyAlignment="1">
      <alignment horizontal="left" vertical="center" wrapText="1"/>
    </xf>
    <xf numFmtId="0" fontId="4" fillId="14" borderId="4" xfId="0" applyFont="1" applyFill="1" applyBorder="1" applyAlignment="1">
      <alignment horizontal="center" vertical="center"/>
    </xf>
    <xf numFmtId="0" fontId="4" fillId="14" borderId="4" xfId="0" applyFont="1" applyFill="1" applyBorder="1" applyAlignment="1">
      <alignment horizontal="left" vertical="center" wrapText="1"/>
    </xf>
    <xf numFmtId="0" fontId="33" fillId="6" borderId="19" xfId="3" applyNumberFormat="1" applyFont="1" applyFill="1" applyBorder="1" applyAlignment="1">
      <alignment horizontal="left" vertical="center"/>
    </xf>
    <xf numFmtId="14" fontId="34" fillId="0" borderId="0" xfId="0" applyNumberFormat="1" applyFont="1" applyAlignment="1">
      <alignment horizontal="center" vertical="center" wrapText="1"/>
    </xf>
    <xf numFmtId="0" fontId="34" fillId="0" borderId="0" xfId="0" applyFont="1" applyAlignment="1">
      <alignment horizontal="center" vertical="center" wrapText="1"/>
    </xf>
    <xf numFmtId="14" fontId="34" fillId="6" borderId="0" xfId="0" applyNumberFormat="1" applyFont="1" applyFill="1" applyAlignment="1">
      <alignment horizontal="center" vertical="center" wrapText="1"/>
    </xf>
    <xf numFmtId="0" fontId="34" fillId="10" borderId="0" xfId="0" applyFont="1" applyFill="1" applyAlignment="1">
      <alignment horizontal="center" vertical="center" wrapText="1"/>
    </xf>
    <xf numFmtId="8" fontId="34" fillId="6" borderId="0" xfId="2" applyNumberFormat="1" applyFont="1" applyFill="1" applyBorder="1" applyAlignment="1">
      <alignment horizontal="center" vertical="center" wrapText="1"/>
    </xf>
    <xf numFmtId="14" fontId="35" fillId="0" borderId="0" xfId="0" applyNumberFormat="1" applyFont="1" applyAlignment="1">
      <alignment horizontal="center" vertical="center" wrapText="1"/>
    </xf>
    <xf numFmtId="0" fontId="35" fillId="0" borderId="0" xfId="0" applyFont="1" applyAlignment="1">
      <alignment horizontal="center" vertical="center" wrapText="1"/>
    </xf>
    <xf numFmtId="0" fontId="35" fillId="6" borderId="0" xfId="0" applyFont="1" applyFill="1" applyAlignment="1">
      <alignment horizontal="center" vertical="center" wrapText="1"/>
    </xf>
    <xf numFmtId="14" fontId="35" fillId="6" borderId="0" xfId="0" applyNumberFormat="1" applyFont="1" applyFill="1" applyAlignment="1">
      <alignment horizontal="center" vertical="center" wrapText="1"/>
    </xf>
    <xf numFmtId="0" fontId="35" fillId="10" borderId="0" xfId="0" applyFont="1" applyFill="1" applyAlignment="1">
      <alignment horizontal="center" vertical="center" wrapText="1"/>
    </xf>
    <xf numFmtId="8" fontId="35" fillId="6" borderId="0" xfId="2" applyNumberFormat="1" applyFont="1" applyFill="1" applyAlignment="1">
      <alignment horizontal="center" vertical="center" wrapText="1"/>
    </xf>
    <xf numFmtId="8" fontId="30" fillId="6" borderId="0" xfId="2" applyNumberFormat="1" applyFont="1" applyFill="1" applyBorder="1" applyAlignment="1">
      <alignment horizontal="center" vertical="center" wrapText="1"/>
    </xf>
    <xf numFmtId="0" fontId="35" fillId="0" borderId="15" xfId="0" applyFont="1" applyBorder="1" applyAlignment="1">
      <alignment horizontal="center" vertical="center" wrapText="1"/>
    </xf>
    <xf numFmtId="14" fontId="35" fillId="6" borderId="0" xfId="2" applyNumberFormat="1" applyFont="1" applyFill="1" applyBorder="1" applyAlignment="1">
      <alignment horizontal="center" vertical="center" wrapText="1"/>
    </xf>
    <xf numFmtId="44" fontId="35" fillId="6" borderId="0" xfId="2" applyFont="1" applyFill="1" applyBorder="1" applyAlignment="1">
      <alignment horizontal="center" vertical="center" wrapText="1"/>
    </xf>
    <xf numFmtId="0" fontId="30" fillId="10" borderId="0" xfId="0" applyFont="1" applyFill="1" applyAlignment="1">
      <alignment horizontal="center" vertical="center"/>
    </xf>
    <xf numFmtId="0" fontId="35" fillId="0" borderId="13" xfId="0" applyFont="1" applyBorder="1" applyAlignment="1">
      <alignment horizontal="center" vertical="center" wrapText="1"/>
    </xf>
    <xf numFmtId="0" fontId="35" fillId="0" borderId="20" xfId="0" applyFont="1" applyBorder="1" applyAlignment="1">
      <alignment horizontal="center" vertical="center" wrapText="1"/>
    </xf>
    <xf numFmtId="14" fontId="35" fillId="6" borderId="0" xfId="2" applyNumberFormat="1" applyFont="1" applyFill="1" applyAlignment="1">
      <alignment horizontal="center" vertical="center" wrapText="1"/>
    </xf>
    <xf numFmtId="44" fontId="35" fillId="6" borderId="0" xfId="2" applyFont="1" applyFill="1" applyAlignment="1">
      <alignment horizontal="center" vertical="center" wrapText="1"/>
    </xf>
    <xf numFmtId="14" fontId="4" fillId="6" borderId="0" xfId="2" applyNumberFormat="1" applyFont="1" applyFill="1" applyBorder="1" applyAlignment="1">
      <alignment horizontal="center" vertical="center" wrapText="1"/>
    </xf>
    <xf numFmtId="14" fontId="4" fillId="6" borderId="0" xfId="2" applyNumberFormat="1" applyFont="1" applyFill="1" applyAlignment="1">
      <alignment horizontal="center" vertical="center" wrapText="1"/>
    </xf>
    <xf numFmtId="0" fontId="29" fillId="0" borderId="0" xfId="3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7" fillId="0" borderId="0" xfId="3" applyFont="1" applyAlignment="1">
      <alignment horizontal="center" vertical="center"/>
    </xf>
    <xf numFmtId="0" fontId="29" fillId="0" borderId="0" xfId="3" applyNumberFormat="1" applyAlignment="1">
      <alignment horizontal="center" vertical="center"/>
    </xf>
    <xf numFmtId="0" fontId="31" fillId="13" borderId="0" xfId="0" applyFont="1" applyFill="1" applyAlignment="1">
      <alignment horizontal="left" vertical="center"/>
    </xf>
    <xf numFmtId="0" fontId="0" fillId="4" borderId="4" xfId="0" applyFill="1" applyBorder="1" applyAlignment="1">
      <alignment horizontal="center"/>
    </xf>
  </cellXfs>
  <cellStyles count="4">
    <cellStyle name="Hiperlink" xfId="3" builtinId="8"/>
    <cellStyle name="Moeda" xfId="2" builtinId="4"/>
    <cellStyle name="Normal" xfId="0" builtinId="0"/>
    <cellStyle name="Vírgula" xfId="1" builtinId="3"/>
  </cellStyles>
  <dxfs count="250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Calibri"/>
        <family val="2"/>
        <scheme val="minor"/>
      </font>
      <numFmt numFmtId="35" formatCode="_-* #,##0.00_-;\-* #,##0.00_-;_-* &quot;-&quot;??_-;_-@_-"/>
      <fill>
        <patternFill patternType="solid">
          <fgColor theme="8" tint="0.79998168889431442"/>
          <bgColor rgb="FF002060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2060"/>
        <name val="Calibri"/>
        <scheme val="minor"/>
      </font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Calibri"/>
        <family val="2"/>
        <scheme val="minor"/>
      </font>
      <fill>
        <patternFill patternType="solid">
          <fgColor theme="8" tint="0.79998168889431442"/>
          <bgColor rgb="FF002060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206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Calibri"/>
        <family val="2"/>
        <scheme val="minor"/>
      </font>
      <fill>
        <patternFill patternType="solid">
          <fgColor theme="8" tint="0.79998168889431442"/>
          <bgColor rgb="FF002060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2060"/>
        <name val="Calibri"/>
        <scheme val="minor"/>
      </font>
      <border outline="0">
        <left style="medium">
          <color theme="0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Calibri"/>
        <family val="2"/>
        <scheme val="minor"/>
      </font>
      <fill>
        <patternFill patternType="solid">
          <fgColor theme="8" tint="0.79998168889431442"/>
          <bgColor rgb="FF00206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numFmt numFmtId="19" formatCode="dd/mm/yyyy"/>
      <fill>
        <patternFill patternType="solid">
          <fgColor theme="8" tint="0.79998168889431442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8" tint="0.59999389629810485"/>
        </left>
        <right style="medium">
          <color theme="0"/>
        </right>
        <top style="medium">
          <color theme="0"/>
        </top>
        <bottom style="medium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Calibri"/>
        <family val="2"/>
        <scheme val="minor"/>
      </font>
      <fill>
        <patternFill patternType="solid">
          <fgColor theme="8" tint="0.79998168889431442"/>
          <bgColor rgb="FF002060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2060"/>
        <name val="Calibri"/>
        <scheme val="minor"/>
      </font>
      <numFmt numFmtId="19" formatCode="dd/mm/yyyy"/>
      <border outline="0">
        <left style="medium">
          <color theme="0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Calibri"/>
        <family val="2"/>
        <scheme val="minor"/>
      </font>
      <fill>
        <patternFill patternType="solid">
          <fgColor theme="8" tint="0.79998168889431442"/>
          <bgColor rgb="FF002060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2060"/>
        <name val="Calibri"/>
        <scheme val="minor"/>
      </font>
      <numFmt numFmtId="19" formatCode="dd/mm/yyyy"/>
      <border outline="0">
        <right style="thin">
          <color theme="8" tint="0.59999389629810485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Calibri"/>
        <family val="2"/>
        <scheme val="minor"/>
      </font>
      <fill>
        <patternFill patternType="solid">
          <fgColor theme="8" tint="0.79998168889431442"/>
          <bgColor rgb="FF002060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2060"/>
        <name val="Calibri"/>
        <scheme val="minor"/>
      </font>
      <border outline="0">
        <right style="thin">
          <color theme="8" tint="0.59999389629810485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Calibri"/>
        <family val="2"/>
        <scheme val="minor"/>
      </font>
      <fill>
        <patternFill patternType="solid">
          <fgColor theme="8" tint="0.79998168889431442"/>
          <bgColor rgb="FF00206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Calibri"/>
        <family val="2"/>
        <scheme val="minor"/>
      </font>
      <fill>
        <patternFill patternType="solid">
          <fgColor theme="8" tint="0.79998168889431442"/>
          <bgColor rgb="FF002060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206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Calibri"/>
        <family val="2"/>
        <scheme val="minor"/>
      </font>
      <fill>
        <patternFill patternType="solid">
          <fgColor theme="8" tint="0.79998168889431442"/>
          <bgColor rgb="FF002060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206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Calibri"/>
        <family val="2"/>
        <scheme val="minor"/>
      </font>
      <fill>
        <patternFill patternType="solid">
          <fgColor theme="8" tint="0.79998168889431442"/>
          <bgColor rgb="FF002060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2060"/>
        <name val="Calibri"/>
        <scheme val="minor"/>
      </font>
    </dxf>
    <dxf>
      <font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rgb="FFD9E1F2"/>
          <bgColor rgb="FF00206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none"/>
      </font>
      <fill>
        <patternFill patternType="solid">
          <fgColor rgb="FFD9E1F2"/>
          <bgColor rgb="FFD9E1F2"/>
        </patternFill>
      </fill>
      <alignment horizontal="center" vertical="center" textRotation="0" wrapText="1" indent="0" justifyLastLine="0" shrinkToFit="0" readingOrder="0"/>
    </dxf>
    <dxf>
      <border>
        <bottom style="medium">
          <color rgb="FFFFFFF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solid">
          <fgColor theme="1"/>
          <bgColor rgb="FF00206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Calibri"/>
        <family val="2"/>
        <scheme val="minor"/>
      </font>
      <numFmt numFmtId="35" formatCode="_-* #,##0.00_-;\-* #,##0.00_-;_-* &quot;-&quot;??_-;_-@_-"/>
      <fill>
        <patternFill patternType="solid">
          <fgColor theme="8" tint="0.79998168889431442"/>
          <bgColor rgb="FF002060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2060"/>
        <name val="Calibri"/>
        <scheme val="minor"/>
      </font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Calibri"/>
        <family val="2"/>
        <scheme val="minor"/>
      </font>
      <fill>
        <patternFill patternType="solid">
          <fgColor theme="8" tint="0.79998168889431442"/>
          <bgColor rgb="FF002060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206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Calibri"/>
        <family val="2"/>
        <scheme val="minor"/>
      </font>
      <fill>
        <patternFill patternType="solid">
          <fgColor theme="8" tint="0.79998168889431442"/>
          <bgColor rgb="FF002060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2060"/>
        <name val="Calibri"/>
        <scheme val="minor"/>
      </font>
      <border outline="0">
        <left style="medium">
          <color theme="0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Calibri"/>
        <family val="2"/>
        <scheme val="minor"/>
      </font>
      <fill>
        <patternFill patternType="solid">
          <fgColor theme="8" tint="0.79998168889431442"/>
          <bgColor rgb="FF00206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numFmt numFmtId="19" formatCode="dd/mm/yyyy"/>
      <fill>
        <patternFill patternType="solid">
          <fgColor theme="8" tint="0.79998168889431442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8" tint="0.59999389629810485"/>
        </left>
        <right style="medium">
          <color theme="0"/>
        </right>
        <top style="medium">
          <color theme="0"/>
        </top>
        <bottom style="medium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Calibri"/>
        <family val="2"/>
        <scheme val="minor"/>
      </font>
      <fill>
        <patternFill patternType="solid">
          <fgColor theme="8" tint="0.79998168889431442"/>
          <bgColor rgb="FF002060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2060"/>
        <name val="Calibri"/>
        <scheme val="minor"/>
      </font>
      <numFmt numFmtId="19" formatCode="dd/mm/yyyy"/>
      <border outline="0">
        <left style="medium">
          <color theme="0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Calibri"/>
        <family val="2"/>
        <scheme val="minor"/>
      </font>
      <fill>
        <patternFill patternType="solid">
          <fgColor theme="8" tint="0.79998168889431442"/>
          <bgColor rgb="FF002060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2060"/>
        <name val="Calibri"/>
        <scheme val="minor"/>
      </font>
      <numFmt numFmtId="19" formatCode="dd/mm/yyyy"/>
      <border outline="0">
        <right style="thin">
          <color theme="8" tint="0.59999389629810485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Calibri"/>
        <family val="2"/>
        <scheme val="minor"/>
      </font>
      <fill>
        <patternFill patternType="solid">
          <fgColor theme="8" tint="0.79998168889431442"/>
          <bgColor rgb="FF002060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2060"/>
        <name val="Calibri"/>
        <scheme val="minor"/>
      </font>
      <border outline="0">
        <right style="thin">
          <color theme="8" tint="0.59999389629810485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Calibri"/>
        <family val="2"/>
        <scheme val="minor"/>
      </font>
      <fill>
        <patternFill patternType="solid">
          <fgColor theme="8" tint="0.79998168889431442"/>
          <bgColor rgb="FF00206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Calibri"/>
        <family val="2"/>
        <scheme val="minor"/>
      </font>
      <fill>
        <patternFill patternType="solid">
          <fgColor theme="8" tint="0.79998168889431442"/>
          <bgColor rgb="FF002060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206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Calibri"/>
        <family val="2"/>
        <scheme val="minor"/>
      </font>
      <fill>
        <patternFill patternType="solid">
          <fgColor theme="8" tint="0.79998168889431442"/>
          <bgColor rgb="FF002060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206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Calibri"/>
        <family val="2"/>
        <scheme val="minor"/>
      </font>
      <fill>
        <patternFill patternType="solid">
          <fgColor theme="8" tint="0.79998168889431442"/>
          <bgColor rgb="FF002060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2060"/>
        <name val="Calibri"/>
        <scheme val="minor"/>
      </font>
    </dxf>
    <dxf>
      <font>
        <strike val="0"/>
        <outline val="0"/>
        <shadow val="0"/>
        <u val="none"/>
        <vertAlign val="baseline"/>
        <sz val="16"/>
        <color rgb="FFFFFFFF"/>
        <name val="Calibri"/>
        <family val="2"/>
        <scheme val="none"/>
      </font>
      <fill>
        <patternFill patternType="solid">
          <fgColor rgb="FFD9E1F2"/>
          <bgColor rgb="FF00206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none"/>
      </font>
      <fill>
        <patternFill patternType="solid">
          <fgColor rgb="FFD9E1F2"/>
          <bgColor rgb="FFD9E1F2"/>
        </patternFill>
      </fill>
      <alignment horizontal="center" vertical="center" textRotation="0" wrapText="1" indent="0" justifyLastLine="0" shrinkToFit="0" readingOrder="0"/>
    </dxf>
    <dxf>
      <border>
        <bottom style="medium">
          <color rgb="FFFFFFF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solid">
          <fgColor theme="1"/>
          <bgColor rgb="FF002060"/>
        </patternFill>
      </fill>
      <alignment horizontal="center" vertical="center" textRotation="0" wrapText="1" indent="0" justifyLastLine="0" shrinkToFit="0" readingOrder="0"/>
    </dxf>
    <dxf>
      <font>
        <color theme="1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auto="1"/>
      </font>
    </dxf>
    <dxf>
      <alignment horizontal="center" readingOrder="0"/>
    </dxf>
    <dxf>
      <alignment horizontal="general" readingOrder="0"/>
    </dxf>
    <dxf>
      <alignment horizontal="center" readingOrder="0"/>
    </dxf>
    <dxf>
      <alignment horizontal="general" readingOrder="0"/>
    </dxf>
    <dxf>
      <numFmt numFmtId="4" formatCode="#,##0.00"/>
    </dxf>
    <dxf>
      <alignment horizontal="center" readingOrder="0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horizontal="center"/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alignment horizontal="center"/>
    </dxf>
    <dxf>
      <alignment horizontal="center"/>
    </dxf>
    <dxf>
      <alignment horizontal="center" readingOrder="0"/>
    </dxf>
    <dxf>
      <alignment horizontal="general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vertical="top" readingOrder="0"/>
    </dxf>
    <dxf>
      <alignment wrapText="1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horizontal="center" readingOrder="0"/>
    </dxf>
    <dxf>
      <alignment horizontal="general" readingOrder="0"/>
    </dxf>
    <dxf>
      <alignment horizontal="center" readingOrder="0"/>
    </dxf>
    <dxf>
      <alignment horizontal="general" readingOrder="0"/>
    </dxf>
    <dxf>
      <numFmt numFmtId="4" formatCode="#,##0.00"/>
    </dxf>
    <dxf>
      <alignment horizontal="center" readingOrder="0"/>
    </dxf>
    <dxf>
      <alignment horizontal="center" readingOrder="0"/>
    </dxf>
    <dxf>
      <alignment horizontal="general" readingOrder="0"/>
    </dxf>
    <dxf>
      <alignment horizontal="center" readingOrder="0"/>
    </dxf>
    <dxf>
      <alignment horizontal="general" readingOrder="0"/>
    </dxf>
    <dxf>
      <numFmt numFmtId="4" formatCode="#,##0.00"/>
    </dxf>
    <dxf>
      <alignment horizontal="center" readingOrder="0"/>
    </dxf>
    <dxf>
      <numFmt numFmtId="13" formatCode="0%"/>
    </dxf>
    <dxf>
      <numFmt numFmtId="3" formatCode="#,##0"/>
    </dxf>
    <dxf>
      <numFmt numFmtId="22" formatCode="mmm/yy"/>
    </dxf>
    <dxf>
      <numFmt numFmtId="22" formatCode="mmm/yy"/>
    </dxf>
    <dxf>
      <font>
        <strike val="0"/>
        <outline val="0"/>
        <shadow val="0"/>
        <u val="none"/>
        <vertAlign val="baseline"/>
        <sz val="11"/>
        <color rgb="FF002060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2060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2060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8" tint="-0.249977111117893"/>
        <name val="Calibri"/>
        <family val="2"/>
        <scheme val="minor"/>
      </font>
      <numFmt numFmtId="0" formatCode="General"/>
      <fill>
        <patternFill patternType="solid">
          <fgColor indexed="64"/>
          <bgColor theme="5" tint="0.59999389629810485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thin">
          <color theme="0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rgb="FF002060"/>
        <name val="Calibri"/>
        <scheme val="minor"/>
      </font>
      <numFmt numFmtId="0" formatCode="General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2060"/>
        <name val="Calibri"/>
        <scheme val="minor"/>
      </font>
      <numFmt numFmtId="0" formatCode="General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2060"/>
        <name val="Calibri"/>
        <scheme val="minor"/>
      </font>
      <numFmt numFmtId="0" formatCode="General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2060"/>
        <name val="Calibri"/>
        <scheme val="minor"/>
      </font>
      <numFmt numFmtId="0" formatCode="General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2060"/>
        <name val="Calibri"/>
        <scheme val="minor"/>
      </font>
      <numFmt numFmtId="0" formatCode="General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2060"/>
        <name val="Calibri"/>
        <scheme val="minor"/>
      </font>
      <numFmt numFmtId="19" formatCode="dd/mm/yyyy"/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2060"/>
        <name val="Calibri"/>
        <scheme val="minor"/>
      </font>
      <fill>
        <patternFill patternType="solid">
          <fgColor indexed="64"/>
          <bgColor theme="5" tint="0.59999389629810485"/>
        </patternFill>
      </fill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2060"/>
        <name val="Calibri"/>
        <scheme val="minor"/>
      </font>
      <fill>
        <patternFill patternType="solid">
          <fgColor indexed="64"/>
          <bgColor theme="9" tint="0.59999389629810485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2060"/>
        <name val="Calibri"/>
        <scheme val="minor"/>
      </font>
      <fill>
        <patternFill patternType="solid">
          <fgColor indexed="64"/>
          <bgColor theme="5" tint="0.59999389629810485"/>
        </patternFill>
      </fill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2060"/>
        <name val="Calibri"/>
        <scheme val="minor"/>
      </font>
      <fill>
        <patternFill patternType="solid">
          <fgColor indexed="64"/>
          <bgColor theme="5" tint="0.59999389629810485"/>
        </patternFill>
      </fill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2060"/>
        <name val="Calibri"/>
        <scheme val="minor"/>
      </font>
      <fill>
        <patternFill patternType="solid">
          <fgColor indexed="64"/>
          <bgColor theme="5" tint="0.59999389629810485"/>
        </patternFill>
      </fill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2060"/>
        <name val="Calibri"/>
        <scheme val="minor"/>
      </font>
      <fill>
        <patternFill patternType="solid">
          <fgColor indexed="64"/>
          <bgColor theme="5" tint="0.59999389629810485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2060"/>
        <name val="Calibri"/>
        <scheme val="minor"/>
      </font>
      <numFmt numFmtId="19" formatCode="dd/mm/yyyy"/>
      <fill>
        <patternFill patternType="solid">
          <fgColor indexed="64"/>
          <bgColor theme="5" tint="0.59999389629810485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2060"/>
        <name val="Calibri"/>
        <scheme val="minor"/>
      </font>
      <numFmt numFmtId="19" formatCode="dd/mm/yyyy"/>
      <fill>
        <patternFill patternType="solid">
          <fgColor indexed="64"/>
          <bgColor theme="5" tint="0.59999389629810485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2060"/>
        <name val="Calibri"/>
        <scheme val="minor"/>
      </font>
      <numFmt numFmtId="19" formatCode="dd/mm/yyyy"/>
      <fill>
        <patternFill patternType="solid">
          <fgColor indexed="64"/>
          <bgColor theme="5" tint="0.59999389629810485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2060"/>
        <name val="Calibri"/>
        <scheme val="minor"/>
      </font>
      <fill>
        <patternFill patternType="solid">
          <fgColor indexed="64"/>
          <bgColor theme="5" tint="0.59999389629810485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2060"/>
        <name val="Calibri"/>
        <scheme val="minor"/>
      </font>
      <fill>
        <patternFill patternType="solid">
          <fgColor indexed="64"/>
          <bgColor theme="5" tint="0.5999938962981048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fill>
        <patternFill patternType="solid">
          <fgColor indexed="64"/>
          <bgColor theme="5" tint="0.59999389629810485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fill>
        <patternFill patternType="solid">
          <fgColor indexed="64"/>
          <bgColor theme="5" tint="0.59999389629810485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2060"/>
        <name val="Calibri"/>
        <scheme val="minor"/>
      </font>
      <fill>
        <patternFill patternType="solid">
          <fgColor indexed="64"/>
          <bgColor theme="5" tint="0.59999389629810485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fill>
        <patternFill patternType="solid">
          <fgColor indexed="64"/>
          <bgColor theme="5" tint="0.5999938962981048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2060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2060"/>
        <name val="Calibri"/>
        <scheme val="minor"/>
      </font>
      <numFmt numFmtId="19" formatCode="dd/mm/yyyy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numFmt numFmtId="19" formatCode="dd/mm/yyyy"/>
      <alignment horizontal="center" vertical="center" textRotation="0" wrapText="1" indent="0" justifyLastLine="0" shrinkToFit="0" readingOrder="0"/>
    </dxf>
    <dxf>
      <border outline="0">
        <top style="medium">
          <color theme="0"/>
        </top>
      </border>
    </dxf>
    <dxf>
      <font>
        <strike val="0"/>
        <outline val="0"/>
        <shadow val="0"/>
        <u val="none"/>
        <vertAlign val="baseline"/>
        <sz val="11"/>
        <color rgb="FF002060"/>
        <name val="Calibri"/>
        <scheme val="minor"/>
      </font>
      <numFmt numFmtId="0" formatCode="General"/>
      <alignment horizontal="center" vertical="center" textRotation="0" wrapText="1" indent="0" justifyLastLine="0" shrinkToFit="0" readingOrder="0"/>
    </dxf>
    <dxf>
      <border outline="0">
        <bottom style="medium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0" formatCode="General"/>
      <fill>
        <patternFill patternType="solid">
          <fgColor indexed="64"/>
          <bgColor theme="5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</dxfs>
  <tableStyles count="0" defaultTableStyle="TableStyleMedium2" defaultPivotStyle="PivotStyleLight16"/>
  <colors>
    <mruColors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edro Arnaud Ferreira Diniz" refreshedDate="46182.770097800923" createdVersion="6" refreshedVersion="8" minRefreshableVersion="3" recordCount="115" xr:uid="{00000000-000A-0000-FFFF-FFFF00000000}">
  <cacheSource type="worksheet">
    <worksheetSource name="Tab_4.DISP_INEX"/>
  </cacheSource>
  <cacheFields count="38">
    <cacheField name="DATA RECEBIDO" numFmtId="14">
      <sharedItems containsNonDate="0" containsDate="1" containsString="0" containsBlank="1" minDate="2024-02-20T00:00:00" maxDate="2026-05-27T00:00:00" count="96">
        <d v="2024-11-04T00:00:00"/>
        <d v="2024-12-02T00:00:00"/>
        <d v="2024-11-22T00:00:00"/>
        <d v="2024-12-06T00:00:00"/>
        <d v="2024-02-20T00:00:00"/>
        <d v="2024-02-29T00:00:00"/>
        <d v="2024-03-13T00:00:00"/>
        <d v="2024-03-19T00:00:00"/>
        <d v="2024-03-21T00:00:00"/>
        <d v="2024-04-12T00:00:00"/>
        <d v="2024-04-02T00:00:00"/>
        <d v="2024-04-23T00:00:00"/>
        <d v="2024-04-24T00:00:00"/>
        <d v="2024-04-29T00:00:00"/>
        <d v="2024-05-23T00:00:00"/>
        <d v="2024-06-27T00:00:00"/>
        <d v="2024-08-07T00:00:00"/>
        <d v="2024-07-03T00:00:00"/>
        <d v="2024-07-17T00:00:00"/>
        <d v="2024-07-31T00:00:00"/>
        <d v="2024-07-11T00:00:00"/>
        <d v="2024-08-02T00:00:00"/>
        <d v="2024-08-21T00:00:00"/>
        <d v="2024-09-24T00:00:00"/>
        <d v="2024-10-01T00:00:00"/>
        <d v="2024-10-08T00:00:00"/>
        <d v="2024-10-22T00:00:00"/>
        <d v="2024-11-14T00:00:00"/>
        <d v="2024-11-25T00:00:00"/>
        <d v="2024-11-28T00:00:00"/>
        <d v="2024-11-26T00:00:00"/>
        <d v="2024-11-27T00:00:00"/>
        <d v="2024-11-29T00:00:00"/>
        <d v="2024-12-03T00:00:00"/>
        <d v="2024-12-04T00:00:00"/>
        <d v="2024-12-13T00:00:00"/>
        <d v="2024-12-17T00:00:00"/>
        <d v="2024-12-23T00:00:00"/>
        <d v="2025-03-07T00:00:00"/>
        <d v="2025-03-19T00:00:00"/>
        <d v="2025-01-16T00:00:00"/>
        <d v="2025-01-17T00:00:00"/>
        <d v="2025-04-09T00:00:00"/>
        <d v="2025-04-02T00:00:00"/>
        <d v="2025-05-08T00:00:00"/>
        <d v="2025-01-14T00:00:00"/>
        <d v="2025-04-07T00:00:00"/>
        <d v="2025-03-27T00:00:00"/>
        <d v="2025-05-19T00:00:00"/>
        <d v="2025-06-02T00:00:00"/>
        <d v="2025-05-30T00:00:00"/>
        <d v="2025-07-03T00:00:00"/>
        <d v="2025-07-01T00:00:00"/>
        <d v="2025-06-16T00:00:00"/>
        <d v="2025-07-21T00:00:00"/>
        <d v="2025-07-29T00:00:00"/>
        <d v="2025-08-14T00:00:00"/>
        <d v="2025-09-02T00:00:00"/>
        <d v="2025-09-03T00:00:00"/>
        <d v="2025-09-04T00:00:00"/>
        <d v="2025-09-09T00:00:00"/>
        <d v="2025-09-12T00:00:00"/>
        <d v="2025-06-23T00:00:00"/>
        <d v="2025-09-23T00:00:00"/>
        <d v="2025-10-02T00:00:00"/>
        <d v="2025-10-07T00:00:00"/>
        <d v="2025-10-14T00:00:00"/>
        <d v="2025-10-24T00:00:00"/>
        <d v="2025-10-31T00:00:00"/>
        <d v="2025-11-07T00:00:00"/>
        <d v="2025-12-03T00:00:00"/>
        <d v="2025-09-25T00:00:00"/>
        <d v="2025-10-16T00:00:00"/>
        <d v="2025-10-30T00:00:00"/>
        <d v="2025-11-21T00:00:00"/>
        <d v="2026-01-22T00:00:00"/>
        <d v="2025-11-27T00:00:00"/>
        <d v="2026-01-26T00:00:00"/>
        <d v="2026-02-04T00:00:00"/>
        <d v="2026-02-05T00:00:00"/>
        <d v="2026-02-09T00:00:00"/>
        <d v="2026-02-21T00:00:00"/>
        <d v="2026-03-12T00:00:00"/>
        <d v="2026-03-23T00:00:00"/>
        <d v="2026-03-24T00:00:00"/>
        <d v="2026-04-01T00:00:00"/>
        <d v="2026-04-06T00:00:00"/>
        <d v="2026-04-07T00:00:00"/>
        <d v="2026-04-28T00:00:00"/>
        <d v="2026-05-06T00:00:00"/>
        <d v="2026-05-09T00:00:00"/>
        <d v="2026-05-11T00:00:00"/>
        <d v="2026-05-26T00:00:00"/>
        <m/>
        <d v="2026-01-23T00:00:00" u="1"/>
        <d v="2024-11-07T00:00:00" u="1"/>
      </sharedItems>
    </cacheField>
    <cacheField name="RESPONSÁVEL GCC" numFmtId="0">
      <sharedItems containsBlank="1"/>
    </cacheField>
    <cacheField name="STATUS" numFmtId="0">
      <sharedItems containsBlank="1"/>
    </cacheField>
    <cacheField name="ETAPA" numFmtId="0">
      <sharedItems containsBlank="1"/>
    </cacheField>
    <cacheField name="Nº PROCESSO SIGA" numFmtId="0">
      <sharedItems containsBlank="1" count="116">
        <s v="TLB-PRO-2024/05723"/>
        <s v="TLB-PRO-2024/04811"/>
        <s v="TLB-PRO-2024/03879"/>
        <s v="TLB-PRO-2024/06305"/>
        <s v="TLB-PRO-2024/00927"/>
        <s v="TLB-PRO-2024/00201"/>
        <s v="TLB-PRO-2024/00613"/>
        <s v="TLB-PRO-2024/01201"/>
        <s v="TLB-PRO-2024/00922"/>
        <s v="TLB-PRO-2024/01130"/>
        <s v="TLB-PRO-2024/00728"/>
        <s v="TLB-PRO-2024/01473"/>
        <s v="TLB-PRO-2024/01475"/>
        <s v="TLB-PRO-2024/01308"/>
        <s v="TLB-PRO-2024/02102"/>
        <s v="TLB-PRO-2024/01992"/>
        <s v="TLB-PRO-2024/02662"/>
        <s v="TLB-PRO-2024/03371"/>
        <s v="TLB-PRO-2024/01102"/>
        <s v="TLB-PRO-2024/02467"/>
        <s v="TLB-PRO-2024/03684"/>
        <s v="TLB-PRO-2024/03973"/>
        <s v="TLB-PRO-2024/02951"/>
        <s v="TLB-PRO-2024/02910"/>
        <s v="TLB-PRO-2024/04037"/>
        <s v="TLB-PRO-2024/04040"/>
        <s v="TLB-PRO-2024/04850"/>
        <s v="TLB-PRO-2024/05179"/>
        <s v="TLB-PRO-2024/04517"/>
        <s v="TLB-PRO-2024/05477"/>
        <s v="TLB-PRO-2024/06064"/>
        <s v="TLB-PRO-2024/06102"/>
        <s v="TLB-PRO-2024/06203"/>
        <s v="TLB-PRO-2024/06226"/>
        <s v="TLB-PRO-2024/06217"/>
        <s v="TLB-PRO-2024/06221"/>
        <s v="TLB-PRO-2024/06280"/>
        <s v="TLB-PRO-2024/06285"/>
        <s v="TLB-PRO-2024/06308"/>
        <s v="TLB-PRO-2024/06369"/>
        <s v="TLB-PRO-2024/06355"/>
        <s v="TLB-PRO-2024/06358"/>
        <s v="TLB-PRO-2024/06390"/>
        <s v="TLB-PRO-2024/06363"/>
        <s v="TLB-PRO-2024/06341"/>
        <s v="TLB-PRO-2024/06558"/>
        <s v="TLB-PRO-2024/05271"/>
        <s v="TLB-PRO-2025/00933"/>
        <s v="TLB-PRO-2025/01070"/>
        <s v="TLB-PRO-2024/06004"/>
        <s v="TLB-PRO-2024/06151"/>
        <s v="TLB-PRO-2024/06219"/>
        <s v="TLB-PRO-2025/01806"/>
        <s v="TLB-PRO-2025/01053"/>
        <s v="TLB-PRO-2025/01408"/>
        <s v="TLB-PRO-2025/01052"/>
        <s v="TLB-PRO-2024/05944"/>
        <s v="TLB-PRO-2025/01643"/>
        <s v="TLB-PRO-2025/01491"/>
        <s v="TLB-PRO-2025/02256"/>
        <s v="TLB-PRO-2025/02561"/>
        <s v="TLB-PRO-2025/02662"/>
        <s v="TLB-PRO-2025/03118"/>
        <s v="TLB-PRO-2025/02831"/>
        <s v="TLB-PRO-2024/04999"/>
        <s v="TLB-PRO-2025/03743"/>
        <s v="TLB-PRO-2025/03829"/>
        <s v="TLB-PRO-2025/04301"/>
        <s v="TLB-PRO-2025/04685"/>
        <s v="TLB-PRO-2025/03622"/>
        <s v="TLB-PRO-2025/03941"/>
        <s v="TLB-PRO-2025/04652"/>
        <s v="TLB-PRO-2025/03846"/>
        <s v="TLB-PRO-2025/02898"/>
        <s v="TLB-PRO-2025/04974"/>
        <s v="TLB-PRO-2025/01134"/>
        <s v="TLB-PRO-2025/01043"/>
        <s v="TLB-PRO-2025/01133"/>
        <s v="TLB-PRO-2025/05401"/>
        <s v="TLB-PRO-2025/05423"/>
        <s v="TLB-PRO-2025/05572"/>
        <s v="TLB-PRO-2025/05575"/>
        <s v=" TLB-PRO-2025/05053"/>
        <s v=" TLB-PRO-2025/04066"/>
        <s v="TLB-PRO-2025/03496"/>
        <s v="TLB-PRO-2025/03511"/>
        <s v="TLB-PRO-2025/01337"/>
        <s v="TLB-PRO-2025/03416"/>
        <s v="TLB-PRO-2025/04504"/>
        <s v="TLB-PRO-2025/05445"/>
        <s v="TLB-PRO-2025/06493"/>
        <s v="TLB-PRO-2026/00317"/>
        <s v="TLB-PRO-2025/05074"/>
        <s v="TLB-PRO-2025/07216"/>
        <s v="TLB-PRO-2026/00378"/>
        <s v="TLB-PRO-2026/00436"/>
        <s v="TLB-PRO-2026/00475"/>
        <s v="TLB-PRO-2026/00657"/>
        <s v="TLB-PRO-2026/00580"/>
        <s v="TLB-PRO-2026/00447"/>
        <s v="TLB-PRO-2026/01002"/>
        <s v="TLB-PRO-2026/01444"/>
        <s v="TLB-PRO-2026/00961"/>
        <s v="TLB-PRO-2026/01174"/>
        <s v="TLB-PRO-2026/01689"/>
        <s v="TLB-PRO-2026/01803"/>
        <s v="TLB-PRO-2026/01844"/>
        <s v="TLB-PRO-2026/01896"/>
        <s v="TLB-PRO-2026/02540"/>
        <s v="TLB-PRO-2026/02273"/>
        <s v="TLB-PRO-2026/02574"/>
        <s v="TLB-PRO-2026/02922"/>
        <s v="TLB-PRO-2026/02929"/>
        <s v="TLB-PRO-2026/03278"/>
        <m/>
        <s v="TLB-PRO-2025/2898" u="1"/>
      </sharedItems>
    </cacheField>
    <cacheField name="DIRETORIA" numFmtId="0">
      <sharedItems containsBlank="1"/>
    </cacheField>
    <cacheField name="ÁREA REQUISITANTE" numFmtId="0">
      <sharedItems containsBlank="1"/>
    </cacheField>
    <cacheField name="TIPO DO OBJETO" numFmtId="0">
      <sharedItems containsBlank="1" count="4">
        <s v="Serviços"/>
        <s v="Compras"/>
        <s v="Informática (TIC)"/>
        <m/>
      </sharedItems>
    </cacheField>
    <cacheField name="OBJETO" numFmtId="0">
      <sharedItems containsBlank="1" count="118" longText="1">
        <s v="Contratação de empresa especializada em assessoria esportiva, organização, apoio técnico, logístico e estrutural para participação da equipe de colaboradores da Telebras, em caminhada (3km) e corrida (5km e 10km) no evento MARATONA MONUMENTAL DE BRASÍLIA em comemoração ao aniversário de 52 anos da empresa e a Semana Interna de Prevenção de Acidentes do Trabalho (SIPAT."/>
        <s v="Aquisição de drone"/>
        <s v="Contratação de serviços de reparo e higienização das cadeiras de escritório do CIGR"/>
        <s v="Compra de placas, transceivers e cabos compatíveis com os equipamentos DATACOM para a realização de upgrade do Switch DATACOM 4004 instalado na localidade de Presidente Dutra/MA para atendimento da demanda da Infovia do Maranhão."/>
        <s v="Palestrante moderador para o Evento &quot;Telebras Day&quot;"/>
        <s v="Conferência Satellite 2024"/>
        <s v="Filiação da Telebras à Fundação Nacional da Qualidade – FNQ"/>
        <s v="Zênite Fácil - Estatais - Assinatura anual"/>
        <s v="Participação da Telebras no Simpósio Internacional Especializado em Dinâmica de Vôo Espacial - International Symposium on Space Flight Dynamics (ISSFD)."/>
        <s v="Associação da Telebras ao Instituto Brasileiro de Governança Corporativa - IBGC"/>
        <s v="Consultoria para Evolução da Gestão do Conhecimento"/>
        <s v="Curso de ICMS - Teoria e Prática"/>
        <s v="Contratação da capacitação &quot;Formação em PIS e Cofins&quot;"/>
        <s v="Participação no 11º Congresso Internacional de Compliance"/>
        <s v="Incluir a Telebras como associada da ABRINT - Associação Brasileira de Provedores de Internet sob o título de parceira- fornecedora."/>
        <s v="Curso T&amp;D"/>
        <s v="Contratação da participação no evento &quot;11º Congresso Internacional de Compliance&quot;"/>
        <s v="Contratação da participação no evento &quot;GDI Connect 2024 DF&quot;"/>
        <s v=" Associação da Telebras à Space Data Association – DAS"/>
        <s v="Participação da Telebras, por meio de ação promocional, no Seminário Nacional de TIC para a Gestão Pública SECOP 2024, evento organizado exclusivamente pela Associação Brasileira de Entidades Estaduais de Tecnologia da Informação e Comunicação ABEP."/>
        <s v="Contratação de empresa especializada para a prestação de serviço de treinamento de Prevenção de Acidentes do Trabalho e de Assédio, para 10 (dez) membros da Comissão interna de Prevenção de Acidentes e de Assédio (CIPA) - Gestão 2024/2025"/>
        <s v="Contratação da capacitação &quot;AUDI 2 EOP&quot; e associação ao Instituto dos Auditores Internos do Brasil  "/>
        <s v="Participação da GGP/DAFRI no CONARH 2024 - Congresso Nacional de Gestão de Pessoas."/>
        <s v="Associação/Filiação da Telebras à Sociedade Brasileira de Gestão do Conhecimento - SBGC."/>
        <s v="Curso Governance Officer oferecido pelo Instituto Brasileiro de Governança"/>
        <s v="Capacitação Controladoria"/>
        <s v="25º Congresso IBGC - Cultura de Governança e os Desafios do Brasil"/>
        <s v="Capacitação NRs 06, 10, 12, 20 e 35"/>
        <s v="Contratação da ferramenta de pesquisa e comparação de preços praticados pela administração pública, denominada Banco de Preços"/>
        <s v="Capacitação Credenciamento"/>
        <s v="Curso Treinamento Executivo Risk University"/>
        <s v="Curso Governança Corporativa para Empresas Estatais"/>
        <s v="Treinamento na Trilha: Tecnologia celular 4G – LTE"/>
        <s v="Formação de Facilitadores em Modelagem da Cultura Organizacional"/>
        <s v="Capacitação Técnica em Comunicação e Produção de Conteúdo para Gestão do Conhecimento."/>
        <s v="Desenvolvimento de Talentos e Gestão de Carreiras"/>
        <s v="Curso de COBIT®️ 2019 Foundation para profissionais lotados na GTI"/>
        <s v="Curso básico de DevOps, identificado como DevOps Fundamentos, na TRAINNING Education Center para os colaboradores da GTI"/>
        <s v="Curso/Treinamento: Relações com Investidores na prática: Completo"/>
        <s v="Capacitação GID Análise de dados"/>
        <s v="Capacitação em modelagem de dados e Automação"/>
        <s v="Treinamento Executivo - Risk University Imersão"/>
        <s v="Treinamento: Habilidades de T&amp;D"/>
        <s v="Treinamento e Certificação CISSP - Certified Information Systems Security Professional"/>
        <s v="Contratação de empresa especializada para fornecimento de suporte e garantia de switches Dell."/>
        <s v="Contratação de empresa especializada para fornecimento de suporte e garantia de servidores Dell."/>
        <s v="Contratação da Capacitação - Inteligência Artificial Apliacada às Contratações Públicas"/>
        <s v="Contratação da Capacitação - Pesquisa de Preços para Contratações Públicas com o uso de Inteligência Artificial"/>
        <s v="Aquisição de impressora de cartão PVC/crachá para a Telebras."/>
        <s v="Treinamento - Environmental, Social &amp; Governance (ESG)"/>
        <s v="Curso Preparatório PMP"/>
        <s v="Capacitação interna - Modelagem Financeira"/>
        <s v="Contratação de assinatura anual dos produtos de suporte jurídico à administração referente às contratações públicas: Zênite Fácil - Estatais e Zênite Fácil Inteligência Artificial - ZIÁ, que é a assistente de pesquisa do Zênite Fácil - Estatais que utiliza IA generativa."/>
        <s v="Capacitação &quot;Análise de Viabilidade de Projetos&quot;."/>
        <s v="Contratação de empresa especializada na prestação de serviços de informações e pesquisa no âmbito fiscal, trabalhista, previdenciário, contábil, auditoria e societário."/>
        <s v="Participação da Telebras, por meio de ação promocional, no Evento Abrint Global Congress 2025, organizado exclusivamente pela Abrint - Associação Brasileira de Provedores de Internet. O evento ocorrerá no Anhembi, em São Paulo, de 07 a 09 de maio de 2025."/>
        <s v="Contratação de escritório de advocacia de notória especialização em matéria tributária."/>
        <s v="Contratação da Capacitação - Programa de Imersão: Gestão Estratégica por Resultados em Licitações e Contratos"/>
        <s v="Contratação da Capacitação ISO 31000:2018 - Capacitação em Gestão de Riscos"/>
        <s v="Participação da GGP no CONARH 2025- Congresso Nacional de Gestão de Pessoas"/>
        <s v="Participação da Telebras, por meio de ação promocional, no evento SECOP 2025"/>
        <s v="Curso/Treinamento: 15 ª Convenção de Contabilidade do Distrito Federal: inovação, conhecimento e networking"/>
        <s v="Contratação de escritório de advocacia especializado para defesa judicial do ex Diretor da Telebras, o Sr.  Paulo Ferreira, contra decisão proferida no Processo Administrativo Sancionador nº RJ2018/5158 (Processo Eletrônico SEI 19957.007825/2018 11), instaurado pela Comissão de Valores Mobiliários (CVM)."/>
        <s v="Contratação de empresa para inscrição  de até 35 empregados(as) da Telebras, no curso Apresentações estratégicas PPTPLAY."/>
        <s v="Contratação de empresa para inscrição de 09 empresário(s), no evento  Agile Trends GOV 2025."/>
        <s v="Contratação de empresa para inscrição de até 40 colaboradores das 4 diretorias da Telebras, com foco para a Diretoria Comercial, no curso  Conteúdo, Corpo e Voz: Estratégias de Comunicação Eficaz para Fechamento de Acordos Comerciais."/>
        <s v="Contratação de empresa para inscrição dos(as) Conselheiros(as) José Cabral Guedes, Paula Vicente da Silva e Cleber Santiago  no 26º Congresso IBGC - Governança em um Mundo Disruptivo ."/>
        <s v="Contratação de empresa para inscrição a inscrição de 03 funcionário(s) da AUD, no Congresso Brasileiro de Auditoria Interna - CONBRAI - 2025."/>
        <s v="Participação no Futurecom 2025 - Evento de Conectividade, Inovação e Cibersegurança (30/09 a 02/10 - São Paulo Expo)."/>
        <s v="Participação dos colaboradores da GEOS no Spacecraft Operations Course 2025"/>
        <s v="Curso/Treinamento: Congresso Latino-americano de Satélites 2025"/>
        <s v="Aquisição de bebedouros para atender as necessidades da sede da Telebras no COPE-P"/>
        <s v="Contratação da participação no 39° Congresso Brasileiro de Direito Administrativo"/>
        <s v="Contratação para aquisição de equipamentos do sistema de ar climatização (condensadoras) para as Estações de Acesso / Gateways"/>
        <s v="CONSULTORIA PARA IMPLANTAÇÃO DE PRÁTICAS DE GESTÃO DO CONHECIMENTO"/>
        <s v="Processo de contratação para aquisição de componentes do Grupo Motor Gerador (GMG) para as Estações de Acesso / Gateways"/>
        <s v="Contratação da versão Plus 100  da ferramenta de pesquisa e comparação de preços praticados pela administração pública, denominada Banco de Preços, que consiste num sistema de pesquisa baseado em resultados de licitações adjudicadas e homologadas, a fim de facilitar a pesquisa de mercado para estimar os custos das contratações da TELEBRAS."/>
        <s v="Contratação de empresa para a inscrição de 01 colaboradora da AUD curso AUDI 2 EOP, com a respectiva associaçãos."/>
        <s v="Contratação da capacitação HSM + 2025."/>
        <s v="Contratação da Capacitação - Aprimoramento em Governança para Empresas Estatais."/>
        <s v="Contratação do Workshop de Gestão de Riscos."/>
        <s v="Contratação de serviços especializados em consultas às bases do Cadastro de Pessoa Física - CPF e Cadastro Nacional de Pessoa Jurídica - CNPJ"/>
        <s v="HDs"/>
        <s v="Estantes para COPE"/>
        <s v="Cabos breakout"/>
        <s v="Realização de concurso público"/>
        <s v="Aquisição de peças e partes para recuperação de sistema de ar condicionado do Datacenter da sede da Telebras"/>
        <s v="Contratação direta da Empresa Brasileira de Correios e Telégrafos - ECT, mediante adesão a Termo de Condições Comerciais, vinculado a Pacote de Serviços dos CORREIOS denominado Platinum."/>
        <s v="Contratação emergencial de empresa especializada na prestação de serviços de saúde do trabalho, visando à execução do Programa de Controle Médico de Saúde Ocupacional (PCMSO) e demais atividades correlatas, em atendimento à SEDE e COPE-P (DF), COPE-S (RJ) e Escritório Regional de Belém (PA)."/>
        <s v="Contratação de empresa para a realização de palestra sobre Educação Financeira, cujo título apresentado pela prestadora do serviço seja: &quot; Recalculando a Rota&quot;"/>
        <s v="Contratação de empresa especializada para fornecimento de serviços de assinatura de veículos jornalísticos em formato digital para atender a Assessoria de Comunicação da Telebras"/>
        <s v="Contratação de empresa para inscrição de até 40 funcionários/as da Telebras, no curso Reforma Tributária."/>
        <s v="Contratação da participação na capacitação AUDI 2 EOP"/>
        <s v="Contratação da inscrição de 4 empregados(as) da Telebras, no curso ISO 31000:2018 - Capacitação em Gestão de Riscos."/>
        <s v="Contratação da capacitação “e-Social e EFD-Reinf com Foco na DCTFWeb para Órgãos Públicos”"/>
        <s v="Contratação da participação na capacitação AUDI TI."/>
        <s v="Contratação da capacitação - NR 05 CIPA - Comissão Interna de Prevenção a Acidentes - Grau de Risco 2"/>
        <s v="Contratação da capacitação - NR 01 - Treinamento de Integração de Segurança 1"/>
        <s v="Contratação da participação no seminário políticas de comunicações."/>
        <s v="Contratação da participação do presidente da Telebras no evento Satellite GovMilSpace."/>
        <s v="Contratação da participação de 10 colaboradores no evento “Agile Trends Gov 2026”."/>
        <s v="Contratação das participação de 2 funcionários da Telebras no evento International Symposium on Space Flight Dynamics (ISSFD)."/>
        <s v="Contratação da participação de 2 empregados da Telebras no evento “Financial Planning and Analysis Summit”"/>
        <s v="Aquisição de material promocional de divulgação institucional (sacolas) para o exercício de 2026."/>
        <s v="Contratação da participação no Evento Abrint Global Congress 2026."/>
        <s v="Contratação da participação de 06 funcionários no evento Eleva Estatais."/>
        <s v="Contratação da participação de 2 colaboradores da Telebras no evento IEEE (Institute of Electrical and Electronics Engineers, Inc.) - International Conference on Communications 2026."/>
        <s v="Participação da GGP no CONARH 2026 - Congresso Nacional de Gestão de Pessoas."/>
        <s v="Contratação da participação de 2 colaboradopres no Congresso Brasileiro de Treinamento e Desenvolvimento (CBTD 2026)."/>
        <s v=" Contratação da participação de 4 (quatro) colaboradores da Telebras na capacitação &quot;Formação em Gestão de Inteligência Artificial&quot;."/>
        <s v="Contratação da participação no Congresso Latino-Americano de Auditoria Interna (CLAI) 2026."/>
        <s v="Contratação da participação de 05 colaboradores da Telebras, no curso Auditando a Gestão de Riscos Corporativos (GRC)."/>
        <m/>
        <s v="Contrtação de empresa para inscrição de 09 empresário(s), no evento  Agile Trends GOV 2025." u="1"/>
        <s v="Contratação de empresa especializada em assessoria esportiva, organização, apoio técnico, logístico e estrutural para participação da equipe de colaboradores da Telebras, em caminhada (3km) e corrida (5km e 10km) no evento MARATONA MONUMENTAL DE BRASÍLIA em comemoração ao aniversário de 52 anos da empresa e a Semana Interna de Prevenção de Acidentes do Trabalho (SIPAT), no dia 23/11/2024, com largada prevista às 18h, na Esplanada dos Ministérios, em Brasília/DF." u="1"/>
        <s v="CONARH" u="1"/>
        <s v="SECOP" u="1"/>
        <s v="Participação da Telebras, por meio de ação promocional, no Evento Abrint Global Congress 2025, organizado exclusivamente pela Abrint " u="1"/>
      </sharedItems>
    </cacheField>
    <cacheField name="MODALIDADE" numFmtId="0">
      <sharedItems containsBlank="1" count="9">
        <s v="Dispensa"/>
        <s v="Inexigibilidade"/>
        <m/>
        <s v="Dispensa Tradicional" u="1"/>
        <s v="DISPENSA BAIXO VALOR" u="1"/>
        <s v="Dispensa de Licitação" u="1"/>
        <s v="Dispensa Eletrônica" u="1"/>
        <s v="DISPENSA - OUTROS" u="1"/>
        <s v="DISPENSA POR BAIXO VALOR" u="1"/>
      </sharedItems>
    </cacheField>
    <cacheField name="NATUREZA DO CONTRATO" numFmtId="0">
      <sharedItems containsBlank="1"/>
    </cacheField>
    <cacheField name="FORNECEDOR" numFmtId="0">
      <sharedItems containsBlank="1" count="93">
        <s v="MARCIA GONCALVES FARIA ROSA"/>
        <s v="NW SHOP COMÉRCIO LTDA"/>
        <s v="GS SERVICOS LTDA"/>
        <s v="Teracom Telemática S.A"/>
        <s v="Inlabs Capacitação Profissional Ltda"/>
        <s v="ACCESS INTELLIGENCE, LLC"/>
        <s v="Fundação Nacional de Qualidade - FNQ"/>
        <s v="Zênite Informação e Consultoria S/A"/>
        <s v="ATP Specials BV"/>
        <s v=" Instituto Brasileiro de Governança Corporativa - IBGC"/>
        <s v="IMPAKT CONSULTORIA S/S LIMITADA"/>
        <s v="IBET Instituto Brasileiro de Estudos Tributários"/>
        <s v="Cenofisco Centro de Capacitação Profissional Ltda"/>
        <s v="LEC Educação e Pesquisa Ltda"/>
        <s v="Associação Brasileira de Provedores de Internet - ABRINT"/>
        <s v="Integração - Escola de Negócios Ltda"/>
        <s v="LEC EDUCACAO E PESQUISA LTDA"/>
        <s v="PS Treinamento Profissional e Consultoria Empresarial Ltda"/>
        <s v="Space Data Association"/>
        <s v="Associação Brasileira de Entidades Estaduais e Públicas de tecnologia da Infrmção e comunicação ES - ABEP"/>
        <s v="Bioseg Brasília Soluções em Segurança e Medicina do Trabalho Ltda"/>
        <s v="Instituto dos Auditores Internos do Brasil"/>
        <s v=" Associação Brasileira de Recursos Humanos"/>
        <s v="Associação Brasileira de Gestão do Conhecimento - SBGC"/>
        <s v="Instituto Brasileiro de Governança Corporativa"/>
        <s v="Fundação Getulio Vargas"/>
        <s v="NP Tecnologia e Gestão de Dados Ltda"/>
        <s v="KPMG Consultoria Ltda"/>
        <s v="Fundação Instituto Nacional de Telecomunicações"/>
        <s v="Akademia de Transformação Organizacional LTDA"/>
        <s v="Mariana Rodrigues de Lima"/>
        <s v="Ibmec Educacional Ltda"/>
        <s v="Singulares Tecnologia da Informação Ltda"/>
        <s v="MINDWORKS -TECNOLOGIA E TREINAMENTO LTDA"/>
        <s v="FUNDAÇÃO INSTITUTO DE PESQUISAS CONTABEIS, ATUARIAIS E FINANCEIRAS - FIPECAFI"/>
        <s v="Mindworks - Tecnologia e Treinamento Ltda"/>
        <s v="KPMG ASSURANCE SERVICES LTDA"/>
        <s v="ABTD ASSOCIAÇÃO BRASILEIRA DE TREINAMENTO"/>
        <s v="KA SOLUTION INFORMÁTICA LTDA"/>
        <s v="DELL COMPUTADORES DO BRASIL LTDA"/>
        <s v="Inove Treinamentos e Capacitação Ltda"/>
        <s v="Instituto Brasileiro de Governança Corporativa - IBGC"/>
        <s v="SC BRASIL GROUP SOLUÇÕES TECNOLÓGICAS LTDA"/>
        <s v="KPMG Business School |Treinamentos Corporativos"/>
        <s v="MODERNPMO GESTAO E TECNOLOGIA LTDA GESTAO E TECNOLOGIA LTDA"/>
        <s v="A. F. Comércio de Livros e Cursos Especializados Ltda"/>
        <s v="LEGIS JET LTDA"/>
        <s v="ABRINT"/>
        <s v="SACHA CALMON - MISABEL DERZI, CONSULTORES E ADVOGADOS"/>
        <s v="3R CAPACITA COMERCIO DE MATERIAIS DIDATICOS E SERVICOS EDUCACIONAIS LTDA"/>
        <s v="QSP - CENTRO DA QUALIDADE, SEGURANCA E PRODUTIVIDADE PARA O BRASIL E AMERICA LATINA"/>
        <s v="ABRH- Associação Brasileira de Recursos Humanos"/>
        <s v="Associação Brasileira de Entidades Estaduais e Públicas de Tecnologia da Informação e Comunicação"/>
        <s v="CONSELHO REGIONAL DE CONTABILIDADE DO DISTRITO FEDERAL"/>
        <s v="Badia e Quartim Advogados – BQA"/>
        <s v="RENATO DE PAULA - APRESENTACOES INTELIGENTES LTDA (PPTPLAY)"/>
        <s v="Neurobox Tecnologia em Informática Ltda"/>
        <s v="Congresso Brasileiro de Auditoria Interna"/>
        <s v="Informa Markets Ltda"/>
        <s v="DLR (Deutsches Zentrum für Luft- und Raumfahrt)"/>
        <s v="GLASBERG COMUNICAÇÕES LTDA"/>
        <s v="M &amp; J REFRIGERACAO LTDA"/>
        <s v="INSTITUTO BRASILEIRO DE DIREITO ADMINISTRATIVO - IBDA"/>
        <s v="VERTIV TECNOLOGIA DO BRASIL LTDA."/>
        <s v="ROLLS ROYCE SOLUTIONS BRASIL LTDA"/>
        <s v="MCI BRASIL LTDA"/>
        <s v="SERPRO - SERVIÇO FEDERAL DE PROCESSAMENTO DE DADOS "/>
        <s v="MARFAP COMERCIAL LTDA"/>
        <s v="SOUL DISTRIBUIDORA DE PRODUTOS E EQUIPAMENTOS INDUSTRIAIS LTDA"/>
        <s v="FONNET COMÉRCIO DE EQUIPAMENTOS DE TELECOMUNICAÇÕES LTDA"/>
        <s v="CENTRO BRASILEIRO DE PESQUISA EM AVALIAÇÃO E SELEÇÃO E DE PROMOÇÃO DE EVENTOS (CEBRASPE)"/>
        <s v="G2 AR CONDICIONADO LTDA"/>
        <s v="Empresa Brasileira de Correios e Telégrafos"/>
        <s v="MPV - SERVIÇOS DE CLÍNICA MÉDICA, CARDIOLOGIA E CIRURGIA GERAL LTD"/>
        <s v="TOSTAO FURADO LTDA"/>
        <m/>
        <s v=" QSP - Centro da Qualidade, Segurança e Produtividade para o Brasil e América Latina"/>
        <s v=" SUPREME CAPACITAÇÃO E TREINAMENTO LTDA"/>
        <s v="BIOSEG BRASILIA SOLUCOES EM SEGURANCA E MEDICINA DO TRABALHO LTDA"/>
        <s v="SAVE PRODUÇÕES EDITORIAIS LTDA "/>
        <s v=" Access Intelligence, LLC"/>
        <s v=" French Space Agency"/>
        <s v="AABC Organização de Eventos Ltda"/>
        <s v="RUTE ARANTES DE AZEVEDO - ME"/>
        <s v="ASSOCIACAO BRASILEIRA DE PROVEDORES DE INTERNET E TELECOMUNICACOES"/>
        <s v="Eleva Soluções Públicas Ltda"/>
        <s v="IEEE - International Conference on Communications"/>
        <s v="ESPM - Associação Escola Superior de Propaganda e Marketing"/>
        <s v="SERMAN ENGENHARIA" u="1"/>
        <s v="ELDEX DISTRIBUIDORA DE JORNAIS E REVISTAS LTDA-ME" u="1"/>
        <s v=":INSTITUTO BRASILEIRO DE GOVERNANÇA CORPORATIVA" u="1"/>
        <s v="FK PARTNERS" u="1"/>
        <s v="Associação Brasileira de Provedores de Internet" u="1"/>
      </sharedItems>
    </cacheField>
    <cacheField name="CNPJ/CPF" numFmtId="0">
      <sharedItems containsBlank="1" count="82">
        <s v="16.454.959/0001-37"/>
        <s v="30.282.962/0001-41"/>
        <s v="34.292.339/0001-20"/>
        <s v="02.820.966/0001-09"/>
        <s v="16.700.677/0001-72"/>
        <s v="EX242162"/>
        <s v="67.145.383/0001-67"/>
        <s v="86.781.069/0001-15"/>
        <m/>
        <s v="01.082.331/0001-80"/>
        <s v="08.170.564/0001-84"/>
        <s v="63.104.475/0001-48"/>
        <s v="07.799.454/0001-13"/>
        <s v="16.457.791/0001-13"/>
        <s v="11.369.542/0001-52"/>
        <s v="03.493.782/0001-36"/>
        <s v="38.593.731/0001-60"/>
        <s v="77.639.433/0001-16"/>
        <s v="46.590.489/0001-08"/>
        <s v="62.070.115/0001-00"/>
        <s v=" 43.456.425/0001-12"/>
        <s v="04.471.222/0001-43"/>
        <s v="33.641.663/0001-44"/>
        <s v="07.797.967/0001-95"/>
        <s v="01.708.167/0001-74"/>
        <s v="24.492.886/0001-04"/>
        <s v="29.484.585/0001-44"/>
        <s v="52.552.337/0001-05"/>
        <s v="04.298.309/0007-56"/>
        <s v="23.992.391/0001-73"/>
        <s v="48.933.398/0001-45"/>
        <s v="46.359.865/0001-40"/>
        <s v="06.240.429/0007-28"/>
        <s v="43.730.787/0001-50"/>
        <s v="04.527.228/0001-95"/>
        <s v=" 72.381.189/0001-10"/>
        <s v="72.381.189/0001-10"/>
        <s v=" 50.088.618/0001-23"/>
        <s v="43.478.505/0001-79"/>
        <s v=" 05.490.840/0001-01"/>
        <s v="21.268.624/0001-64"/>
        <s v=" 06.336.797/0001-89"/>
        <s v=" 86.781.069/0001-15"/>
        <s v="06.336.797/0001-89"/>
        <s v="27.188.971/0001-63"/>
        <s v="00.140.626/0001-01"/>
        <s v="32.380.894/0001-89"/>
        <s v="67.634.022/0001-84"/>
        <s v="43.456.425/0001-12"/>
        <s v="00.113.035/0001-37"/>
        <s v=" 60.525.730/0001-38"/>
        <s v="27.570.039/0001-09"/>
        <s v="09.136.376/0001-00"/>
        <s v="04.298.309/0001-60"/>
        <s v="01.914.765/0001-08"/>
        <s v="-"/>
        <s v="65.011.538/0001-47"/>
        <s v="54.638.483/0001-83"/>
        <s v="29.419.181/0001-77"/>
        <s v="03.698.870/0008-40"/>
        <s v="48.600.191/0001-59"/>
        <s v="11.321.229/0001-44"/>
        <s v="04.298.309/0013-02"/>
        <s v="33.683.111/0001-07"/>
        <s v="49.978.985/0001-13"/>
        <s v="51.659.136/0001-49"/>
        <s v="11.035.558/0001-29"/>
        <s v="18.284.407/0001-53"/>
        <s v="38.708.432/0001-24"/>
        <s v="34.028.316/0001-03"/>
        <s v=" 15.471.958/0001-38"/>
        <s v="42.460.333/0001-43"/>
        <s v=" 67.634.022/0001-84"/>
        <s v="34.370.234/0001-42"/>
        <s v="01.288.907/0001-60"/>
        <s v="50.162.682/0001-07"/>
        <s v="31.508.320/0001-80"/>
        <s v="47.766.718/0001-57"/>
        <s v="61.825.675/0001-64"/>
        <s v="62.070.115/0001-01"/>
        <s v="40.735.167/001-15" u="1"/>
        <s v="10.719.671/0001-60 " u="1"/>
      </sharedItems>
    </cacheField>
    <cacheField name="TIPO DO CONTRATO" numFmtId="0">
      <sharedItems containsBlank="1" count="6">
        <s v="Nota de Empenho"/>
        <s v="Contrato"/>
        <s v="Contrato de Adesão"/>
        <s v="Ordem de Compra"/>
        <m/>
        <s v="Termo de Adesão"/>
      </sharedItems>
    </cacheField>
    <cacheField name="NOTA DE EMPENHO" numFmtId="0">
      <sharedItems containsBlank="1" count="88">
        <s v="2024NE001059"/>
        <s v="2024NE001121"/>
        <s v="2024NE001102"/>
        <s v="2024NE001125"/>
        <s v="2024NE000601"/>
        <s v="2024NE000566"/>
        <s v="2024NE000891"/>
        <s v="2024NE000632"/>
        <s v="2024NE000628"/>
        <s v="2024NE000837"/>
        <s v="2024NE000824"/>
        <s v="2024NE000684"/>
        <s v="2024NE000653"/>
        <s v="2024NE000693"/>
        <s v="2024NE000820"/>
        <s v="2024NE000711"/>
        <s v="2024NE000822"/>
        <s v="2024NE000885"/>
        <s v="2024NE000940"/>
        <s v="2024NE000896"/>
        <s v="2024NE000909"/>
        <s v="2024NE000920"/>
        <s v="2024NE000895"/>
        <s v="2024NE000948"/>
        <s v="2024NE000915"/>
        <s v="2024NE000946"/>
        <s v="2024NE001135"/>
        <s v="2024NE000972"/>
        <s v="2024NE000985"/>
        <s v="2024NE001046"/>
        <s v="2024NE001078"/>
        <s v="2024NE001079"/>
        <s v="2024NE001081"/>
        <s v="2024NE001084"/>
        <s v="2024NE001085"/>
        <s v="2024NE001082"/>
        <s v="2024NE001088"/>
        <s v="2024NE001105"/>
        <s v="2024NE001098"/>
        <s v="2024NE001103"/>
        <s v="2024NE001108"/>
        <s v="2024NE001104"/>
        <s v="2024NE001110"/>
        <s v="2024NE001109"/>
        <s v="2024NE001137"/>
        <s v="2025NE000026"/>
        <s v="2025NE000449"/>
        <s v="2025NE000539"/>
        <s v="2025NE000572"/>
        <s v="2025NE000538"/>
        <s v="2025NE000544"/>
        <s v="2025NE000608"/>
        <s v="2025NE000607"/>
        <s v="2025NE000610"/>
        <s v="2025NE000588"/>
        <s v="2025NE000690"/>
        <s v="2025NE000532 "/>
        <s v="2025NE000613"/>
        <s v="2025NE809"/>
        <s v="2025NE000716"/>
        <s v="2025NE000761"/>
        <s v="2025NE000774"/>
        <s v="2025NE000885"/>
        <s v="2025N000E846"/>
        <s v="2025NE001037"/>
        <s v="2025NE000953"/>
        <s v="2025NE001029"/>
        <s v="2025NE001047"/>
        <s v="2025NE001089"/>
        <s v="2025NE001096"/>
        <s v="2025NE001103"/>
        <s v="2025NE001105"/>
        <s v=" TLB-ORC-2025/00003"/>
        <s v="2025NE000855"/>
        <m/>
        <s v="-"/>
        <s v=" TLB-ORC-2025/00006"/>
        <s v="TLB-ORC-2025/00007"/>
        <s v="TLB-ORC-2025/00008"/>
        <s v=" TLB-ORC-2025/00010"/>
        <s v="TLB-ORC-2025/00002" u="1"/>
        <s v="TLB-ORC-2025/00004" u="1"/>
        <s v="TLB-ORC-2025/00011" u="1"/>
        <s v="TLB-CTR-2025/00061" u="1"/>
        <s v="TLB-CTR-2025/00026" u="1"/>
        <s v="2025NE774" u="1"/>
        <s v="2025NE846" u="1"/>
        <s v="2025NE761" u="1"/>
      </sharedItems>
    </cacheField>
    <cacheField name="Nº CONTRATO" numFmtId="0">
      <sharedItems containsBlank="1" count="114">
        <s v="Nº CONTRATO"/>
        <s v="2024NE001121"/>
        <s v="2024NE001102"/>
        <s v="2024NE001125"/>
        <s v="2024NE000601"/>
        <s v="2024NE000566"/>
        <s v="2024NE000891"/>
        <s v="2024NE000632"/>
        <s v="2024NE000628"/>
        <s v="TLB-CTR-2024/00045"/>
        <s v="2024NE000824"/>
        <s v="2024NE000684"/>
        <s v="2024NE000653"/>
        <s v="2024NE000693"/>
        <s v="2024NE000820"/>
        <s v="2024NE000711"/>
        <s v="2024NE000822"/>
        <s v="2024NE000885"/>
        <s v="2024NE000940"/>
        <s v="TLB-CTR-2024/00056"/>
        <s v="2024NE000909"/>
        <s v="2024NE000920"/>
        <s v="2024NE000895"/>
        <s v="2024NE000948"/>
        <s v="2024NE000915"/>
        <s v="2024NE000946"/>
        <s v="2024NE001135"/>
        <s v="2024NE000972"/>
        <s v="2024NE000985"/>
        <s v="2024NE001046"/>
        <s v="2024NE001078"/>
        <s v="2024NE001079"/>
        <s v="2024NE001081"/>
        <s v="2024NE001084"/>
        <s v="2024NE001085"/>
        <s v="2024NE001082"/>
        <s v="2024NE001088"/>
        <s v="2024NE001105"/>
        <s v="2024NE001098"/>
        <s v="2024NE001103"/>
        <s v="2024NE001108"/>
        <s v="2024NE001104"/>
        <s v="2024NE001110"/>
        <s v="2024NE001109"/>
        <s v="2024NE001137"/>
        <s v="TLB-CTR-2025/00023"/>
        <s v="TLB-CTR-2025/00022"/>
        <s v="2025NE000539"/>
        <s v="2025NE000572"/>
        <s v="2025NE000538"/>
        <s v="TLB-CTR-2025/00024"/>
        <s v="2025NE000608"/>
        <s v="2025NE000607"/>
        <s v="2025NE000610"/>
        <s v="2025NE000588"/>
        <s v="2025NE000690"/>
        <s v="TLB-CTR-2025/00017"/>
        <s v="TermodeAdesãonº04720000"/>
        <s v="TLB-CTR-2025/00026"/>
        <s v="2025NE000716"/>
        <s v="2025NE000761"/>
        <s v="2025NE000774"/>
        <s v="TLB-CTR-2025/00048"/>
        <s v="2025N000E846"/>
        <s v="2025NE001037"/>
        <s v="2025NE000953"/>
        <s v="2025NE001029"/>
        <s v="2025NE001047"/>
        <s v="2025NE001089"/>
        <s v="2025NE001096"/>
        <s v="2025NE001103"/>
        <s v="2025NE001105"/>
        <s v="TLB-ORC-2025/00003"/>
        <s v="2025NE000855"/>
        <s v="TLB-ORC-2025/00002"/>
        <s v="TLB-CTR-2025/00090"/>
        <s v="TLB-CTR-2025/00089"/>
        <s v="TLB-CTR-2026/00010"/>
        <s v=" TLB-ORC-2025/00005"/>
        <s v="TLB-ORC-2025/00006"/>
        <s v="TLB-ORC-2025/00007"/>
        <s v="TLB-ORC-2025/00008"/>
        <s v="TLB-ORC-2025/00010"/>
        <s v="TLB-AUT-2026/00714"/>
        <s v="TLB-ORC-2025/00004"/>
        <s v="TLB-ORC-2025/00011"/>
        <s v="TLB-CTR-2025/00061"/>
        <s v="TLB-CTR-2025/00103"/>
        <s v="TLB-ORC-2026/00002"/>
        <s v="TLB-AUT-2026/00688"/>
        <s v="TLB-CTR-2025/00115"/>
        <s v="TLB-ORC-2026/00003"/>
        <m/>
        <s v="TLB-ORC-2026/00006"/>
        <s v="TLB-ORC-2026/00004"/>
        <s v="TLB-ORC-2026/00007"/>
        <s v="TLB-ORC-2026/00008"/>
        <s v="TLB-ORC-2026/00011"/>
        <s v="TLB-ORC-2026/00010"/>
        <s v="TLB-ORC-2026/00012"/>
        <s v="TLB-ORC-2026/00015"/>
        <s v="TLB-ORC-2026/00016"/>
        <s v="TLB-ORC-2026/00017"/>
        <s v=" TLB-ORC-2026/00018"/>
        <s v="TLB-ORC-2026/00021"/>
        <s v="TLB-ORC-2026/00022"/>
        <s v="TLB-AUT-2026/07283"/>
        <s v=" TLB-ORC-2026/00020"/>
        <s v="TLB-ORC-2026/00023"/>
        <s v=" TLB-ORC-2026/00027"/>
        <s v=" TLB-ORC-2026/00025"/>
        <s v="TLB-ORC-2026/00024"/>
        <s v="TLB-ORC-2026/00031"/>
        <s v=" TLB-ORC-2026/00033"/>
      </sharedItems>
    </cacheField>
    <cacheField name="Nº CTR assinado" numFmtId="0">
      <sharedItems containsBlank="1"/>
    </cacheField>
    <cacheField name="DATA ASSINATURA" numFmtId="14">
      <sharedItems containsDate="1" containsBlank="1" containsMixedTypes="1" minDate="2024-02-23T00:00:00" maxDate="2026-06-02T00:00:00" count="95">
        <d v="2024-11-08T00:00:00"/>
        <d v="2024-12-06T00:00:00"/>
        <d v="2024-02-28T00:00:00"/>
        <d v="2024-02-23T00:00:00"/>
        <d v="2024-07-15T00:00:00"/>
        <d v="2024-03-22T00:00:00"/>
        <d v="2024-06-20T00:00:00"/>
        <d v="2024-12-02T00:00:00"/>
        <d v="2024-04-25T00:00:00"/>
        <d v="2024-04-08T00:00:00"/>
        <d v="2024-04-26T00:00:00"/>
        <d v="2024-05-27T00:00:00"/>
        <d v="2024-05-02T00:00:00"/>
        <d v="2024-05-28T00:00:00"/>
        <d v="2024-07-01T00:00:00"/>
        <d v="2024-08-26T00:00:00"/>
        <d v="2024-07-18T00:00:00"/>
        <d v="2024-07-30T00:00:00"/>
        <d v="2024-08-09T00:00:00"/>
        <d v="2024-07-17T00:00:00"/>
        <d v="2024-09-04T00:00:00"/>
        <d v="2024-08-06T00:00:00"/>
        <d v="2024-08-29T00:00:00"/>
        <d v="2024-12-16T00:00:00"/>
        <s v=" 02/10/2024"/>
        <d v="2024-10-11T00:00:00"/>
        <d v="2024-10-25T00:00:00"/>
        <d v="2024-11-27T00:00:00"/>
        <d v="2024-11-29T00:00:00"/>
        <s v=" 02/12/2024"/>
        <d v="2024-12-04T00:00:00"/>
        <d v="2024-12-17T00:00:00"/>
        <d v="2025-03-27T00:00:00"/>
        <d v="2025-03-11T00:00:00"/>
        <d v="2025-03-26T00:00:00"/>
        <d v="2025-03-18T00:00:00"/>
        <d v="2025-03-28T00:00:00"/>
        <d v="2025-04-14T00:00:00"/>
        <d v="2025-04-15T00:00:00"/>
        <d v="2025-04-04T00:00:00"/>
        <d v="2025-05-09T00:00:00"/>
        <d v="2025-04-17T00:00:00"/>
        <d v="2025-04-16T00:00:00"/>
        <d v="2025-05-23T00:00:00"/>
        <d v="2025-06-05T00:00:00"/>
        <d v="2025-06-09T00:00:00"/>
        <d v="2025-07-16T00:00:00"/>
        <d v="2025-07-03T00:00:00"/>
        <d v="2025-08-11T00:00:00"/>
        <d v="2025-07-31T00:00:00"/>
        <d v="2025-08-01T00:00:00"/>
        <d v="2025-08-18T00:00:00"/>
        <d v="2025-09-05T00:00:00"/>
        <d v="2025-09-10T00:00:00"/>
        <d v="2025-09-11T00:00:00"/>
        <d v="2025-09-22T00:00:00"/>
        <d v="2025-07-07T00:00:00"/>
        <d v="2025-09-16T00:00:00"/>
        <d v="2025-12-15T00:00:00"/>
        <d v="2025-11-06T00:00:00"/>
        <d v="2026-01-22T00:00:00"/>
        <d v="2025-10-08T00:00:00"/>
        <d v="2025-10-17T00:00:00"/>
        <d v="2025-10-28T00:00:00"/>
        <d v="2025-11-05T00:00:00"/>
        <d v="2025-11-11T00:00:00"/>
        <d v="2026-01-14T00:00:00"/>
        <d v="2025-10-02T00:00:00"/>
        <d v="2025-11-21T00:00:00"/>
        <d v="2025-09-24T00:00:00"/>
        <d v="2025-11-25T00:00:00"/>
        <d v="2026-01-16T00:00:00"/>
        <d v="2025-12-19T00:00:00"/>
        <d v="2026-01-26T00:00:00"/>
        <m/>
        <d v="2026-02-04T00:00:00"/>
        <d v="2026-01-27T00:00:00"/>
        <d v="2026-02-06T00:00:00"/>
        <d v="2026-02-09T00:00:00"/>
        <d v="2026-02-18T00:00:00"/>
        <d v="2026-02-23T00:00:00"/>
        <d v="2026-03-12T00:00:00"/>
        <d v="2026-03-16T00:00:00"/>
        <d v="2026-03-25T00:00:00"/>
        <d v="2026-04-07T00:00:00"/>
        <d v="2026-04-30T00:00:00"/>
        <d v="2026-05-04T00:00:00"/>
        <d v="2026-05-13T00:00:00"/>
        <d v="2026-05-11T00:00:00"/>
        <d v="2026-05-28T00:00:00"/>
        <d v="2026-06-01T00:00:00"/>
        <d v="2025-12-12T00:00:00" u="1"/>
        <s v="28/102025" u="1"/>
        <d v="2024-06-07T00:00:00" u="1"/>
        <d v="2024-06-17T00:00:00" u="1"/>
      </sharedItems>
    </cacheField>
    <cacheField name="INÍCIO VIGÊNCIA" numFmtId="14">
      <sharedItems containsNonDate="0" containsDate="1" containsString="0" containsBlank="1" minDate="2024-02-23T00:00:00" maxDate="2027-01-21T00:00:00" count="95">
        <d v="2024-11-08T00:00:00"/>
        <d v="2024-12-06T00:00:00"/>
        <d v="2024-02-28T00:00:00"/>
        <d v="2024-02-23T00:00:00"/>
        <d v="2024-08-20T00:00:00"/>
        <d v="2024-03-22T00:00:00"/>
        <d v="2024-06-20T00:00:00"/>
        <d v="2024-12-02T00:00:00"/>
        <d v="2024-05-02T00:00:00"/>
        <d v="2024-04-08T00:00:00"/>
        <d v="2024-06-06T00:00:00"/>
        <d v="2024-05-03T00:00:00"/>
        <d v="2024-05-28T00:00:00"/>
        <d v="2024-07-01T00:00:00"/>
        <d v="2024-08-29T00:00:00"/>
        <d v="2024-07-18T00:00:00"/>
        <d v="2024-07-30T00:00:00"/>
        <d v="2024-08-14T00:00:00"/>
        <d v="2024-07-17T00:00:00"/>
        <d v="2024-09-16T00:00:00"/>
        <d v="2024-08-07T00:00:00"/>
        <d v="2024-08-30T00:00:00"/>
        <d v="2024-10-03T00:00:00"/>
        <d v="2024-10-15T00:00:00"/>
        <d v="2024-10-30T00:00:00"/>
        <d v="2024-11-28T00:00:00"/>
        <d v="2024-12-03T00:00:00"/>
        <d v="2024-12-04T00:00:00"/>
        <d v="2024-12-10T00:00:00"/>
        <d v="2024-12-18T00:00:00"/>
        <d v="2025-03-27T00:00:00"/>
        <d v="2025-03-13T00:00:00"/>
        <d v="2025-03-18T00:00:00"/>
        <d v="2025-03-28T00:00:00"/>
        <d v="2025-04-15T00:00:00"/>
        <d v="2025-04-16T00:00:00"/>
        <d v="2025-04-04T00:00:00"/>
        <d v="2025-05-09T00:00:00"/>
        <d v="2025-04-01T00:00:00"/>
        <d v="2025-04-17T00:00:00"/>
        <d v="2025-05-26T00:00:00"/>
        <d v="2025-06-09T00:00:00"/>
        <d v="2025-07-24T00:00:00"/>
        <d v="2025-07-04T00:00:00"/>
        <d v="2025-08-11T00:00:00"/>
        <d v="2025-07-31T00:00:00"/>
        <d v="2025-08-05T00:00:00"/>
        <d v="2025-08-19T00:00:00"/>
        <d v="2025-09-05T00:00:00"/>
        <d v="2025-09-10T00:00:00"/>
        <d v="2025-09-11T00:00:00"/>
        <d v="2025-09-22T00:00:00"/>
        <d v="2025-07-07T00:00:00"/>
        <d v="2025-09-16T00:00:00"/>
        <d v="2025-12-15T00:00:00"/>
        <d v="2025-11-06T00:00:00"/>
        <d v="2026-01-22T00:00:00"/>
        <d v="2025-10-08T00:00:00"/>
        <d v="2025-10-17T00:00:00"/>
        <d v="2025-10-28T00:00:00"/>
        <d v="2025-11-05T00:00:00"/>
        <d v="2025-11-11T00:00:00"/>
        <d v="2026-01-14T00:00:00"/>
        <d v="2025-10-02T00:00:00"/>
        <d v="2025-11-21T00:00:00"/>
        <d v="2025-10-06T00:00:00"/>
        <d v="2025-11-25T00:00:00"/>
        <d v="2026-01-16T00:00:00"/>
        <d v="2025-12-19T00:00:00"/>
        <d v="2026-01-26T00:00:00"/>
        <m/>
        <d v="2026-02-04T00:00:00"/>
        <d v="2026-01-27T00:00:00"/>
        <d v="2026-02-06T00:00:00"/>
        <d v="2026-02-09T00:00:00"/>
        <d v="2026-02-18T00:00:00"/>
        <d v="2026-02-23T00:00:00"/>
        <d v="2026-03-12T00:00:00"/>
        <d v="2026-03-16T00:00:00"/>
        <d v="2026-03-25T00:00:00"/>
        <d v="2026-04-07T00:00:00"/>
        <d v="2026-04-30T00:00:00"/>
        <d v="2026-05-04T00:00:00"/>
        <d v="2026-05-05T00:00:00"/>
        <d v="2026-05-13T00:00:00"/>
        <d v="2026-05-11T00:00:00"/>
        <d v="2026-05-28T00:00:00"/>
        <d v="2026-06-01T00:00:00"/>
        <d v="2024-06-25T00:00:00" u="1"/>
        <d v="2025-05-23T00:00:00" u="1"/>
        <d v="2025-06-05T00:00:00" u="1"/>
        <d v="2025-02-10T00:00:00" u="1"/>
        <d v="2025-01-10T00:00:00" u="1"/>
        <d v="2024-03-25T00:00:00" u="1"/>
        <d v="2027-01-20T00:00:00" u="1"/>
      </sharedItems>
    </cacheField>
    <cacheField name="FINAL _x000a_VIGÊNCIA" numFmtId="14">
      <sharedItems containsDate="1" containsBlank="1" containsMixedTypes="1" minDate="2024-02-23T00:00:00" maxDate="2031-01-17T00:00:00" count="90">
        <d v="2024-12-31T00:00:00"/>
        <d v="2024-02-28T00:00:00"/>
        <d v="2024-02-23T00:00:00"/>
        <d v="2025-08-20T00:00:00"/>
        <d v="2025-03-22T00:00:00"/>
        <d v="2024-03-22T00:00:00"/>
        <d v="2025-06-03T00:00:00"/>
        <d v="2024-05-02T00:00:00"/>
        <d v="2024-04-08T00:00:00"/>
        <d v="2025-05-31T00:00:00"/>
        <d v="2024-05-03T00:00:00"/>
        <d v="2024-05-28T00:00:00"/>
        <d v="2024-07-01T00:00:00"/>
        <d v="2025-08-29T00:00:00"/>
        <d v="2024-07-30T00:00:00"/>
        <d v="2024-08-14T00:00:00"/>
        <d v="2024-07-17T00:00:00"/>
        <d v="2025-09-24T00:00:00"/>
        <d v="2024-08-07T00:00:00"/>
        <d v="2024-08-30T00:00:00"/>
        <d v="2024-10-03T00:00:00"/>
        <d v="2024-10-15T00:00:00"/>
        <d v="2024-10-30T00:00:00"/>
        <d v="2024-11-28T00:00:00"/>
        <d v="2024-12-02T00:00:00"/>
        <d v="2024-12-03T00:00:00"/>
        <d v="2024-12-04T00:00:00"/>
        <d v="2024-12-10T00:00:00"/>
        <s v=" 10/12/2024"/>
        <d v="2024-12-18T00:00:00"/>
        <d v="2027-01-20T00:00:00"/>
        <d v="2025-10-17T00:00:00"/>
        <d v="2025-03-28T00:00:00"/>
        <d v="2025-03-27T00:00:00"/>
        <d v="2026-03-18T00:00:00"/>
        <d v="2026-03-28T00:00:00"/>
        <d v="2025-04-15T00:00:00"/>
        <d v="2025-04-16T00:00:00"/>
        <d v="2026-04-04T00:00:00"/>
        <d v="2025-05-09T00:00:00"/>
        <d v="2028-03-31T00:00:00"/>
        <d v="2030-04-16T00:00:00"/>
        <d v="2025-05-26T00:00:00"/>
        <d v="2025-06-09T00:00:00"/>
        <d v="2025-06-10T00:00:00"/>
        <d v="2025-12-31T00:00:00"/>
        <d v="2025-07-04T00:00:00"/>
        <d v="2025-08-05T00:00:00"/>
        <d v="2025-08-19T00:00:00"/>
        <d v="2025-09-05T00:00:00"/>
        <d v="2025-09-10T00:00:00"/>
        <d v="2025-09-11T00:00:00"/>
        <d v="2025-09-22T00:00:00"/>
        <d v="2025-09-16T00:00:00"/>
        <d v="2027-12-15T00:00:00"/>
        <d v="2027-02-06T00:00:00"/>
        <d v="2027-01-22T00:00:00"/>
        <d v="2025-10-08T00:00:00"/>
        <d v="2025-10-28T00:00:00"/>
        <d v="2025-11-05T00:00:00"/>
        <d v="2025-11-11T00:00:00"/>
        <d v="2027-01-14T00:00:00"/>
        <d v="2025-10-22T00:00:00"/>
        <d v="2025-12-12T00:00:00"/>
        <d v="2026-10-06T00:00:00"/>
        <d v="2030-11-25T00:00:00"/>
        <d v="2026-01-31T00:00:00"/>
        <d v="2031-01-16T00:00:00"/>
        <d v="2026-06-17T00:00:00"/>
        <d v="2026-01-26T00:00:00"/>
        <m/>
        <d v="2026-02-04T00:00:00"/>
        <d v="2026-01-27T00:00:00"/>
        <d v="2026-02-06T00:00:00"/>
        <d v="2026-02-09T00:00:00"/>
        <d v="2026-02-18T00:00:00"/>
        <d v="2026-02-23T00:00:00"/>
        <d v="2026-03-12T00:00:00"/>
        <d v="2026-03-16T00:00:00"/>
        <d v="2026-03-25T00:00:00"/>
        <d v="2026-04-07T00:00:00"/>
        <d v="2026-12-31T00:00:00"/>
        <d v="2026-08-08T00:00:00"/>
        <d v="2026-05-06T00:00:00"/>
        <d v="2026-05-13T00:00:00"/>
        <d v="2026-05-11T00:00:00"/>
        <d v="2026-05-28T00:00:00"/>
        <d v="2026-06-01T00:00:00"/>
        <d v="2025-05-23T00:00:00" u="1"/>
        <d v="2025-06-05T00:00:00" u="1"/>
      </sharedItems>
    </cacheField>
    <cacheField name="VALOR CONTRATO" numFmtId="0">
      <sharedItems containsBlank="1" containsMixedTypes="1" containsNumber="1" minValue="397" maxValue="5900000"/>
    </cacheField>
    <cacheField name="Nº DEG " numFmtId="0">
      <sharedItems containsBlank="1" containsMixedTypes="1" containsNumber="1" containsInteger="1" minValue="14700" maxValue="14700"/>
    </cacheField>
    <cacheField name="FISCAL DO CONTRATO" numFmtId="0">
      <sharedItems containsBlank="1"/>
    </cacheField>
    <cacheField name="SIGILO" numFmtId="0">
      <sharedItems containsBlank="1"/>
    </cacheField>
    <cacheField name="Nº RC SAP" numFmtId="0">
      <sharedItems containsString="0" containsBlank="1" containsNumber="1" containsInteger="1" minValue="10004266" maxValue="4400003301"/>
    </cacheField>
    <cacheField name="Nº Fornecedor SAP" numFmtId="0">
      <sharedItems containsString="0" containsBlank="1" containsNumber="1" containsInteger="1" minValue="10001209" maxValue="4400003111"/>
    </cacheField>
    <cacheField name="Nº CTR SAP" numFmtId="0">
      <sharedItems containsBlank="1" containsMixedTypes="1" containsNumber="1" containsInteger="1" minValue="4400003079" maxValue="4400003079"/>
    </cacheField>
    <cacheField name="DATA _x000a_FINALIZADO" numFmtId="14">
      <sharedItems containsNonDate="0" containsDate="1" containsString="0" containsBlank="1" minDate="2024-02-20T00:00:00" maxDate="2026-06-10T00:00:00"/>
    </cacheField>
    <cacheField name="DIAS ÚTEIS" numFmtId="0">
      <sharedItems containsSemiMixedTypes="0" containsString="0" containsNumber="1" containsInteger="1" minValue="-32844" maxValue="32978"/>
    </cacheField>
    <cacheField name="RESPONSÁVEL GESTÃO" numFmtId="0">
      <sharedItems containsBlank="1"/>
    </cacheField>
    <cacheField name="OBSERVAÇÃO" numFmtId="0">
      <sharedItems containsBlank="1"/>
    </cacheField>
    <cacheField name="Nº DA LICITAÇÃO" numFmtId="0">
      <sharedItems containsBlank="1" count="60">
        <m/>
        <s v="925150 - 9/2025"/>
        <s v="925150 - 10/2025"/>
        <s v="925150 - 3/2025"/>
        <s v="925150 - 4/2025"/>
        <s v="925150 - 2/2025"/>
        <s v="90002/2025"/>
        <s v="925150 - 6/2025"/>
        <s v="925150 - 7/2025"/>
        <s v="925150 - 8/2025"/>
        <s v="925150-1/2025"/>
        <s v="925150 - 12/2025"/>
        <s v="90001/2025"/>
        <s v="925150 - 5/2025"/>
        <s v="925150 - 11/2025"/>
        <s v="925150 - 13/2025"/>
        <s v="925150 - 14/2025"/>
        <s v="925150 - 15/2025"/>
        <s v="925150 - 21/2025"/>
        <s v="925150 - 16/2025"/>
        <s v="925150 - 22/2025"/>
        <s v="925150 - 23/2025"/>
        <s v="925150 - 24/2025"/>
        <s v="925150-19/2025"/>
        <s v="925150 - 29/2025"/>
        <s v="925150 - 30/2025"/>
        <s v="Internacional"/>
        <s v="925150 - 31/2025"/>
        <s v="90006/2025"/>
        <s v="925150 - 32/2025"/>
        <s v="925150 - 2/2026"/>
        <s v="925150 - 36/2025"/>
        <s v="925150 - 37/2025"/>
        <s v="925150 - 38/2025"/>
        <s v="925150 - 39/2025"/>
        <s v="925150 - 4/2026"/>
        <s v="925150 - 25/2025"/>
        <s v="925150 - 33/2025"/>
        <s v="925150 - 5/2026"/>
        <s v="925150 - 6/2026"/>
        <s v=" 925150 - 7/2026"/>
        <s v="925150 - 8/2026"/>
        <s v="925150 - 9/2026"/>
        <s v=" 925150 - 10/2026"/>
        <s v="925150 - 11/2026"/>
        <s v="925150 - 12/2026"/>
        <s v="925150 - 13/2026"/>
        <s v="925150 - 14/2026"/>
        <s v="925150 - 15/2026"/>
        <s v="NA"/>
        <s v=" 925150 - 16/2026"/>
        <s v="925150 - 21/2026"/>
        <s v="925150 - 18/2026"/>
        <s v="925150 - 22/2026"/>
        <s v="925150 - 23/2026"/>
        <s v="925150 - 24/2026"/>
        <s v="925150 - 25/2026"/>
        <s v="925150 - 26/2026"/>
        <s v="925150 - 27/2026"/>
        <s v="925150 - 28/2026"/>
      </sharedItems>
    </cacheField>
    <cacheField name="Compra divulgada no PNCP" numFmtId="0">
      <sharedItems containsBlank="1" count="38">
        <m/>
        <s v="37753638000103-1-000027/2025"/>
        <s v="37753638000103-1-000028/2025_x000a__x000a_"/>
        <s v="37753638000103-1-000021/2025"/>
        <s v="37753638000103-1-000022/2025"/>
        <s v="37753638000103-1-000020/2025"/>
        <s v="37753638000103-1-000008/2025"/>
        <s v="37753638000103-1-000024/2025"/>
        <s v="37753638000103-1-000025/2025"/>
        <s v="37753638000103-1-000026/2025"/>
        <s v="37753638000103-1-000019/2025"/>
        <s v="37753638000103-1-000032/2025"/>
        <s v="37753638000103-1-000007/2025"/>
        <s v="37753638000103-1-000023/2025"/>
        <s v="37753638000103-1-000029/2025"/>
        <s v="37753638000103-1-000033/2025"/>
        <s v="37753638000103-1-000043/2025"/>
        <s v="37753638000103-1-000044/2025"/>
        <s v="37753638000103-2-000043/2025"/>
        <s v="37753638000103-1-000045/2025"/>
        <s v="37753638000103-1-000057/2025"/>
        <s v="37753638000103-1-000058/2025"/>
        <s v="37753638000103-1-000059/2025"/>
        <s v="37753638000103-1-000068/2025"/>
        <s v="37753638000103-1-000069/2025"/>
        <s v="37753638000103-1-000070/2025"/>
        <s v="Internacional"/>
        <s v="37753638000103-1-000071/2025"/>
        <s v="37753638000103-1-000038/2025"/>
        <s v="37753638000103-1-000072/2025"/>
        <s v="SIM"/>
        <s v="37753638000103-1-000091/2025"/>
        <s v="37753638000103-1-000092/2025"/>
        <s v="37753638000103-1-000093/2025"/>
        <s v="37753638000103-1-000094/2025"/>
        <s v="37753638000103-1-000061/2025"/>
        <s v="37753638000103-1-000080/2025"/>
        <s v="NA"/>
      </sharedItems>
    </cacheField>
    <cacheField name="Publicação do Contrato PNCP" numFmtId="0">
      <sharedItems containsBlank="1" count="3">
        <m/>
        <s v="SIM"/>
        <s v="NA"/>
      </sharedItems>
    </cacheField>
    <cacheField name="Arquivo do contrato" numFmtId="0">
      <sharedItems containsBlank="1"/>
    </cacheField>
    <cacheField name="TR" numFmtId="0">
      <sharedItems containsBlank="1"/>
    </cacheField>
    <cacheField name="JUST. ESCOLHA FORNECEDOR" numFmtId="0">
      <sharedItems containsBlank="1"/>
    </cacheField>
    <cacheField name="ATO RATIFICAÇÃO (Autor. Sup)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5">
  <r>
    <x v="0"/>
    <s v="FRANCIELE"/>
    <s v="FINALIZADO"/>
    <s v="FINALIZADO"/>
    <x v="0"/>
    <s v="2000-DAFRI"/>
    <s v="GLOG"/>
    <x v="0"/>
    <x v="0"/>
    <x v="0"/>
    <s v="ADMINISTRATIVO"/>
    <x v="0"/>
    <x v="0"/>
    <x v="0"/>
    <x v="0"/>
    <x v="0"/>
    <s v="2024NE001059"/>
    <x v="0"/>
    <x v="0"/>
    <x v="0"/>
    <n v="29500"/>
    <s v="TLB-DEG-2024/00126"/>
    <s v="Rosilda Ferreira da Cunha"/>
    <s v="PÚBLICO"/>
    <n v="10015000"/>
    <n v="10003761"/>
    <s v="2024NE001059"/>
    <d v="2024-11-04T00:00:00"/>
    <n v="1"/>
    <m/>
    <m/>
    <x v="0"/>
    <x v="0"/>
    <x v="0"/>
    <s v="https://www.telebras.com.br/wp-content/uploads/2025/02/69.2024NE001059-MARCIA-GONCALVES-FARIA-ROSA.pdf"/>
    <s v="-"/>
    <s v="-"/>
    <s v="-"/>
  </r>
  <r>
    <x v="1"/>
    <s v="LUCIANA"/>
    <s v="FINALIZADO"/>
    <s v="FINALIZADO"/>
    <x v="1"/>
    <s v="2000-DAFRI"/>
    <s v="GPR -ASCOM"/>
    <x v="1"/>
    <x v="1"/>
    <x v="0"/>
    <s v="ADMINISTRATIVO"/>
    <x v="1"/>
    <x v="1"/>
    <x v="0"/>
    <x v="1"/>
    <x v="1"/>
    <s v="TLB-ASS-2024/17078"/>
    <x v="1"/>
    <x v="1"/>
    <x v="0"/>
    <n v="9495"/>
    <s v="TLB-DEG-2024/00137"/>
    <s v="Érico Luís Cortes Cazarré"/>
    <s v="PÚBLICO"/>
    <n v="10014689"/>
    <m/>
    <s v="2024NE001121"/>
    <d v="2024-12-20T00:00:00"/>
    <n v="15"/>
    <m/>
    <m/>
    <x v="0"/>
    <x v="0"/>
    <x v="0"/>
    <s v="https://www.telebras.com.br/wp-content/uploads/2026/04/1.-2024NE001121-NW-SHOP-COMERCIO-LTDA-1.pdf"/>
    <s v="-"/>
    <s v="-"/>
    <s v="-"/>
  </r>
  <r>
    <x v="2"/>
    <s v="LUCIANA"/>
    <s v="FINALIZADO"/>
    <s v="FINALIZADO"/>
    <x v="2"/>
    <s v="3000-DTO"/>
    <s v="GORS"/>
    <x v="0"/>
    <x v="2"/>
    <x v="0"/>
    <s v="ADMINISTRATIVO"/>
    <x v="2"/>
    <x v="2"/>
    <x v="0"/>
    <x v="2"/>
    <x v="2"/>
    <s v="TLB-ASS-2024/17013"/>
    <x v="1"/>
    <x v="1"/>
    <x v="0"/>
    <n v="4909.9799999999996"/>
    <s v="TLB-DEG-2024/00148"/>
    <s v="Eder Viana Silva"/>
    <s v="PÚBLICO"/>
    <n v="10014940"/>
    <m/>
    <s v="-"/>
    <m/>
    <n v="-32577"/>
    <m/>
    <m/>
    <x v="0"/>
    <x v="0"/>
    <x v="0"/>
    <s v="https://www.telebras.com.br/wp-content/uploads/2026/04/2.-2024NE001102-GS-SERVICOS-LTDA-1.pdf"/>
    <s v="-"/>
    <s v="-"/>
    <s v="-"/>
  </r>
  <r>
    <x v="3"/>
    <s v="LUCIANA"/>
    <s v="FINALIZADO"/>
    <s v="FINALIZADO"/>
    <x v="3"/>
    <s v="3000-DTO"/>
    <s v="GERP"/>
    <x v="2"/>
    <x v="3"/>
    <x v="1"/>
    <s v="ADMINISTRATIVO"/>
    <x v="3"/>
    <x v="3"/>
    <x v="0"/>
    <x v="3"/>
    <x v="3"/>
    <s v="TLB-ASS-2024/17112"/>
    <x v="1"/>
    <x v="1"/>
    <x v="0"/>
    <n v="56350.5"/>
    <s v="TLB-DEG-2024/00149"/>
    <s v="MIRELE DE ALMEIDA MENCARI"/>
    <s v="PÚBLICO"/>
    <m/>
    <m/>
    <s v="-"/>
    <d v="2026-06-09T00:00:00"/>
    <n v="392"/>
    <m/>
    <m/>
    <x v="0"/>
    <x v="0"/>
    <x v="0"/>
    <s v="https://www.telebras.com.br/wp-content/uploads/2026/04/3.-2024NE001125-TERACOM-TELEMATICA-SA-1.pdf"/>
    <s v="-"/>
    <s v="-"/>
    <s v="-"/>
  </r>
  <r>
    <x v="4"/>
    <s v="FRANCIELE"/>
    <s v="FINALIZADO"/>
    <s v="FINALIZADO"/>
    <x v="4"/>
    <s v="2000-DAFRI"/>
    <s v="GGP"/>
    <x v="0"/>
    <x v="4"/>
    <x v="1"/>
    <s v="ADMINISTRATIVO"/>
    <x v="4"/>
    <x v="4"/>
    <x v="0"/>
    <x v="4"/>
    <x v="4"/>
    <s v="2024NE000601"/>
    <x v="2"/>
    <x v="2"/>
    <x v="1"/>
    <n v="32500"/>
    <s v="TLB-DEG-2024/00016"/>
    <s v="ADRYANA RAMOS DE OLIVEIRA "/>
    <s v="PÚBLICO"/>
    <n v="10014463"/>
    <n v="10004001"/>
    <s v="2024NE000601"/>
    <d v="2024-02-20T00:00:00"/>
    <n v="1"/>
    <s v="FRANCIELE"/>
    <s v="CAPACITAÇÃO"/>
    <x v="0"/>
    <x v="0"/>
    <x v="0"/>
    <s v="https://www.telebras.com.br/wp-content/uploads/2024/12/14.2024NE000601-INLABS-CAPACITACAO-PROFISSIONAL-LTDA.pdf"/>
    <s v="-"/>
    <s v="-"/>
    <s v="-"/>
  </r>
  <r>
    <x v="4"/>
    <s v="FRANCIELE"/>
    <s v="FINALIZADO"/>
    <s v="FINALIZADO"/>
    <x v="5"/>
    <s v="2000-DAFRI"/>
    <s v="GGP"/>
    <x v="0"/>
    <x v="5"/>
    <x v="1"/>
    <s v="ADMINISTRATIVO"/>
    <x v="5"/>
    <x v="5"/>
    <x v="0"/>
    <x v="5"/>
    <x v="5"/>
    <s v="2024NE000566"/>
    <x v="3"/>
    <x v="3"/>
    <x v="2"/>
    <n v="22586.6"/>
    <s v="TLB-DEG-2024/00013"/>
    <s v="ADRYANA RAMOS DE OLIVEIRA "/>
    <s v="PÚBLICO"/>
    <n v="10014468"/>
    <m/>
    <s v="2024NE000566"/>
    <d v="2024-02-21T00:00:00"/>
    <n v="2"/>
    <s v="FRANCIELE"/>
    <s v="EVENTO"/>
    <x v="0"/>
    <x v="0"/>
    <x v="0"/>
    <s v="https://www.telebras.com.br/wp-content/uploads/2024/12/12.2024NE000566-ACCESS-INTELLIGENCE-LLC.pdf"/>
    <s v="-"/>
    <s v="-"/>
    <s v="-"/>
  </r>
  <r>
    <x v="5"/>
    <s v="FRANCIELE"/>
    <s v="FINALIZADO"/>
    <s v="FINALIZADO"/>
    <x v="6"/>
    <s v="2000-DAFRI"/>
    <s v="GIRC"/>
    <x v="0"/>
    <x v="6"/>
    <x v="1"/>
    <s v="ADMINISTRATIVO"/>
    <x v="6"/>
    <x v="6"/>
    <x v="0"/>
    <x v="6"/>
    <x v="6"/>
    <s v="TLB-ASS-2024/10894"/>
    <x v="4"/>
    <x v="4"/>
    <x v="3"/>
    <n v="6615"/>
    <s v="TLB-DEG-2024/00098"/>
    <s v="JANINE OLIVEIRA"/>
    <s v="PÚBLICO"/>
    <n v="10014428"/>
    <n v="10003997"/>
    <s v="2024NE000891"/>
    <d v="2024-03-06T00:00:00"/>
    <n v="5"/>
    <s v="FRANCIELE"/>
    <s v="FILIAÇÃO"/>
    <x v="0"/>
    <x v="0"/>
    <x v="0"/>
    <s v="https://www.telebras.com.br/wp-content/uploads/2026/04/12.-2024NE000891-FUNDACAO-NACIONAL-DE-QUALIDADE-FNQ-1.pdf"/>
    <s v="-"/>
    <s v="-"/>
    <s v="-"/>
  </r>
  <r>
    <x v="6"/>
    <s v="ROSILDA"/>
    <s v="FINALIZADO"/>
    <s v="FINALIZADO"/>
    <x v="7"/>
    <s v="2000-DAFRI"/>
    <s v="GCC"/>
    <x v="0"/>
    <x v="7"/>
    <x v="1"/>
    <s v="ADMINISTRATIVO"/>
    <x v="7"/>
    <x v="7"/>
    <x v="0"/>
    <x v="7"/>
    <x v="7"/>
    <s v="TLB-ASS-2024/04794"/>
    <x v="5"/>
    <x v="5"/>
    <x v="4"/>
    <n v="11670"/>
    <s v="TLB-DEG-2024/00027"/>
    <s v="GENARA LOPES BÜHLER"/>
    <s v="PÚBLICO"/>
    <n v="10014530"/>
    <m/>
    <s v="2024NE000632"/>
    <d v="2024-03-14T00:00:00"/>
    <n v="2"/>
    <m/>
    <m/>
    <x v="0"/>
    <x v="0"/>
    <x v="0"/>
    <s v="https://www.telebras.com.br/wp-content/uploads/2024/12/16.2024NE000632-ZENITE-INFORMACAO-E-CONSULTORIA-SA.pdf"/>
    <s v="-"/>
    <s v="-"/>
    <s v="-"/>
  </r>
  <r>
    <x v="7"/>
    <s v="FRANCIELE"/>
    <s v="FINALIZADO"/>
    <s v="FINALIZADO"/>
    <x v="8"/>
    <s v="2000-DAFRI"/>
    <s v="GEOS"/>
    <x v="0"/>
    <x v="8"/>
    <x v="1"/>
    <s v="ADMINISTRATIVO"/>
    <x v="8"/>
    <x v="8"/>
    <x v="0"/>
    <x v="8"/>
    <x v="8"/>
    <s v="2024NE000628"/>
    <x v="5"/>
    <x v="5"/>
    <x v="5"/>
    <n v="6927.9"/>
    <s v="TLB-DEG-2024/00025"/>
    <s v="MÁRCIA MANUELA MEDRADO NUNES"/>
    <s v="PÚBLICO"/>
    <n v="10014538"/>
    <m/>
    <s v="2024NE000628"/>
    <d v="2024-03-19T00:00:00"/>
    <n v="1"/>
    <s v="FRANCIELE"/>
    <s v="EVENTO"/>
    <x v="0"/>
    <x v="0"/>
    <x v="0"/>
    <s v="https://www.telebras.com.br/wp-content/uploads/2024/12/13.2024NE000628-ATP-SPECIALS-BV.pdf"/>
    <s v="-"/>
    <s v="-"/>
    <s v="-"/>
  </r>
  <r>
    <x v="8"/>
    <s v="FRANCIELE"/>
    <s v="FINALIZADO"/>
    <s v="FINALIZADO"/>
    <x v="9"/>
    <s v="2000-DAFRI"/>
    <s v="GIRC"/>
    <x v="0"/>
    <x v="9"/>
    <x v="1"/>
    <s v="ADMINISTRATIVO"/>
    <x v="9"/>
    <x v="9"/>
    <x v="1"/>
    <x v="9"/>
    <x v="9"/>
    <s v="TLB-AUT-2024/10835"/>
    <x v="6"/>
    <x v="6"/>
    <x v="0"/>
    <n v="17289"/>
    <s v="TLB-DEG-2024/00070"/>
    <s v="ANTÔNIO CELSON DE JESUS NERIS"/>
    <s v="PÚBLICO"/>
    <n v="10014520"/>
    <n v="10003951"/>
    <s v="TLB-CTR-2024/00045"/>
    <d v="2024-03-22T00:00:00"/>
    <n v="2"/>
    <s v="FRANCIELE"/>
    <s v="ASSOCIAÇÃO"/>
    <x v="0"/>
    <x v="0"/>
    <x v="0"/>
    <s v="https://www.telebras.com.br/wp-content/uploads/2024/12/29.-TLB-CTR-2024-00045-INSTITUTO-BRASILEIRO-DE-GOVERNANCA-CORPORATIVA-IBGC.pdf"/>
    <s v="-"/>
    <s v="-"/>
    <s v="-"/>
  </r>
  <r>
    <x v="8"/>
    <s v="ROSILDA"/>
    <s v="FINALIZADO"/>
    <s v="FINALIZADO"/>
    <x v="10"/>
    <s v="2000-DAFRI"/>
    <s v="GD"/>
    <x v="0"/>
    <x v="10"/>
    <x v="1"/>
    <s v="ADMINISTRATIVO"/>
    <x v="10"/>
    <x v="10"/>
    <x v="0"/>
    <x v="10"/>
    <x v="10"/>
    <s v="TLB-ASS-2024/16668"/>
    <x v="7"/>
    <x v="7"/>
    <x v="6"/>
    <n v="262200"/>
    <m/>
    <m/>
    <s v="PÚBLICO"/>
    <n v="10014500"/>
    <m/>
    <s v="2024NE000824"/>
    <d v="2024-04-03T00:00:00"/>
    <n v="9"/>
    <m/>
    <m/>
    <x v="0"/>
    <x v="0"/>
    <x v="0"/>
    <s v="https://www.telebras.com.br/wp-content/uploads/2026/04/4.-2024NE000824-IMPAKT-CONSULTORIA-1.pdf"/>
    <s v="-"/>
    <s v="-"/>
    <s v="-"/>
  </r>
  <r>
    <x v="9"/>
    <s v="ROSILDA"/>
    <s v="FINALIZADO"/>
    <s v="FINALIZADO"/>
    <x v="11"/>
    <s v="2000-DAFRI"/>
    <s v="GCONT"/>
    <x v="0"/>
    <x v="11"/>
    <x v="1"/>
    <s v="ADMINISTRATIVO"/>
    <x v="11"/>
    <x v="11"/>
    <x v="0"/>
    <x v="11"/>
    <x v="11"/>
    <s v="TLB-ASS-2024/06584"/>
    <x v="8"/>
    <x v="8"/>
    <x v="7"/>
    <n v="10500"/>
    <s v="TLB-DEG-2024/00044"/>
    <s v="ADRYANA RAMOS DE OLIVEIRA"/>
    <s v="PÚBLICO"/>
    <n v="10014610"/>
    <m/>
    <s v="2024NE000684"/>
    <d v="2024-05-03T00:00:00"/>
    <n v="15"/>
    <m/>
    <s v="CAPACITAÇÃO"/>
    <x v="0"/>
    <x v="0"/>
    <x v="0"/>
    <s v="https://www.telebras.com.br/wp-content/uploads/2024/12/34.2024NE000684-IBET-INSTITUTO-BRASILEIRO-DE-ESTUDOS-TRIBUTARIOS.pdf"/>
    <s v="-"/>
    <s v="-"/>
    <s v="-"/>
  </r>
  <r>
    <x v="10"/>
    <s v="FRANCIELE"/>
    <s v="FINALIZADO"/>
    <s v="FINALIZADO"/>
    <x v="12"/>
    <s v="2000-DAFRI"/>
    <s v="GCONT"/>
    <x v="0"/>
    <x v="12"/>
    <x v="1"/>
    <s v="ADMINISTRATIVO"/>
    <x v="12"/>
    <x v="12"/>
    <x v="0"/>
    <x v="12"/>
    <x v="12"/>
    <s v="2024NE000653"/>
    <x v="9"/>
    <x v="9"/>
    <x v="8"/>
    <n v="1744"/>
    <s v="TLB-DEG-2024/00031"/>
    <s v="GLAHICON ROGERIO GREGORIO"/>
    <s v="PÚBLICO"/>
    <n v="10014577"/>
    <n v="10003625"/>
    <s v="2024NE000653"/>
    <d v="2024-04-03T00:00:00"/>
    <n v="2"/>
    <s v="ROSILDA"/>
    <s v="CAPACITAÇÃO"/>
    <x v="0"/>
    <x v="0"/>
    <x v="0"/>
    <s v="https://www.telebras.com.br/wp-content/uploads/2024/12/17.2024NE000653-CENOFISCO-CENTRO-DE-CAPACITACAO-PROFISSIONAL-LTDA.pdf"/>
    <s v="-"/>
    <s v="-"/>
    <s v="-"/>
  </r>
  <r>
    <x v="11"/>
    <s v="ROSILDA"/>
    <s v="FINALIZADO"/>
    <s v="FINALIZADO"/>
    <x v="13"/>
    <s v="2000-DAFRI"/>
    <s v="GIRC"/>
    <x v="0"/>
    <x v="13"/>
    <x v="1"/>
    <s v="ADMINISTRATIVO"/>
    <x v="13"/>
    <x v="13"/>
    <x v="0"/>
    <x v="13"/>
    <x v="13"/>
    <s v=" TLB-ASS-2024/06684"/>
    <x v="10"/>
    <x v="8"/>
    <x v="7"/>
    <n v="18900"/>
    <s v="TLB-DEG-2024/00046"/>
    <s v="ÉRIKA NEVES OLIVEIRA"/>
    <s v="PÚBLICO"/>
    <n v="10014578"/>
    <m/>
    <s v="2024NE000693"/>
    <d v="2024-05-02T00:00:00"/>
    <n v="7"/>
    <m/>
    <s v="CAPACITAÇÃO"/>
    <x v="0"/>
    <x v="0"/>
    <x v="0"/>
    <s v="https://www.telebras.com.br/wp-content/uploads/2026/04/5.-2024NE000693-LEC-EDUC-E-PESQUISA-LTDA-1.pdf"/>
    <s v="-"/>
    <s v="-"/>
    <s v="-"/>
  </r>
  <r>
    <x v="12"/>
    <s v="FRANCIELE"/>
    <s v="FINALIZADO"/>
    <s v="FINALIZADO"/>
    <x v="14"/>
    <s v="3000-DTO"/>
    <s v="GPM"/>
    <x v="0"/>
    <x v="14"/>
    <x v="1"/>
    <s v="ADMINISTRATIVO"/>
    <x v="14"/>
    <x v="14"/>
    <x v="0"/>
    <x v="14"/>
    <x v="14"/>
    <s v="TLB-ASS-2024/08452"/>
    <x v="11"/>
    <x v="10"/>
    <x v="9"/>
    <n v="3600"/>
    <s v="TLB-DEG-2024/00059"/>
    <s v="MARIANA RODRIGUES BOAVISTA LEITE"/>
    <s v="PÚBLICO"/>
    <n v="10014600"/>
    <n v="10001209"/>
    <s v="2024NE000820"/>
    <d v="2024-05-02T00:00:00"/>
    <n v="6"/>
    <m/>
    <m/>
    <x v="0"/>
    <x v="0"/>
    <x v="0"/>
    <s v="https://www.telebras.com.br/wp-content/uploads/2026/04/6.-2024NE000820-ASSOC-BRAS-PROVEDORES-DE-INTERNET-ABRINT-1.pdf"/>
    <s v="-"/>
    <s v="-"/>
    <s v="-"/>
  </r>
  <r>
    <x v="13"/>
    <s v="FRANCIELE"/>
    <s v="FINALIZADO"/>
    <s v="FINALIZADO"/>
    <x v="15"/>
    <s v="2000-DAFRI"/>
    <s v="GGP"/>
    <x v="0"/>
    <x v="15"/>
    <x v="1"/>
    <s v="ADMINISTRATIVO"/>
    <x v="15"/>
    <x v="15"/>
    <x v="0"/>
    <x v="15"/>
    <x v="15"/>
    <s v=" TLB-ASS-2024/06974"/>
    <x v="12"/>
    <x v="11"/>
    <x v="10"/>
    <n v="5300"/>
    <s v="TLB-DEG-2024/00051"/>
    <s v="ADRYANA RAMOS DE OLIVEIRA"/>
    <s v="PÚBLICO"/>
    <n v="10014616"/>
    <n v="10002720"/>
    <s v="2024NE000711"/>
    <d v="2024-04-29T00:00:00"/>
    <n v="1"/>
    <s v="FRANCIELE"/>
    <s v="CAPACITAÇÃO"/>
    <x v="0"/>
    <x v="0"/>
    <x v="0"/>
    <s v="https://www.telebras.com.br/wp-content/uploads/2026/04/7.-2024NE000711-INTEG-ESCOLA-DE-NEGOCIOS-LTDA-1.pdf"/>
    <s v="-"/>
    <s v="-"/>
    <s v="-"/>
  </r>
  <r>
    <x v="14"/>
    <s v="FRANCIELE"/>
    <s v="FINALIZADO"/>
    <s v="FINALIZADO"/>
    <x v="16"/>
    <s v="2000-DAFRI"/>
    <s v="GGP"/>
    <x v="0"/>
    <x v="16"/>
    <x v="1"/>
    <s v="ADMINISTRATIVO"/>
    <x v="16"/>
    <x v="13"/>
    <x v="0"/>
    <x v="16"/>
    <x v="16"/>
    <s v=" TLB-ASS-2024/08497"/>
    <x v="13"/>
    <x v="12"/>
    <x v="11"/>
    <n v="4905"/>
    <s v="TLB-DEG-2024/00057"/>
    <s v="ADRYANA RAMOS DE OLIVEIRA"/>
    <s v="PÚBLICO"/>
    <n v="10014684"/>
    <n v="10004029"/>
    <s v="2024NE000822"/>
    <d v="2024-05-24T00:00:00"/>
    <n v="2"/>
    <s v="FRANCIELE"/>
    <s v="CAPACITAÇÃO"/>
    <x v="0"/>
    <x v="0"/>
    <x v="0"/>
    <s v="https://www.telebras.com.br/wp-content/uploads/2026/04/8.-2024NE000822-LEC-EDUCACAO-E-PESQUISA-LTDA-1.pdf"/>
    <s v="-"/>
    <s v="-"/>
    <s v="-"/>
  </r>
  <r>
    <x v="15"/>
    <s v="FRANCIELE"/>
    <s v="FINALIZADO"/>
    <s v="FINALIZADO"/>
    <x v="17"/>
    <s v="2000-DAFRI"/>
    <s v="GGP"/>
    <x v="0"/>
    <x v="17"/>
    <x v="1"/>
    <s v="ADMINISTRATIVO"/>
    <x v="17"/>
    <x v="16"/>
    <x v="0"/>
    <x v="17"/>
    <x v="17"/>
    <s v=" TLB-ASS-2024/10193"/>
    <x v="14"/>
    <x v="13"/>
    <x v="12"/>
    <n v="397"/>
    <s v="TLB-DEG-2024/00075"/>
    <s v="VICTOR COELHO ASSUNÇÃO CARNEIRO"/>
    <s v="PÚBLICO"/>
    <n v="10014783"/>
    <n v="10004052"/>
    <s v="2024NE000885"/>
    <d v="2024-06-27T00:00:00"/>
    <n v="1"/>
    <s v="FRANCIELE"/>
    <s v="CAPACITAÇÃO"/>
    <x v="0"/>
    <x v="0"/>
    <x v="0"/>
    <s v="https://www.telebras.com.br/wp-content/uploads/2026/04/10.-2024NE000940-SPACE-DATA-ASSOCIATION-1.pdf"/>
    <s v="-"/>
    <s v="-"/>
    <s v="-"/>
  </r>
  <r>
    <x v="16"/>
    <s v="FRANCIELE"/>
    <s v="FINALIZADO"/>
    <s v="FINALIZADO"/>
    <x v="18"/>
    <s v="3000-DTO"/>
    <s v="GEOS"/>
    <x v="0"/>
    <x v="18"/>
    <x v="1"/>
    <s v="ADMINISTRATIVO"/>
    <x v="18"/>
    <x v="8"/>
    <x v="0"/>
    <x v="18"/>
    <x v="18"/>
    <s v="TLB-ASS-2024/13821"/>
    <x v="15"/>
    <x v="14"/>
    <x v="13"/>
    <n v="75948.05"/>
    <s v="TLB-DEG-2024/00105"/>
    <s v="MÁRCIA MANUELA MEDRADO NUNES"/>
    <s v="PÚBLICO"/>
    <n v="10014763"/>
    <m/>
    <s v="2024NE000940"/>
    <d v="2024-08-12T00:00:00"/>
    <n v="4"/>
    <s v="FRANCIELE"/>
    <s v="ASSOCIAÇÃO"/>
    <x v="0"/>
    <x v="0"/>
    <x v="0"/>
    <s v="https://www.telebras.com.br/wp-content/uploads/2026/04/10.-2024NE000940-SPACE-DATA-ASSOCIATION-1.pdf"/>
    <s v="-"/>
    <s v="-"/>
    <s v="-"/>
  </r>
  <r>
    <x v="17"/>
    <s v="FRANCIELE"/>
    <s v="FINALIZADO"/>
    <s v="FINALIZADO"/>
    <x v="19"/>
    <s v="2000-DAFRI"/>
    <s v="GPM"/>
    <x v="0"/>
    <x v="19"/>
    <x v="1"/>
    <s v="ADMINISTRATIVO"/>
    <x v="19"/>
    <x v="17"/>
    <x v="1"/>
    <x v="19"/>
    <x v="19"/>
    <s v="TLB-AUT-2024/12823"/>
    <x v="16"/>
    <x v="15"/>
    <x v="0"/>
    <n v="59988"/>
    <s v="TLB-DEG-2024/00080"/>
    <s v="MARIANA RODRIGUES BOAVISTA LEITE"/>
    <s v="PÚBLICO"/>
    <n v="10014621"/>
    <n v="10001625"/>
    <s v="TLB-CTR-2024/00056"/>
    <d v="2024-07-03T00:00:00"/>
    <n v="1"/>
    <s v="FRANCIELE"/>
    <s v="EVENTO"/>
    <x v="0"/>
    <x v="0"/>
    <x v="0"/>
    <s v="https://www.telebras.com.br/wp-content/uploads/2024/12/41.2024NE000896-ASSOCIACAO-BRASILEIRA-DE-ENTIDADES-ESTADUAIS.pdf"/>
    <s v="-"/>
    <s v="-"/>
    <s v="-"/>
  </r>
  <r>
    <x v="18"/>
    <s v="FRANCIELE"/>
    <s v="FINALIZADO"/>
    <s v="FINALIZADO"/>
    <x v="20"/>
    <s v="2000-DAFRI"/>
    <s v="CIPA"/>
    <x v="0"/>
    <x v="20"/>
    <x v="1"/>
    <s v="ADMINISTRATIVO"/>
    <x v="20"/>
    <x v="18"/>
    <x v="0"/>
    <x v="20"/>
    <x v="20"/>
    <s v="TLB-ASS-2024/11469"/>
    <x v="17"/>
    <x v="16"/>
    <x v="14"/>
    <n v="1900"/>
    <s v="TLB-DEG-2024/00085"/>
    <s v="Rosilda Ferreira da Cunha"/>
    <s v="PÚBLICO"/>
    <n v="10014798"/>
    <n v="10003765"/>
    <s v="2024NE000909"/>
    <d v="2024-07-18T00:00:00"/>
    <n v="2"/>
    <s v="FRANCIELE"/>
    <s v="CAPACITAÇÃO"/>
    <x v="0"/>
    <x v="0"/>
    <x v="0"/>
    <s v="https://www.telebras.com.br/wp-content/uploads/2024/12/39.2024NE000909-Bioseg-Brasilia-Solucoes-em-Seguranca-e-Medicina-do-Trabalho-Ltda.pdf"/>
    <s v="-"/>
    <s v="-"/>
    <s v="-"/>
  </r>
  <r>
    <x v="19"/>
    <s v="FRANCIELE"/>
    <s v="FINALIZADO"/>
    <s v="FINALIZADO"/>
    <x v="21"/>
    <s v="2000-DAFRI"/>
    <s v="GGP"/>
    <x v="0"/>
    <x v="21"/>
    <x v="1"/>
    <s v="ADMINISTRATIVO"/>
    <x v="21"/>
    <x v="19"/>
    <x v="0"/>
    <x v="21"/>
    <x v="21"/>
    <s v="TLB-ASS-2024/12082 "/>
    <x v="18"/>
    <x v="17"/>
    <x v="15"/>
    <n v="8250"/>
    <s v="TLB-DEG-2024/00093"/>
    <s v="ADRYANA RAMOS DE OLIVEIRA"/>
    <s v="PÚBLICO"/>
    <n v="10014830"/>
    <n v="10004111"/>
    <s v="2024NE000920"/>
    <d v="2024-08-05T00:00:00"/>
    <n v="4"/>
    <s v="FRANCIELE"/>
    <s v="CAPACITAÇÃO"/>
    <x v="0"/>
    <x v="0"/>
    <x v="0"/>
    <s v="https://www.telebras.com.br/wp-content/uploads/2026/04/11.-2024NE000920-INSTITUTO-DOS-AUDITORES-INTERNOS-DO-BRASIL-1.pdf"/>
    <s v="-"/>
    <s v="-"/>
    <s v="-"/>
  </r>
  <r>
    <x v="20"/>
    <s v="ROSILDA"/>
    <s v="FINALIZADO"/>
    <s v="FINALIZADO"/>
    <x v="22"/>
    <s v="2000-DAFRI"/>
    <s v="GGP"/>
    <x v="0"/>
    <x v="22"/>
    <x v="1"/>
    <s v="ADMINISTRATIVO"/>
    <x v="22"/>
    <x v="20"/>
    <x v="0"/>
    <x v="22"/>
    <x v="22"/>
    <s v=" TLB-ASS-2024/11013"/>
    <x v="19"/>
    <x v="18"/>
    <x v="16"/>
    <n v="13760"/>
    <s v="TLB-DEG-2024/00082"/>
    <s v="ADRYANA RAMOS DE OLIVEIRA"/>
    <s v="PÚBLICO"/>
    <n v="10014768"/>
    <m/>
    <s v="2024NE000895"/>
    <d v="2024-07-22T00:00:00"/>
    <n v="8"/>
    <m/>
    <m/>
    <x v="0"/>
    <x v="0"/>
    <x v="0"/>
    <s v="https://www.telebras.com.br/wp-content/uploads/2024/12/42.2024NE000895-ASSOCIACAO-BRASILEIRA-DE-RECURSOS-HUMANOS.pdf"/>
    <s v="-"/>
    <s v="-"/>
    <s v="-"/>
  </r>
  <r>
    <x v="19"/>
    <s v="ROSILDA"/>
    <s v="FINALIZADO"/>
    <s v="FINALIZADO"/>
    <x v="23"/>
    <s v="2000-DAFRI"/>
    <s v="GGP"/>
    <x v="0"/>
    <x v="23"/>
    <x v="1"/>
    <s v="ADMINISTRATIVO"/>
    <x v="23"/>
    <x v="21"/>
    <x v="0"/>
    <x v="23"/>
    <x v="23"/>
    <s v="TLB-ASS-2024/13048"/>
    <x v="20"/>
    <x v="19"/>
    <x v="17"/>
    <n v="6500"/>
    <s v="TLB-DEG-2024/00110"/>
    <s v="CAMILA DANIELA LIMA DE SOUZA GOMES"/>
    <s v="PÚBLICO"/>
    <n v="10014747"/>
    <m/>
    <s v="TLB-ASS-2024/13480"/>
    <d v="2024-09-30T00:00:00"/>
    <n v="44"/>
    <m/>
    <m/>
    <x v="0"/>
    <x v="0"/>
    <x v="0"/>
    <s v="https://www.telebras.com.br/wp-content/uploads/2026/04/13.-2024NE000948-ASSOC-BRAS-DE-GESTAO-CONHECIMENTO-SBGC-1.pdf"/>
    <s v="-"/>
    <s v="-"/>
    <s v="-"/>
  </r>
  <r>
    <x v="21"/>
    <s v="FRANCIELE"/>
    <s v="FINALIZADO"/>
    <s v="FINALIZADO"/>
    <x v="24"/>
    <s v="2000-DAFRI"/>
    <s v="GGP"/>
    <x v="0"/>
    <x v="24"/>
    <x v="1"/>
    <s v="ADMINISTRATIVO"/>
    <x v="24"/>
    <x v="9"/>
    <x v="0"/>
    <x v="24"/>
    <x v="24"/>
    <s v=" TLB-ASS-2024/11845"/>
    <x v="21"/>
    <x v="20"/>
    <x v="18"/>
    <n v="16230"/>
    <s v="TLB-DEG-2024/00088"/>
    <s v="ALLYNE CUNHA DE OLIVEIRA"/>
    <s v="PÚBLICO"/>
    <n v="10014842"/>
    <n v="10003951"/>
    <s v="2024NE000915"/>
    <d v="2024-08-02T00:00:00"/>
    <n v="1"/>
    <s v="FRANCIELE"/>
    <s v="CAPACITAÇÃO"/>
    <x v="0"/>
    <x v="0"/>
    <x v="0"/>
    <s v="https://www.telebras.com.br/wp-content/uploads/2026/04/14.-2024NE000915-INST-BRAS-DE-GOVERNANCA-CORPORATIVA-1.pdf"/>
    <s v="-"/>
    <s v="-"/>
    <s v="-"/>
  </r>
  <r>
    <x v="22"/>
    <s v="FRANCIELE"/>
    <s v="FINALIZADO"/>
    <s v="FINALIZADO"/>
    <x v="25"/>
    <s v="2000-DAFRI"/>
    <s v="GGP"/>
    <x v="0"/>
    <x v="25"/>
    <x v="1"/>
    <s v="ADMINISTRATIVO"/>
    <x v="25"/>
    <x v="22"/>
    <x v="0"/>
    <x v="25"/>
    <x v="25"/>
    <s v="TLB-ASS-2024/12840"/>
    <x v="22"/>
    <x v="21"/>
    <x v="19"/>
    <n v="2992.8"/>
    <s v="TLB-DEG-2024/00106"/>
    <s v="HUGO PORTIERI PIGNATTI"/>
    <s v="PÚBLICO"/>
    <n v="10014881"/>
    <n v="10002313"/>
    <s v="2024NE000946"/>
    <d v="2024-08-26T00:00:00"/>
    <n v="4"/>
    <s v="FRANCIELE"/>
    <s v="CAPACITAÇÃO"/>
    <x v="0"/>
    <x v="0"/>
    <x v="0"/>
    <s v="https://www.telebras.com.br/wp-content/uploads/2025/02/68.2024NE000946-Fundacao-Getulio-Vargas.pdf"/>
    <s v="-"/>
    <s v="-"/>
    <s v="-"/>
  </r>
  <r>
    <x v="23"/>
    <s v="FRANCIELE"/>
    <s v="FINALIZADO"/>
    <s v="FINALIZADO"/>
    <x v="26"/>
    <s v="2000-DAFRI"/>
    <s v="GGP"/>
    <x v="0"/>
    <x v="25"/>
    <x v="1"/>
    <s v="ADMINISTRATIVO"/>
    <x v="25"/>
    <x v="22"/>
    <x v="0"/>
    <x v="26"/>
    <x v="26"/>
    <s v="TLB-ASS-2024/17513"/>
    <x v="23"/>
    <x v="22"/>
    <x v="20"/>
    <n v="2992.8"/>
    <s v="TLB-DEG-2024/00117"/>
    <s v="HUGO PORTIERI PIGNATTI"/>
    <s v="PÚBLICO"/>
    <n v="10014941"/>
    <n v="10002313"/>
    <s v="2024NE000971"/>
    <d v="2024-09-26T00:00:00"/>
    <n v="3"/>
    <s v="FRANCIELE"/>
    <s v="CAPACITAÇÃO"/>
    <x v="0"/>
    <x v="0"/>
    <x v="0"/>
    <s v="https://www.telebras.com.br/wp-content/uploads/2026/04/15.-2024NE001135-FUNDACAO-GETULIO-VARGAS-1.pdf"/>
    <s v="-"/>
    <s v="-"/>
    <s v="-"/>
  </r>
  <r>
    <x v="24"/>
    <s v="FRANCIELE"/>
    <s v="FINALIZADO"/>
    <s v="FINALIZADO"/>
    <x v="27"/>
    <s v="2000-DAFRI"/>
    <s v="GGP"/>
    <x v="0"/>
    <x v="26"/>
    <x v="1"/>
    <s v="ADMINISTRATIVO"/>
    <x v="24"/>
    <x v="9"/>
    <x v="0"/>
    <x v="27"/>
    <x v="27"/>
    <s v=" TLB-ASS-2024/14022"/>
    <x v="24"/>
    <x v="22"/>
    <x v="20"/>
    <n v="22610"/>
    <s v="TLB-DEG-2024/00116"/>
    <s v="ADRYANA RAMOS DE OLIVEIRA"/>
    <s v="PÚBLICO"/>
    <n v="10014955"/>
    <n v="10003951"/>
    <s v="2024NE000972"/>
    <d v="2024-10-01T00:00:00"/>
    <n v="1"/>
    <s v="FRANCIELE"/>
    <s v="EVENTO"/>
    <x v="0"/>
    <x v="0"/>
    <x v="0"/>
    <s v="https://www.telebras.com.br/wp-content/uploads/2024/12/56.2024NE000972-INSTITUTO-BRASILEIRO-DE-GOVERNANCA-CORPORATIVA.pdf"/>
    <s v="-"/>
    <s v="-"/>
    <s v="-"/>
  </r>
  <r>
    <x v="25"/>
    <s v="FRANCIELE"/>
    <s v="FINALIZADO"/>
    <s v="FINALIZADO"/>
    <x v="28"/>
    <s v="2000-DAFRI"/>
    <s v="GGP"/>
    <x v="0"/>
    <x v="27"/>
    <x v="1"/>
    <s v="ADMINISTRATIVO"/>
    <x v="20"/>
    <x v="18"/>
    <x v="0"/>
    <x v="28"/>
    <x v="28"/>
    <s v=" TLB-ASS-2024/14431"/>
    <x v="25"/>
    <x v="23"/>
    <x v="21"/>
    <n v="15100"/>
    <s v="TLB-DEG-2024/00118"/>
    <s v="ADRYANA RAMOS DE OLIVEIRA"/>
    <s v="PÚBLICO"/>
    <n v="10014956"/>
    <n v="10003765"/>
    <s v="2024NE000985"/>
    <d v="2024-10-09T00:00:00"/>
    <n v="2"/>
    <s v="FRANCIELE"/>
    <s v="CAPACITAÇÃO"/>
    <x v="0"/>
    <x v="0"/>
    <x v="0"/>
    <s v="https://www.telebras.com.br/wp-content/uploads/2024/12/58.2024NE000985-Bioseg-Brasilia-Solucoes-em-Seguranca-e-Medicina-do-Trabalho-Ltda.pdf"/>
    <s v="-"/>
    <s v="-"/>
    <s v="-"/>
  </r>
  <r>
    <x v="26"/>
    <s v="ROSILDA"/>
    <s v="FINALIZADO"/>
    <s v="FINALIZADO"/>
    <x v="29"/>
    <s v="2000-DAFRI"/>
    <s v="GCC"/>
    <x v="0"/>
    <x v="28"/>
    <x v="1"/>
    <s v="ADMINISTRATIVO"/>
    <x v="26"/>
    <x v="23"/>
    <x v="0"/>
    <x v="29"/>
    <x v="29"/>
    <s v="TLB-ASS-2024/15214"/>
    <x v="26"/>
    <x v="24"/>
    <x v="22"/>
    <n v="11960"/>
    <s v="TLB-DEG-2024/00125"/>
    <s v="ROSILDA ABREU DA SILVA"/>
    <s v="PÚBLICO"/>
    <n v="10014984"/>
    <m/>
    <s v="2024NE001046"/>
    <d v="2024-10-30T00:00:00"/>
    <n v="7"/>
    <s v="ROSILDA"/>
    <m/>
    <x v="0"/>
    <x v="0"/>
    <x v="0"/>
    <s v="https://www.telebras.com.br/wp-content/uploads/2024/12/59.2024NE001046-NP-Tecnologia-e-Gestao-de-Dados-Ltda.pdf"/>
    <s v="-"/>
    <s v="-"/>
    <s v="-"/>
  </r>
  <r>
    <x v="27"/>
    <s v="ROSILDA"/>
    <s v="FINALIZADO"/>
    <s v="FINALIZADO"/>
    <x v="30"/>
    <s v="2000-DAFRI"/>
    <s v="GGP"/>
    <x v="0"/>
    <x v="29"/>
    <x v="1"/>
    <s v="ADMINISTRATIVO"/>
    <x v="7"/>
    <x v="7"/>
    <x v="0"/>
    <x v="30"/>
    <x v="30"/>
    <s v="TLB-ASS-2024/16489"/>
    <x v="27"/>
    <x v="25"/>
    <x v="23"/>
    <n v="3944"/>
    <s v="TLB-DEG-2024/00129"/>
    <s v="ROSILDA ABREU DA SILVA"/>
    <s v="PÚBLICO"/>
    <n v="10015151"/>
    <m/>
    <s v="2024NE001078"/>
    <d v="2024-11-28T00:00:00"/>
    <n v="9"/>
    <s v="ROSILDA"/>
    <s v="CAPACITAÇÃO"/>
    <x v="0"/>
    <x v="0"/>
    <x v="0"/>
    <s v="https://www.telebras.com.br/wp-content/uploads/2025/02/70.2024NE001078-ZENITE-INFORMACAO-E-CONSULTORIA-SA.pdf"/>
    <s v="-"/>
    <s v="-"/>
    <s v="-"/>
  </r>
  <r>
    <x v="2"/>
    <s v="FRANCIELE"/>
    <s v="FINALIZADO"/>
    <s v="FINALIZADO"/>
    <x v="31"/>
    <s v="2000-DAFRI"/>
    <s v="GGP"/>
    <x v="0"/>
    <x v="30"/>
    <x v="1"/>
    <s v="ADMINISTRATIVO"/>
    <x v="27"/>
    <x v="24"/>
    <x v="0"/>
    <x v="31"/>
    <x v="31"/>
    <s v="TLB-ASS-2024/16552"/>
    <x v="7"/>
    <x v="7"/>
    <x v="24"/>
    <n v="22066"/>
    <m/>
    <s v="ADRYANA RAMOS DE OLIVEIRA"/>
    <s v="PÚBLICO"/>
    <n v="10015075"/>
    <m/>
    <s v="2024NE001079"/>
    <d v="2024-11-26T00:00:00"/>
    <n v="3"/>
    <s v="FRANCIELE"/>
    <s v="PROCESSO CANCELADO E INSTAURADO NOVO"/>
    <x v="0"/>
    <x v="0"/>
    <x v="0"/>
    <s v="https://www.telebras.com.br/wp-content/uploads/2025/02/71.2024NE001081-INSTITUTO-BRASILEIRO-DE-GOVERNANCA-CORPORATIV_1.pdf"/>
    <s v="-"/>
    <s v="-"/>
    <s v="-"/>
  </r>
  <r>
    <x v="28"/>
    <s v="FRANCIELE"/>
    <s v="FINALIZADO"/>
    <s v="FINALIZADO"/>
    <x v="32"/>
    <s v="2000-DAFRI"/>
    <s v="GGP"/>
    <x v="0"/>
    <x v="31"/>
    <x v="1"/>
    <s v="ADMINISTRATIVO"/>
    <x v="24"/>
    <x v="9"/>
    <x v="0"/>
    <x v="32"/>
    <x v="32"/>
    <s v=" TLB-ASS-2024/16583"/>
    <x v="28"/>
    <x v="26"/>
    <x v="25"/>
    <n v="36800"/>
    <s v="TLB-DEG-2024/00130"/>
    <s v="ADRYANA RAMOS DE OLIVEIRA"/>
    <s v="PÚBLICO"/>
    <n v="10015226"/>
    <n v="10003951"/>
    <s v="2024NE001081"/>
    <d v="2024-11-27T00:00:00"/>
    <n v="3"/>
    <s v="FRANCIELE"/>
    <s v="CAPACITAÇÃO"/>
    <x v="0"/>
    <x v="0"/>
    <x v="0"/>
    <s v="https://www.telebras.com.br/wp-content/uploads/2025/02/71.2024NE001081-INSTITUTO-BRASILEIRO-DE-GOVERNANCA-CORPORATIV_1.pdf"/>
    <s v="-"/>
    <s v="-"/>
    <s v="-"/>
  </r>
  <r>
    <x v="29"/>
    <s v="FRANCIELE"/>
    <s v="FINALIZADO"/>
    <s v="FINALIZADO"/>
    <x v="33"/>
    <s v="2000-DAFRI"/>
    <s v="GGP"/>
    <x v="0"/>
    <x v="32"/>
    <x v="1"/>
    <s v="ADMINISTRATIVO"/>
    <x v="28"/>
    <x v="25"/>
    <x v="0"/>
    <x v="33"/>
    <x v="33"/>
    <s v=" TLB-ASS-2024/16671"/>
    <x v="7"/>
    <x v="27"/>
    <x v="26"/>
    <n v="5397.3"/>
    <s v="TLB-DEG-2024/00134"/>
    <s v="ADRYANA RAMOS DE OLIVEIRA"/>
    <s v="PÚBLICO"/>
    <n v="10015230"/>
    <n v="10004137"/>
    <s v="2024NE001084"/>
    <d v="2024-11-28T00:00:00"/>
    <n v="1"/>
    <s v="FRANCIELE"/>
    <s v="CAPACITAÇÃO"/>
    <x v="0"/>
    <x v="0"/>
    <x v="0"/>
    <s v="https://www.telebras.com.br/wp-content/uploads/2025/02/72.2024NE001084-FUNDACAO-INSTITUTO-NACIONAL-DE-TELECOMUNICACO_2.pdf"/>
    <s v="-"/>
    <s v="-"/>
    <s v="-"/>
  </r>
  <r>
    <x v="30"/>
    <s v="FRANCIELE"/>
    <s v="FINALIZADO"/>
    <s v="FINALIZADO"/>
    <x v="34"/>
    <s v="2000-DAFRI"/>
    <s v="GGP"/>
    <x v="0"/>
    <x v="33"/>
    <x v="1"/>
    <s v="ADMINISTRATIVO"/>
    <x v="29"/>
    <x v="26"/>
    <x v="0"/>
    <x v="34"/>
    <x v="34"/>
    <s v=" TLB-ASS-2024/16672"/>
    <x v="7"/>
    <x v="27"/>
    <x v="26"/>
    <n v="2497"/>
    <s v="TLB-DEG-2024/00135"/>
    <s v="MADALENE MENEZES VERTELO"/>
    <s v="PÚBLICO"/>
    <n v="10015234"/>
    <n v="10004138"/>
    <s v="2024NE001085"/>
    <d v="2024-11-28T00:00:00"/>
    <n v="3"/>
    <s v="FRANCIELE"/>
    <s v="CAPACITAÇÃO"/>
    <x v="0"/>
    <x v="0"/>
    <x v="0"/>
    <s v="https://www.telebras.com.br/wp-content/uploads/2025/02/73.2024NE001085-AKADEMIA-DE-TRANSFORMACAO-ORGANIZACIONAL-LTDA.pdf"/>
    <s v="-"/>
    <s v="-"/>
    <s v="-"/>
  </r>
  <r>
    <x v="31"/>
    <s v="FRANCIELE"/>
    <s v="FINALIZADO"/>
    <s v="FINALIZADO"/>
    <x v="35"/>
    <s v="2000-DAFRI"/>
    <s v="GGP"/>
    <x v="0"/>
    <x v="34"/>
    <x v="1"/>
    <s v="ADMINISTRATIVO"/>
    <x v="30"/>
    <x v="27"/>
    <x v="0"/>
    <x v="35"/>
    <x v="35"/>
    <s v=" TLB-ASS-2024/16669"/>
    <x v="29"/>
    <x v="27"/>
    <x v="26"/>
    <n v="8000"/>
    <s v="TLB-DEG-2024/00136"/>
    <s v="CAMILA DANIELA LIMA DE SOUZA GOMES"/>
    <s v="PÚBLICO"/>
    <n v="10015238"/>
    <n v="10004139"/>
    <s v="2024NE001082"/>
    <d v="2024-11-28T00:00:00"/>
    <n v="2"/>
    <s v="FRANCIELE"/>
    <s v="CAPACITAÇÃO"/>
    <x v="0"/>
    <x v="0"/>
    <x v="0"/>
    <s v="https://www.telebras.com.br/wp-content/uploads/2025/02/74.2024NE001082-MARIANA-RODRIGUES-DE-LIMA_3.pdf"/>
    <s v="-"/>
    <s v="-"/>
    <s v="-"/>
  </r>
  <r>
    <x v="32"/>
    <s v="FRANCIELE"/>
    <s v="FINALIZADO"/>
    <s v="FINALIZADO"/>
    <x v="36"/>
    <s v="2000-DAFRI"/>
    <s v="GGP"/>
    <x v="0"/>
    <x v="35"/>
    <x v="1"/>
    <s v="ADMINISTRATIVO"/>
    <x v="31"/>
    <x v="28"/>
    <x v="0"/>
    <x v="36"/>
    <x v="36"/>
    <s v=" TLB-ASS-2024/16858"/>
    <x v="30"/>
    <x v="28"/>
    <x v="27"/>
    <n v="499"/>
    <s v="TLB-DEG-2024/00138"/>
    <s v="ADRYANA RAMOS DE OLIVEIRA"/>
    <s v="PÚBLICO"/>
    <n v="10015251"/>
    <n v="10004165"/>
    <s v="2024NE001088"/>
    <d v="2024-12-02T00:00:00"/>
    <n v="2"/>
    <s v="FRANCIELE"/>
    <s v="CAPACITAÇÃO"/>
    <x v="0"/>
    <x v="0"/>
    <x v="0"/>
    <s v="https://www.telebras.com.br/wp-content/uploads/2025/02/75.2024NE001088-BMEC-EDUCACIONAL-LTDA_4.pdf"/>
    <s v="-"/>
    <s v="-"/>
    <s v="-"/>
  </r>
  <r>
    <x v="1"/>
    <s v="FRANCIELE"/>
    <s v="FINALIZADO"/>
    <s v="FINALIZADO"/>
    <x v="37"/>
    <s v="2000-DAFRI"/>
    <s v="GGP"/>
    <x v="0"/>
    <x v="36"/>
    <x v="1"/>
    <s v="ADMINISTRATIVO"/>
    <x v="32"/>
    <x v="29"/>
    <x v="0"/>
    <x v="37"/>
    <x v="37"/>
    <s v=" TLB-ASS-2024/17036"/>
    <x v="1"/>
    <x v="28"/>
    <x v="27"/>
    <n v="5850"/>
    <s v="TLB-DEG-2024/00145"/>
    <s v="ADRYANA RAMOS DE OLIVEIRA"/>
    <s v="PÚBLICO"/>
    <n v="10015253"/>
    <n v="10004256"/>
    <s v="2024NE001105"/>
    <d v="2024-12-04T00:00:00"/>
    <n v="3"/>
    <s v="FRANCIELE"/>
    <s v="CAPACITAÇÃO"/>
    <x v="0"/>
    <x v="0"/>
    <x v="0"/>
    <s v="https://www.telebras.com.br/wp-content/uploads/2025/02/76.2024NE001105-SINGULARES-TECNOLOGIA-DA-INFORMACAO-LTDA.pdf"/>
    <s v="-"/>
    <s v="-"/>
    <s v="-"/>
  </r>
  <r>
    <x v="1"/>
    <s v="FRANCIELE"/>
    <s v="FINALIZADO"/>
    <s v="FINALIZADO"/>
    <x v="38"/>
    <s v="2000-DAFRI"/>
    <s v="GGP"/>
    <x v="0"/>
    <x v="37"/>
    <x v="1"/>
    <s v="ADMINISTRATIVO"/>
    <x v="33"/>
    <x v="30"/>
    <x v="0"/>
    <x v="38"/>
    <x v="38"/>
    <s v=" TLB-ASS-2024/17006"/>
    <x v="1"/>
    <x v="28"/>
    <x v="27"/>
    <n v="5170"/>
    <s v="TLB-DEG-2024/00139"/>
    <s v="ADRYANA RAMOS DE OLIVEIRA"/>
    <s v="PÚBLICO"/>
    <n v="10015252"/>
    <n v="10004133"/>
    <s v="2024NE001098"/>
    <d v="2024-12-02T00:00:00"/>
    <n v="1"/>
    <s v="FRANCIELE"/>
    <s v="CAPACITAÇÃO"/>
    <x v="0"/>
    <x v="0"/>
    <x v="0"/>
    <s v="https://www.telebras.com.br/wp-content/uploads/2025/02/77.2024NE001098-MINDWORKS-TECNOLOGIA-E-TREINAMENTO-LTDA_5.pdf"/>
    <s v="-"/>
    <s v="-"/>
    <s v="-"/>
  </r>
  <r>
    <x v="1"/>
    <s v="FRANCIELE"/>
    <s v="FINALIZADO"/>
    <s v="FINALIZADO"/>
    <x v="39"/>
    <s v="2000-DAFRI"/>
    <s v="GGP"/>
    <x v="0"/>
    <x v="38"/>
    <x v="1"/>
    <s v="ADMINISTRATIVO"/>
    <x v="34"/>
    <x v="31"/>
    <x v="0"/>
    <x v="39"/>
    <x v="39"/>
    <s v=" TLB-ASS-2024/17017"/>
    <x v="1"/>
    <x v="28"/>
    <x v="27"/>
    <n v="2805"/>
    <s v="TLB-DEG-2024/00140"/>
    <s v="ADRYANA RAMOS DE OLIVEIRA"/>
    <s v="PÚBLICO"/>
    <n v="10015243"/>
    <n v="10002554"/>
    <s v="2024NE001103"/>
    <d v="2024-12-03T00:00:00"/>
    <n v="2"/>
    <s v="FRANCIELE"/>
    <s v="CAPACITAÇÃO"/>
    <x v="0"/>
    <x v="0"/>
    <x v="0"/>
    <s v="https://www.telebras.com.br/wp-content/uploads/2025/02/78.2024NE001103-FUNDACAO-INSTITUTO-DE-PESQUISAS-CONTABEIS-AT.pdf"/>
    <s v="-"/>
    <s v="-"/>
    <s v="-"/>
  </r>
  <r>
    <x v="33"/>
    <s v="FRANCIELE"/>
    <s v="FINALIZADO"/>
    <s v="FINALIZADO"/>
    <x v="40"/>
    <s v="2000-DAFRI"/>
    <s v="GGP"/>
    <x v="0"/>
    <x v="39"/>
    <x v="1"/>
    <s v="ADMINISTRATIVO"/>
    <x v="35"/>
    <x v="30"/>
    <x v="0"/>
    <x v="40"/>
    <x v="40"/>
    <s v="TLB-ASS-2024/17038"/>
    <x v="1"/>
    <x v="28"/>
    <x v="28"/>
    <n v="7080"/>
    <s v="TLB-DEG-2024/00142"/>
    <s v="ADRYANA RAMOS DE OLIVEIRA"/>
    <s v="PÚBLICO"/>
    <n v="10015245"/>
    <n v="10004133"/>
    <s v="2024NE001108"/>
    <d v="2024-12-04T00:00:00"/>
    <n v="2"/>
    <s v="FRANCIELE"/>
    <s v="CAPACITAÇÃO"/>
    <x v="0"/>
    <x v="0"/>
    <x v="0"/>
    <s v="https://www.telebras.com.br/wp-content/uploads/2025/02/79.2024NE001108-MINDWORKS-TECNOLOGIA-E-TREINAMENTO-LTDA.pdf"/>
    <s v="-"/>
    <s v="-"/>
    <s v="-"/>
  </r>
  <r>
    <x v="33"/>
    <s v="FRANCIELE"/>
    <s v="FINALIZADO"/>
    <s v="FINALIZADO"/>
    <x v="41"/>
    <s v="2000-DAFRI"/>
    <s v="GGP"/>
    <x v="0"/>
    <x v="40"/>
    <x v="1"/>
    <s v="ADMINISTRATIVO"/>
    <x v="35"/>
    <x v="30"/>
    <x v="0"/>
    <x v="41"/>
    <x v="41"/>
    <s v="TLB-ASS-2024/17033"/>
    <x v="1"/>
    <x v="28"/>
    <x v="27"/>
    <n v="5415"/>
    <s v="TLB-DEG-2024/00143"/>
    <s v="ADRYANA RAMOS DE OLIVEIRA"/>
    <s v="PÚBLICO"/>
    <n v="10015258"/>
    <n v="10004133"/>
    <s v="2024NE001104"/>
    <d v="2024-12-04T00:00:00"/>
    <n v="2"/>
    <s v="FRANCIELE"/>
    <s v="CAPACITAÇÃO"/>
    <x v="0"/>
    <x v="0"/>
    <x v="0"/>
    <s v="https://www.telebras.com.br/wp-content/uploads/2025/02/80.2024NE001104-MINDWORKS-TECNOLOGIA-E-TREINAMENTO-LTDA.pdf"/>
    <s v="-"/>
    <s v="-"/>
    <s v="-"/>
  </r>
  <r>
    <x v="34"/>
    <s v="FRANCIELE"/>
    <s v="FINALIZADO"/>
    <s v="FINALIZADO"/>
    <x v="42"/>
    <s v="2000-DAFRI"/>
    <s v="GGP"/>
    <x v="0"/>
    <x v="41"/>
    <x v="1"/>
    <s v="ADMINISTRATIVO"/>
    <x v="36"/>
    <x v="32"/>
    <x v="0"/>
    <x v="42"/>
    <x v="42"/>
    <s v=" TLB-ASS-2024/17057"/>
    <x v="1"/>
    <x v="28"/>
    <x v="27"/>
    <n v="22066"/>
    <s v="TLB-DEG-2024/00144"/>
    <s v="ADRYANA RAMOS DE OLIVEIRA"/>
    <s v="PÚBLICO"/>
    <n v="10015075"/>
    <n v="10004221"/>
    <s v="2024NE001110"/>
    <d v="2024-12-04T00:00:00"/>
    <n v="1"/>
    <s v="FRANCIELE"/>
    <s v="CAPACITAÇÃO"/>
    <x v="0"/>
    <x v="0"/>
    <x v="0"/>
    <s v="https://www.telebras.com.br/wp-content/uploads/2025/02/81.2024NE001110-KPMG-ASSURANCE-SERVICES-LTDA.pdf"/>
    <s v="-"/>
    <s v="-"/>
    <s v="-"/>
  </r>
  <r>
    <x v="34"/>
    <s v="FRANCIELE"/>
    <s v="FINALIZADO"/>
    <s v="FINALIZADO"/>
    <x v="43"/>
    <s v="2000-DAFRI"/>
    <s v="GGP"/>
    <x v="0"/>
    <x v="42"/>
    <x v="1"/>
    <s v="ADMINISTRATIVO"/>
    <x v="37"/>
    <x v="33"/>
    <x v="0"/>
    <x v="43"/>
    <x v="43"/>
    <s v="2024NE001109"/>
    <x v="1"/>
    <x v="28"/>
    <x v="27"/>
    <n v="2480"/>
    <s v="TLB-DEG-2024/00147"/>
    <s v="ADRYANA RAMOS DE OLIVEIRA"/>
    <s v="PÚBLICO"/>
    <n v="10015246"/>
    <n v="10004145"/>
    <s v="2024NE001109"/>
    <d v="2024-12-04T00:00:00"/>
    <n v="1"/>
    <s v="FRANCIELE"/>
    <s v="CAPACITAÇÃO"/>
    <x v="0"/>
    <x v="0"/>
    <x v="0"/>
    <s v="https://www.telebras.com.br/wp-content/uploads/2025/02/82.2024NE001109-ABTD-ASSOCIACAO-BRASILEIRA-DE-TREINAMENTO_6.pdf"/>
    <s v="-"/>
    <s v="-"/>
    <s v="-"/>
  </r>
  <r>
    <x v="35"/>
    <s v="FRANCIELE"/>
    <s v="FINALIZADO"/>
    <s v="FINALIZADO"/>
    <x v="44"/>
    <s v="2000-DAFRI"/>
    <s v="GGP"/>
    <x v="0"/>
    <x v="43"/>
    <x v="1"/>
    <s v="ADMINISTRATIVO"/>
    <x v="38"/>
    <x v="34"/>
    <x v="0"/>
    <x v="44"/>
    <x v="44"/>
    <s v="2024NE001137"/>
    <x v="31"/>
    <x v="29"/>
    <x v="29"/>
    <n v="13234.53"/>
    <s v="TLB-DEG-2024/00150"/>
    <s v="ADRYANA RAMOS DE OLIVEIRA"/>
    <s v="PÚBLICO"/>
    <n v="10015254"/>
    <n v="10004227"/>
    <s v="2024NE001137"/>
    <d v="2024-12-16T00:00:00"/>
    <n v="2"/>
    <s v="FRANCIELE"/>
    <s v="CAPACITAÇÃO"/>
    <x v="0"/>
    <x v="0"/>
    <x v="0"/>
    <s v="https://www.telebras.com.br/wp-content/uploads/2025/02/83.2024NE001137-KA-SOLUTION-INFORMATICA-LTDA_7.pdf"/>
    <s v="-"/>
    <s v="-"/>
    <s v="-"/>
  </r>
  <r>
    <x v="36"/>
    <s v="LAYLLAH"/>
    <s v="FINALIZADO"/>
    <s v="FINALIZADO"/>
    <x v="45"/>
    <s v="3000-DTO"/>
    <s v="GTI"/>
    <x v="2"/>
    <x v="44"/>
    <x v="1"/>
    <s v="ADMINISTRATIVO"/>
    <x v="39"/>
    <x v="35"/>
    <x v="1"/>
    <x v="45"/>
    <x v="45"/>
    <s v="TLB-AUT-2025/05769"/>
    <x v="32"/>
    <x v="30"/>
    <x v="30"/>
    <n v="122605"/>
    <s v="TLB-DEG-2025/00058"/>
    <s v="Elias Rodrigues da Silva"/>
    <s v="PÚBLICO"/>
    <n v="10015280"/>
    <n v="10003170"/>
    <s v="4400003080﻿_x000a_"/>
    <d v="2026-06-09T00:00:00"/>
    <n v="385"/>
    <m/>
    <m/>
    <x v="1"/>
    <x v="1"/>
    <x v="1"/>
    <s v="https://www.telebras.com.br/wp-content/uploads/2025/04/4.TLB-CTR-2025.00023-DELL-COMPUTADORES-DO-BRASIL-LTDA.pdf"/>
    <s v="-"/>
    <s v="-"/>
    <s v="-"/>
  </r>
  <r>
    <x v="37"/>
    <s v="LAYLLAH"/>
    <s v="FINALIZADO"/>
    <s v="FINALIZADO"/>
    <x v="46"/>
    <s v="3000-DTO"/>
    <s v="GTI"/>
    <x v="2"/>
    <x v="45"/>
    <x v="1"/>
    <s v="ADMINISTRATIVO"/>
    <x v="39"/>
    <x v="36"/>
    <x v="1"/>
    <x v="46"/>
    <x v="46"/>
    <s v="TLB-AUT-2025/05781"/>
    <x v="32"/>
    <x v="30"/>
    <x v="31"/>
    <n v="53604"/>
    <s v="TLB-DEG-2025/00057"/>
    <s v="Elias Rodrigues da Silva"/>
    <s v="PÚBLICO"/>
    <n v="10015262"/>
    <n v="10003170"/>
    <n v="4400003079"/>
    <d v="2026-06-09T00:00:00"/>
    <n v="381"/>
    <m/>
    <m/>
    <x v="2"/>
    <x v="2"/>
    <x v="1"/>
    <s v="https://www.telebras.com.br/wp-content/uploads/2025/04/5.TLB-CTR-2025.00022-DELL-COMPUTADORES-DO-BRASIL-LTDA.pdf"/>
    <s v="-"/>
    <s v="-"/>
    <s v="-"/>
  </r>
  <r>
    <x v="38"/>
    <s v="FRANCIELE"/>
    <s v="FINALIZADO"/>
    <s v="FINALIZADO"/>
    <x v="47"/>
    <s v="2000-DAFRI"/>
    <s v="GCC"/>
    <x v="0"/>
    <x v="46"/>
    <x v="1"/>
    <s v="ADMINISTRATIVO"/>
    <x v="7"/>
    <x v="7"/>
    <x v="0"/>
    <x v="47"/>
    <x v="47"/>
    <s v="2025NE000539"/>
    <x v="33"/>
    <x v="31"/>
    <x v="32"/>
    <n v="4860"/>
    <s v="TLB-DEG-2025/00035"/>
    <s v="ROSILDA ABREU DA SILVA"/>
    <s v="PÚBLICO"/>
    <n v="10015557"/>
    <n v="10001269"/>
    <m/>
    <d v="2025-03-10T00:00:00"/>
    <n v="2"/>
    <s v="FRANCIELE"/>
    <s v="CAPACITAÇÃO"/>
    <x v="3"/>
    <x v="3"/>
    <x v="1"/>
    <s v="https://www.telebras.com.br/wp-content/uploads/2025/04/2.2025NE000539-Zenite-Informacao-e-Consultoria.A.pdf"/>
    <s v="-"/>
    <s v="-"/>
    <s v="-"/>
  </r>
  <r>
    <x v="39"/>
    <s v="FRANCIELE"/>
    <s v="FINALIZADO"/>
    <s v="FINALIZADO"/>
    <x v="48"/>
    <s v="2000-DAFRI"/>
    <s v="GCC"/>
    <x v="0"/>
    <x v="47"/>
    <x v="1"/>
    <s v="ADMINISTRATIVO"/>
    <x v="40"/>
    <x v="37"/>
    <x v="0"/>
    <x v="48"/>
    <x v="48"/>
    <s v="2025NE000572"/>
    <x v="34"/>
    <x v="30"/>
    <x v="33"/>
    <n v="1990"/>
    <s v="TLB-DEG-2025/00049"/>
    <s v="FRANCIELE FERREIRA DA SILVA"/>
    <s v="PÚBLICO"/>
    <n v="10015602"/>
    <n v="10004236"/>
    <m/>
    <d v="2025-03-19T00:00:00"/>
    <n v="1"/>
    <s v="FRANCIELE"/>
    <s v="CAPACITAÇÃO"/>
    <x v="4"/>
    <x v="4"/>
    <x v="1"/>
    <s v="https://www.telebras.com.br/wp-content/uploads/2025/04/3.2025NE000572-Inove-Treinamentos-e-Capacitacao-Ltda.pdf"/>
    <s v="-"/>
    <s v="-"/>
    <s v="-"/>
  </r>
  <r>
    <x v="40"/>
    <s v="LAYLLAH"/>
    <s v="FINALIZADO"/>
    <s v="FINALIZADO"/>
    <x v="49"/>
    <s v="5000-DG"/>
    <s v="GIRC"/>
    <x v="0"/>
    <x v="9"/>
    <x v="1"/>
    <s v="ADMINISTRATIVO"/>
    <x v="41"/>
    <x v="9"/>
    <x v="0"/>
    <x v="49"/>
    <x v="49"/>
    <s v="TLB-AUT-2025/04867"/>
    <x v="35"/>
    <x v="32"/>
    <x v="34"/>
    <n v="23474"/>
    <s v="TLB-DEG-2025/00041"/>
    <s v="ANTÔNIO CELSON DE JESUS NERIS"/>
    <s v="PÚBLICO"/>
    <n v="10015394"/>
    <m/>
    <m/>
    <d v="2026-06-09T00:00:00"/>
    <n v="364"/>
    <m/>
    <m/>
    <x v="5"/>
    <x v="5"/>
    <x v="1"/>
    <s v="https://www.telebras.com.br/wp-content/uploads/2025/04/1.2025NE000538-Instituto-Brasileiro-de-Governanca-Corporativa-IBGC.pdf"/>
    <s v="-"/>
    <s v="-"/>
    <s v="-"/>
  </r>
  <r>
    <x v="41"/>
    <s v="ROSILDA"/>
    <s v="FINALIZADO"/>
    <s v="FINALIZADO"/>
    <x v="50"/>
    <s v="2000-DAFRI"/>
    <s v="GGP"/>
    <x v="1"/>
    <x v="48"/>
    <x v="0"/>
    <s v="ADMINISTRATIVO"/>
    <x v="42"/>
    <x v="38"/>
    <x v="1"/>
    <x v="50"/>
    <x v="50"/>
    <s v="TLB-AUT-2025/05744-A "/>
    <x v="36"/>
    <x v="33"/>
    <x v="35"/>
    <n v="6500"/>
    <s v="TLB-DEG-2025/00055-A"/>
    <s v="MARIA JOSÉ QUINTAS"/>
    <s v="PÚBLICO"/>
    <n v="10015239"/>
    <m/>
    <m/>
    <d v="2025-04-14T00:00:00"/>
    <n v="62"/>
    <s v="DANIEL PENALVA"/>
    <m/>
    <x v="6"/>
    <x v="6"/>
    <x v="1"/>
    <s v="https://www.telebras.com.br/wp-content/uploads/2025/04/11.TLB-CTR-2025.00024-SC-BRASIL-GROUP-SOLUCOES-TECNOLOGICAS-LTDA.pdf"/>
    <s v="-"/>
    <s v="-"/>
    <s v="-"/>
  </r>
  <r>
    <x v="42"/>
    <s v="FRANCIELE"/>
    <s v="FINALIZADO"/>
    <s v="FINALIZADO"/>
    <x v="51"/>
    <s v="2000-DAFRI"/>
    <s v="GGP"/>
    <x v="0"/>
    <x v="49"/>
    <x v="1"/>
    <s v="ADMINISTRATIVO"/>
    <x v="43"/>
    <x v="39"/>
    <x v="0"/>
    <x v="51"/>
    <x v="51"/>
    <s v="2025NE000608"/>
    <x v="37"/>
    <x v="34"/>
    <x v="36"/>
    <n v="5860"/>
    <s v="TLB-DEG-2025/00060"/>
    <s v="Camila Daniela Lima "/>
    <s v="PÚBLICO"/>
    <n v="10015636"/>
    <n v="10003773"/>
    <m/>
    <d v="2025-04-11T00:00:00"/>
    <n v="3"/>
    <s v="FRANCIELE"/>
    <s v="CAPACITAÇÃO"/>
    <x v="7"/>
    <x v="7"/>
    <x v="1"/>
    <s v="https://www.telebras.com.br/wp-content/uploads/2025/05/6.2025NE000608-KPMG-Business-School-Treinamentos-Corporativos.pdf"/>
    <s v="-"/>
    <s v="-"/>
    <s v="-"/>
  </r>
  <r>
    <x v="42"/>
    <s v="FRANCIELE"/>
    <s v="FINALIZADO"/>
    <s v="FINALIZADO"/>
    <x v="52"/>
    <s v="2000-DAFRI"/>
    <s v="GGP"/>
    <x v="0"/>
    <x v="50"/>
    <x v="1"/>
    <s v="ADMINISTRATIVO"/>
    <x v="44"/>
    <x v="40"/>
    <x v="0"/>
    <x v="52"/>
    <x v="52"/>
    <s v="2025NE000607"/>
    <x v="38"/>
    <x v="34"/>
    <x v="36"/>
    <n v="2247"/>
    <s v="TLB-DEG-2025/00061_x000a_"/>
    <s v="Camila Daniela Lima "/>
    <s v="PÚBLICO"/>
    <n v="10015655"/>
    <n v="10004280"/>
    <m/>
    <d v="2025-04-10T00:00:00"/>
    <n v="2"/>
    <s v="FRANCIELE"/>
    <s v="CAPACITAÇÃO"/>
    <x v="8"/>
    <x v="8"/>
    <x v="1"/>
    <s v="https://www.telebras.com.br/wp-content/uploads/2025/05/7.2025NE000607-MODERNPMO-GESTAO-E-TECNOLOGIA-LTDA-GESTAO-E-TECNOLOGIA-LTDA.pdf"/>
    <s v="-"/>
    <s v="-"/>
    <s v="-"/>
  </r>
  <r>
    <x v="42"/>
    <s v="FRANCIELE"/>
    <s v="FINALIZADO"/>
    <s v="FINALIZADO"/>
    <x v="53"/>
    <s v="2000-DAFRI"/>
    <s v="GGP"/>
    <x v="0"/>
    <x v="51"/>
    <x v="1"/>
    <s v="ADMINISTRATIVO"/>
    <x v="45"/>
    <x v="41"/>
    <x v="0"/>
    <x v="53"/>
    <x v="53"/>
    <s v="2025NE000610"/>
    <x v="38"/>
    <x v="35"/>
    <x v="37"/>
    <n v="7180.8"/>
    <s v="TLB-DEG-2025/00062"/>
    <s v="Camila Daniela Lima "/>
    <s v="PÚBLICO"/>
    <n v="10015603"/>
    <n v="10004237"/>
    <m/>
    <d v="2025-04-14T00:00:00"/>
    <n v="4"/>
    <s v="FRANCIELE"/>
    <s v="CAPACITAÇÃO"/>
    <x v="9"/>
    <x v="9"/>
    <x v="1"/>
    <s v="https://www.telebras.com.br/wp-content/uploads/2025/05/8.2025NE000610-FK-PARTNERS.pdf"/>
    <s v="-"/>
    <s v="-"/>
    <s v="-"/>
  </r>
  <r>
    <x v="43"/>
    <s v="FRANCIELE"/>
    <s v="FINALIZADO"/>
    <s v="FINALIZADO"/>
    <x v="54"/>
    <s v="2000-DAFRI"/>
    <s v="GCC"/>
    <x v="0"/>
    <x v="52"/>
    <x v="1"/>
    <s v="ADMINISTRATIVO"/>
    <x v="7"/>
    <x v="42"/>
    <x v="0"/>
    <x v="54"/>
    <x v="54"/>
    <s v="2025NE000588"/>
    <x v="39"/>
    <x v="36"/>
    <x v="38"/>
    <n v="15546"/>
    <s v="TLB-DEG-2025/00056"/>
    <s v="ROSILDA ABREU DA SILVA"/>
    <s v="PÚBLICO"/>
    <n v="10015623"/>
    <n v="10001269"/>
    <m/>
    <d v="2025-04-02T00:00:00"/>
    <n v="1"/>
    <s v="FRANCIELE"/>
    <s v="ASSINATURA"/>
    <x v="10"/>
    <x v="10"/>
    <x v="1"/>
    <s v="https://www.telebras.com.br/wp-content/uploads/2025/04/4.2025NE000588-Zenite-Informacao-e-Consultoria-SA.pdf"/>
    <s v="-"/>
    <s v="-"/>
    <s v="-"/>
  </r>
  <r>
    <x v="44"/>
    <s v="FRANCIELE"/>
    <s v="FINALIZADO"/>
    <s v="FINALIZADO"/>
    <x v="55"/>
    <s v="2000-DAFRI"/>
    <s v="GGP"/>
    <x v="0"/>
    <x v="53"/>
    <x v="1"/>
    <s v="ADMINISTRATIVO"/>
    <x v="45"/>
    <x v="43"/>
    <x v="0"/>
    <x v="55"/>
    <x v="55"/>
    <s v="2025NE000690"/>
    <x v="40"/>
    <x v="37"/>
    <x v="39"/>
    <n v="19000"/>
    <s v="TLB-DEG-2025/00066"/>
    <s v="Camila Daniela Lima "/>
    <s v="PÚBLICO"/>
    <n v="10015687"/>
    <n v="10004237"/>
    <m/>
    <d v="2025-05-08T00:00:00"/>
    <n v="1"/>
    <s v="FRANCIELE"/>
    <s v="CAPACITAÇÃO"/>
    <x v="11"/>
    <x v="11"/>
    <x v="1"/>
    <s v="https://www.telebras.com.br/wp-content/uploads/2025/06/9.2025NE000690-A.-F.-Comercio-de-Livros-e-Cursos-Especializados-Ltda.pdf"/>
    <s v="-"/>
    <s v="-"/>
    <s v="-"/>
  </r>
  <r>
    <x v="45"/>
    <s v="LAYLLAH"/>
    <s v="FINALIZADO"/>
    <s v="FINALIZADO"/>
    <x v="56"/>
    <s v="2000-DAFRI"/>
    <s v="GCONT"/>
    <x v="0"/>
    <x v="54"/>
    <x v="0"/>
    <s v="ADMINISTRATIVO"/>
    <x v="46"/>
    <x v="44"/>
    <x v="1"/>
    <x v="56"/>
    <x v="56"/>
    <s v="TLB-AUT-2025/04884"/>
    <x v="35"/>
    <x v="38"/>
    <x v="40"/>
    <n v="29500"/>
    <s v="TLB-DEG-2025/00048"/>
    <s v="ANNA PAULA PEDROSA VIEIRA"/>
    <s v="PÚBLICO"/>
    <n v="10015424"/>
    <m/>
    <m/>
    <d v="2025-01-29T00:00:00"/>
    <n v="12"/>
    <m/>
    <m/>
    <x v="12"/>
    <x v="12"/>
    <x v="1"/>
    <s v="https://www.telebras.com.br/wp-content/uploads/2025/04/9.TLB-CTR-2025.00017-LEGIS-JET-LTDA.pdf"/>
    <s v="-"/>
    <s v="-"/>
    <s v="-"/>
  </r>
  <r>
    <x v="46"/>
    <s v="LUCIANA"/>
    <s v="FINALIZADO"/>
    <s v="FINALIZADO"/>
    <x v="57"/>
    <s v="4000-DC"/>
    <s v="GPM"/>
    <x v="0"/>
    <x v="55"/>
    <x v="1"/>
    <s v="ADMINISTRATIVO"/>
    <x v="47"/>
    <x v="14"/>
    <x v="2"/>
    <x v="57"/>
    <x v="57"/>
    <s v="TLB-AUT-2025/06589"/>
    <x v="41"/>
    <x v="39"/>
    <x v="39"/>
    <n v="180470.65"/>
    <s v="TLB-DEG-2025/00075"/>
    <s v="MARIANA RODRIGUES BOAVISTA LEITE"/>
    <s v="PÚBLICO"/>
    <n v="10015625"/>
    <m/>
    <m/>
    <d v="2026-06-09T00:00:00"/>
    <n v="307"/>
    <m/>
    <m/>
    <x v="13"/>
    <x v="13"/>
    <x v="1"/>
    <s v="https://www.telebras.com.br/wp-content/uploads/2025/05/5.TA-no-04720000_2025NE000613-ABRINT.pdf"/>
    <s v="-"/>
    <s v="-"/>
    <s v="-"/>
  </r>
  <r>
    <x v="47"/>
    <s v="ROSILDA"/>
    <s v="FINALIZADO"/>
    <s v="FINALIZADO"/>
    <x v="58"/>
    <s v="2000-DAFRI"/>
    <s v="GJ"/>
    <x v="0"/>
    <x v="56"/>
    <x v="1"/>
    <s v="ADMINISTRATIVO"/>
    <x v="48"/>
    <x v="45"/>
    <x v="1"/>
    <x v="58"/>
    <x v="58"/>
    <s v="TLB-CTR-2025/00026"/>
    <x v="42"/>
    <x v="35"/>
    <x v="41"/>
    <n v="5900000"/>
    <s v="TLB-DEG-2025/00064"/>
    <s v="Ezielma Braz Ferreira"/>
    <s v="PÚBLICO"/>
    <n v="10015666"/>
    <n v="10004228"/>
    <m/>
    <d v="2026-06-09T00:00:00"/>
    <n v="314"/>
    <m/>
    <m/>
    <x v="14"/>
    <x v="14"/>
    <x v="1"/>
    <s v="https://www.telebras.com.br/wp-content/uploads/2025/05/12.TLB-CTR-2025.00026-SACHA-CALMON-MISABEL-DERZI-CONSULTORES-E-ADVOGADOS.pdf"/>
    <s v="-"/>
    <s v="-"/>
    <s v="-"/>
  </r>
  <r>
    <x v="48"/>
    <s v="FRANCIELE"/>
    <s v="FINALIZADO"/>
    <s v="FINALIZADO"/>
    <x v="59"/>
    <s v="2000-DAFRI"/>
    <s v="GGP"/>
    <x v="0"/>
    <x v="57"/>
    <x v="1"/>
    <s v="ADMINISTRATIVO"/>
    <x v="49"/>
    <x v="46"/>
    <x v="0"/>
    <x v="59"/>
    <x v="59"/>
    <s v="2025NE000716"/>
    <x v="43"/>
    <x v="40"/>
    <x v="42"/>
    <n v="8250"/>
    <s v="TLB-DEG-2025/00074"/>
    <s v="ROSILDA ABREU DA SILVA"/>
    <s v="PÚBLICO"/>
    <n v="10015696"/>
    <n v="10004243"/>
    <m/>
    <d v="2025-05-19T00:00:00"/>
    <n v="1"/>
    <s v="FRANCIELE"/>
    <s v="CAPACITAÇÃO"/>
    <x v="15"/>
    <x v="15"/>
    <x v="1"/>
    <s v="https://www.telebras.com.br/wp-content/uploads/2025/06/10.2025NE000716-3R-CAPACITA-COMERCIO-DE-MATERIAIS-DIDATICOS-E-SERVICOS-EDUCACIONAIS-LTDA.pdf"/>
    <s v="-"/>
    <s v="-"/>
    <s v="-"/>
  </r>
  <r>
    <x v="49"/>
    <s v="FRANCIELE"/>
    <s v="FINALIZADO"/>
    <s v="FINALIZADO"/>
    <x v="60"/>
    <s v="2000-DAFRI"/>
    <s v="GGP"/>
    <x v="0"/>
    <x v="58"/>
    <x v="1"/>
    <s v="ADMINISTRATIVO"/>
    <x v="50"/>
    <x v="47"/>
    <x v="0"/>
    <x v="60"/>
    <x v="60"/>
    <s v="2025NE000761"/>
    <x v="44"/>
    <x v="41"/>
    <x v="43"/>
    <n v="10545"/>
    <s v="TLB-DEG-2025/00079"/>
    <s v="ADRYANA RAMOS DE OLIVEIRA"/>
    <s v="PÚBLICO"/>
    <n v="10015733"/>
    <n v="10004257"/>
    <m/>
    <d v="2025-06-02T00:00:00"/>
    <n v="1"/>
    <s v="FRANCIELE"/>
    <s v="CAPACITAÇÃO"/>
    <x v="16"/>
    <x v="16"/>
    <x v="1"/>
    <s v="https://www.telebras.com.br/wp-content/uploads/2025/07/11.2025NE761-QSP-CENTRO-DA-QUALIDADE-SEGURANCA-E-PRODUTIVIDADE-PARA-O-BRASIL-E-AMERICA-LATINA.pdf"/>
    <s v="-"/>
    <s v="-"/>
    <s v="-"/>
  </r>
  <r>
    <x v="50"/>
    <s v="FRANCIELE"/>
    <s v="FINALIZADO"/>
    <s v="FINALIZADO"/>
    <x v="61"/>
    <s v="2000-DAFRI"/>
    <s v="GGP"/>
    <x v="0"/>
    <x v="59"/>
    <x v="1"/>
    <s v="ADMINISTRATIVO"/>
    <x v="51"/>
    <x v="48"/>
    <x v="0"/>
    <x v="61"/>
    <x v="61"/>
    <s v="2025NE000774"/>
    <x v="45"/>
    <x v="41"/>
    <x v="44"/>
    <n v="14700"/>
    <s v="TLB-DEG-2025/00080"/>
    <s v="ADRYANA RAMOS DE OLIVEIRA"/>
    <s v="PÚBLICO"/>
    <n v="10015740"/>
    <n v="10003939"/>
    <m/>
    <d v="2025-06-05T00:00:00"/>
    <n v="5"/>
    <s v="FRANCIELE"/>
    <s v="EVENTO"/>
    <x v="17"/>
    <x v="17"/>
    <x v="1"/>
    <s v="https://www.telebras.com.br/wp-content/uploads/2025/07/12.2025NE774-ABRH-Associacao-Brasileira-de-Recursos-Humanos.pdf"/>
    <s v="-"/>
    <s v="-"/>
    <s v="-"/>
  </r>
  <r>
    <x v="51"/>
    <s v="FRANCIELE"/>
    <s v="FINALIZADO"/>
    <s v="FINALIZADO"/>
    <x v="62"/>
    <s v="2000-DAFRI"/>
    <s v="GPM"/>
    <x v="0"/>
    <x v="60"/>
    <x v="1"/>
    <s v="ADMINISTRATIVO"/>
    <x v="52"/>
    <x v="17"/>
    <x v="1"/>
    <x v="62"/>
    <x v="62"/>
    <s v="TLB-AUT-2025/12277"/>
    <x v="46"/>
    <x v="42"/>
    <x v="45"/>
    <n v="109865.44"/>
    <s v="TLB-DEG-2025/00100"/>
    <s v="MARIANA RODRIGUES BOAVISTA LEITE"/>
    <s v="PÚBLICO"/>
    <n v="10015778"/>
    <n v="10001625"/>
    <s v="2025NE000885"/>
    <d v="2025-07-03T00:00:00"/>
    <n v="1"/>
    <s v="FRANCIELE"/>
    <s v="EVENTO"/>
    <x v="18"/>
    <x v="18"/>
    <x v="1"/>
    <s v="https://www.telebras.com.br/wp-content/uploads/2025/08/18.TLB-CTR-2025.00048-ASSOCIACAO-BRASILEIRA-DE-ENTIDADES-ESTADUAIS-E-PUBLICAS-DE-TECNOLOGIA-DA-INFORMACAO-E-COMUNICACAO-–-ABEP-TIC.pdf"/>
    <s v="-"/>
    <s v="-"/>
    <s v="-"/>
  </r>
  <r>
    <x v="52"/>
    <s v="FRANCIELE"/>
    <s v="FINALIZADO"/>
    <s v="FINALIZADO"/>
    <x v="63"/>
    <s v="2000-DAFRI"/>
    <s v="GGP"/>
    <x v="0"/>
    <x v="61"/>
    <x v="1"/>
    <s v="ADMINISTRATIVO"/>
    <x v="53"/>
    <x v="49"/>
    <x v="0"/>
    <x v="63"/>
    <x v="63"/>
    <s v="2025N000E846"/>
    <x v="47"/>
    <x v="43"/>
    <x v="46"/>
    <n v="2100"/>
    <s v=" TLB-DEG-2025/00086"/>
    <s v="Camila Daniela Gomes"/>
    <s v="PÚBLICO"/>
    <n v="10015827"/>
    <n v="10003176"/>
    <m/>
    <d v="2025-07-01T00:00:00"/>
    <n v="1"/>
    <s v="FRANCIELE"/>
    <s v="CAPACITAÇÃO"/>
    <x v="19"/>
    <x v="19"/>
    <x v="1"/>
    <s v="https://www.telebras.com.br/wp-content/uploads/2025/07/13.2025NE846-CONSELHO-REGIONAL-DE-CONTABILIDADE-DO-DISTRITO-FEDERAL.pdf"/>
    <s v="-"/>
    <s v="-"/>
    <s v="-"/>
  </r>
  <r>
    <x v="53"/>
    <s v="LAYLLAH"/>
    <s v="FINALIZADO"/>
    <s v="FINALIZADO"/>
    <x v="64"/>
    <s v="2000-DAFRI"/>
    <s v="ARI"/>
    <x v="0"/>
    <x v="62"/>
    <x v="1"/>
    <s v="ADMINISTRATIVO"/>
    <x v="54"/>
    <x v="50"/>
    <x v="0"/>
    <x v="64"/>
    <x v="64"/>
    <s v="TLB-ASS-2025/11220"/>
    <x v="48"/>
    <x v="44"/>
    <x v="45"/>
    <n v="50000"/>
    <s v="TLB-DEG-2025/00126"/>
    <s v="JORGE PEREIRA FRAGOSO NETTO"/>
    <m/>
    <n v="10014023"/>
    <m/>
    <m/>
    <d v="2025-07-11T00:00:00"/>
    <n v="20"/>
    <m/>
    <m/>
    <x v="0"/>
    <x v="0"/>
    <x v="0"/>
    <s v="https://www.telebras.com.br/wp-content/uploads/2026/03/2025NE001037_Badia-e-Quartim-Advogados-–-BQA.pdf"/>
    <s v="-"/>
    <s v="-"/>
    <s v="-"/>
  </r>
  <r>
    <x v="54"/>
    <s v="ROSILDA"/>
    <s v="FINALIZADO"/>
    <s v="FINALIZADO"/>
    <x v="65"/>
    <s v="2000-DAFRI"/>
    <s v="GGP"/>
    <x v="0"/>
    <x v="63"/>
    <x v="1"/>
    <s v="ADMINISTRATIVO"/>
    <x v="55"/>
    <x v="51"/>
    <x v="0"/>
    <x v="65"/>
    <x v="65"/>
    <s v="2025NE000953"/>
    <x v="49"/>
    <x v="45"/>
    <x v="45"/>
    <n v="23350"/>
    <s v="TLB-DEG-2025/00099"/>
    <s v="ADRYANA RAMOS DE OLIVEIRA"/>
    <s v="PÚBLICO"/>
    <n v="10015866"/>
    <n v="10004286"/>
    <m/>
    <d v="2025-07-28T00:00:00"/>
    <n v="6"/>
    <m/>
    <m/>
    <x v="20"/>
    <x v="20"/>
    <x v="1"/>
    <s v="https://www.telebras.com.br/wp-content/uploads/2025/09/14.2025NE000953-RENATO-DE-PAULA-APRESENTACOES-INTELIGENTES-LTDA-PPTPLAY.pdf"/>
    <s v="-"/>
    <s v="-"/>
    <s v="-"/>
  </r>
  <r>
    <x v="55"/>
    <s v="FRANCIELE"/>
    <s v="FINALIZADO"/>
    <s v="FINALIZADO"/>
    <x v="66"/>
    <s v="2000-DAFRI"/>
    <s v="GGP"/>
    <x v="0"/>
    <x v="64"/>
    <x v="1"/>
    <s v="ADMINISTRATIVO"/>
    <x v="56"/>
    <x v="52"/>
    <x v="0"/>
    <x v="66"/>
    <x v="66"/>
    <s v="2025NE001029"/>
    <x v="50"/>
    <x v="46"/>
    <x v="47"/>
    <n v="16605"/>
    <s v="TLB-DEG-2025/00102"/>
    <s v="ADRYANA RAMOS DE OLIVEIRA"/>
    <s v="PÚBLICO"/>
    <n v="10015900"/>
    <n v="10004285"/>
    <m/>
    <d v="2025-07-31T00:00:00"/>
    <n v="3"/>
    <s v="FRANCIELE"/>
    <s v="EVENTO"/>
    <x v="21"/>
    <x v="21"/>
    <x v="1"/>
    <s v="https://www.telebras.com.br/wp-content/uploads/2025/08/14.2025NE001029-Neurobox-Tecnologia-em-Informatica-Ltda.pdf"/>
    <s v="-"/>
    <s v="-"/>
    <s v="-"/>
  </r>
  <r>
    <x v="56"/>
    <s v="FRANCIELE"/>
    <s v="FINALIZADO"/>
    <s v="FINALIZADO"/>
    <x v="67"/>
    <s v="2000-DAFRI"/>
    <s v="GGP"/>
    <x v="0"/>
    <x v="65"/>
    <x v="1"/>
    <s v="ADMINISTRATIVO"/>
    <x v="31"/>
    <x v="53"/>
    <x v="0"/>
    <x v="67"/>
    <x v="67"/>
    <s v="2025NE001047"/>
    <x v="51"/>
    <x v="47"/>
    <x v="48"/>
    <n v="26800"/>
    <s v="TLB-DEG-2025/00104"/>
    <s v="ADRYANA RAMOS DE OLIVEIRA"/>
    <s v="PÚBLICO"/>
    <n v="10015924"/>
    <n v="10003967"/>
    <m/>
    <d v="2025-08-15T00:00:00"/>
    <n v="2"/>
    <s v="FRANCIELE"/>
    <s v="CAPACITAÇÃO"/>
    <x v="22"/>
    <x v="22"/>
    <x v="1"/>
    <s v="https://www.telebras.com.br/wp-content/uploads/2025/08/15.2025NE001047-Ibmec-Educacional-Ltda.pdf"/>
    <s v="-"/>
    <s v="-"/>
    <s v="-"/>
  </r>
  <r>
    <x v="57"/>
    <s v="FRANCIELE"/>
    <s v="FINALIZADO"/>
    <s v="FINALIZADO"/>
    <x v="68"/>
    <s v="2000-DAFRI"/>
    <s v="GGP"/>
    <x v="0"/>
    <x v="66"/>
    <x v="1"/>
    <s v="ADMINISTRATIVO"/>
    <x v="24"/>
    <x v="9"/>
    <x v="0"/>
    <x v="68"/>
    <x v="68"/>
    <s v="2025NE001089"/>
    <x v="52"/>
    <x v="48"/>
    <x v="49"/>
    <n v="11090"/>
    <s v="TLB-DEG-2025/00114"/>
    <s v="ADRYANA RAMOS DE OLIVEIRA"/>
    <s v="PÚBLICO"/>
    <n v="10016027"/>
    <n v="10003951"/>
    <m/>
    <d v="2025-09-02T00:00:00"/>
    <n v="1"/>
    <s v="FRANCIELE"/>
    <s v="EVENTO"/>
    <x v="23"/>
    <x v="23"/>
    <x v="1"/>
    <s v="https://www.telebras.com.br/wp-content/uploads/2025/10/17.2025NE001089-Instituto-Brasileiro-de-Governanca-Corporativa.pdf"/>
    <s v="-"/>
    <s v="-"/>
    <s v="-"/>
  </r>
  <r>
    <x v="58"/>
    <s v="FRANCIELE"/>
    <s v="FINALIZADO"/>
    <s v="FINALIZADO"/>
    <x v="69"/>
    <s v="2000-DAFRI"/>
    <s v="GGP"/>
    <x v="0"/>
    <x v="67"/>
    <x v="1"/>
    <s v="ADMINISTRATIVO"/>
    <x v="57"/>
    <x v="19"/>
    <x v="0"/>
    <x v="69"/>
    <x v="69"/>
    <s v="2025NE001096"/>
    <x v="53"/>
    <x v="49"/>
    <x v="50"/>
    <n v="14840"/>
    <s v="TLB-DEG-2025/00118"/>
    <s v="ADRYANA RAMOS DE OLIVEIRA"/>
    <s v="PÚBLICO"/>
    <n v="10016067"/>
    <n v="10004111"/>
    <m/>
    <d v="2025-09-04T00:00:00"/>
    <n v="2"/>
    <s v="FRANCIELE"/>
    <s v="EVENTO"/>
    <x v="24"/>
    <x v="24"/>
    <x v="1"/>
    <s v="https://www.telebras.com.br/wp-content/uploads/2025/10/18.2025NE001096-Congresso-Brasileiro-de-Auditoria-Interna.pdf"/>
    <s v="-"/>
    <s v="-"/>
    <s v="-"/>
  </r>
  <r>
    <x v="59"/>
    <s v="FRANCIELE"/>
    <s v="FINALIZADO"/>
    <s v="FINALIZADO"/>
    <x v="70"/>
    <s v="2000-DAFRI"/>
    <s v="GGP"/>
    <x v="0"/>
    <x v="68"/>
    <x v="1"/>
    <s v="ADMINISTRATIVO"/>
    <x v="58"/>
    <x v="54"/>
    <x v="0"/>
    <x v="70"/>
    <x v="70"/>
    <s v="2025NE001103"/>
    <x v="53"/>
    <x v="49"/>
    <x v="50"/>
    <n v="13560"/>
    <s v="TLB-DEG-2025/00117"/>
    <s v="ADRYANA RAMOS DE OLIVEIRA"/>
    <s v="PÚBLICO"/>
    <n v="10016040"/>
    <n v="10002345"/>
    <m/>
    <d v="2025-09-05T00:00:00"/>
    <n v="2"/>
    <s v="FRANCIELE"/>
    <s v="EVENTO"/>
    <x v="25"/>
    <x v="25"/>
    <x v="1"/>
    <s v="https://www.telebras.com.br/wp-content/uploads/2025/10/19.2025NE001103-Informa-Markets-Ltda.pdf"/>
    <s v="-"/>
    <s v="-"/>
    <s v="-"/>
  </r>
  <r>
    <x v="60"/>
    <s v="FRANCIELE"/>
    <s v="FINALIZADO"/>
    <s v="FINALIZADO"/>
    <x v="71"/>
    <s v="2000-DAFRI"/>
    <s v="GGP"/>
    <x v="0"/>
    <x v="69"/>
    <x v="1"/>
    <s v="ADMINISTRATIVO"/>
    <x v="59"/>
    <x v="55"/>
    <x v="0"/>
    <x v="71"/>
    <x v="71"/>
    <s v="2025NE001105"/>
    <x v="54"/>
    <x v="50"/>
    <x v="51"/>
    <n v="19508.830000000002"/>
    <s v="TLB-DEG-2025/00120"/>
    <s v="ADRYANA RAMOS DE OLIVEIRA"/>
    <s v="PÚBLICO"/>
    <n v="10016042"/>
    <m/>
    <m/>
    <d v="2025-09-09T00:00:00"/>
    <n v="1"/>
    <s v="FRANCIELE"/>
    <s v="EVENTO"/>
    <x v="26"/>
    <x v="26"/>
    <x v="2"/>
    <s v="https://www.telebras.com.br/wp-content/uploads/2025/10/20.2025NE001105-DLR-Deutsches-Zentrum-fur-Luft-und-Raumfahrt.pdf"/>
    <s v="-"/>
    <s v="-"/>
    <s v="-"/>
  </r>
  <r>
    <x v="61"/>
    <s v="FRANCIELE"/>
    <s v="FINALIZADO"/>
    <s v="FINALIZADO"/>
    <x v="72"/>
    <s v="2000-DAFRI"/>
    <s v="GGP"/>
    <x v="0"/>
    <x v="70"/>
    <x v="1"/>
    <s v="ADMINISTRATIVO"/>
    <x v="60"/>
    <x v="56"/>
    <x v="3"/>
    <x v="72"/>
    <x v="72"/>
    <s v=" TLB-ORC-2025/00003"/>
    <x v="55"/>
    <x v="51"/>
    <x v="52"/>
    <n v="10800"/>
    <s v="TLB-DEG-2025/00133"/>
    <s v="ADRYANA RAMOS DE OLIVEIRA"/>
    <s v="PÚBLICO"/>
    <n v="10015968"/>
    <m/>
    <m/>
    <d v="2025-09-18T00:00:00"/>
    <n v="5"/>
    <s v="FRANCIELE"/>
    <s v="EVENTO"/>
    <x v="27"/>
    <x v="27"/>
    <x v="1"/>
    <s v="https://www.telebras.com.br/wp-content/uploads/2025/10/21.-TLB-ORC-2025-00003-GLASBERG-COMUNICACOES-LTDA.pdf"/>
    <s v="-"/>
    <s v="-"/>
    <s v="-"/>
  </r>
  <r>
    <x v="62"/>
    <s v="ALENCASTRO"/>
    <s v="FINALIZADO"/>
    <s v="FINALIZADO"/>
    <x v="73"/>
    <s v="3000-DTO"/>
    <s v="GEOS"/>
    <x v="1"/>
    <x v="71"/>
    <x v="0"/>
    <s v="ADMINISTRATIVO"/>
    <x v="61"/>
    <x v="57"/>
    <x v="0"/>
    <x v="73"/>
    <x v="73"/>
    <s v="TLB-ASS-2025/09363"/>
    <x v="56"/>
    <x v="52"/>
    <x v="45"/>
    <n v="3245"/>
    <s v="TLB-DEG-2025/00091"/>
    <s v="SERGIO PINHO PIRETTI"/>
    <s v="PÚBLICO"/>
    <n v="10004266"/>
    <m/>
    <m/>
    <m/>
    <n v="-32727"/>
    <m/>
    <s v="Dispensa Eletrônica"/>
    <x v="28"/>
    <x v="28"/>
    <x v="1"/>
    <s v="https://www.telebras.com.br/wp-content/uploads/2026/01/29.2025NE000855-M-J-REFRIGERACAO-LTDA.pdf"/>
    <s v="-"/>
    <s v="-"/>
    <s v="-"/>
  </r>
  <r>
    <x v="61"/>
    <s v="FRANCIELE"/>
    <s v="FINALIZADO"/>
    <s v="FINALIZADO"/>
    <x v="74"/>
    <s v="2000-DAFRI"/>
    <s v="GGP"/>
    <x v="0"/>
    <x v="72"/>
    <x v="1"/>
    <s v="ADMINISTRATIVO"/>
    <x v="62"/>
    <x v="58"/>
    <x v="3"/>
    <x v="74"/>
    <x v="74"/>
    <s v="TLB-ORC-2025/00002"/>
    <x v="57"/>
    <x v="53"/>
    <x v="53"/>
    <n v="4000"/>
    <s v="TLB-DEG-2025/00124"/>
    <s v="ADRYANA RAMOS DE OLIVEIRA"/>
    <s v="PÚBLICO"/>
    <n v="10016047"/>
    <n v="10004306"/>
    <m/>
    <d v="2025-09-12T00:00:00"/>
    <n v="1"/>
    <m/>
    <m/>
    <x v="29"/>
    <x v="29"/>
    <x v="1"/>
    <s v="https://www.telebras.com.br/wp-content/uploads/2025/10/22.TLB-ORC-2025-00002-INSTITUTO-BRASILEIRO-DE-DIREITO-ADMINISTRATIVO-IBDA.pdf"/>
    <s v="-"/>
    <s v="-"/>
    <s v="-"/>
  </r>
  <r>
    <x v="63"/>
    <s v="LAYLLAH"/>
    <s v="FINALIZADO"/>
    <s v="FINALIZADO"/>
    <x v="75"/>
    <s v="2000-DAFRI"/>
    <s v="GMP"/>
    <x v="1"/>
    <x v="73"/>
    <x v="1"/>
    <s v="ADMINISTRATIVO"/>
    <x v="63"/>
    <x v="59"/>
    <x v="1"/>
    <x v="74"/>
    <x v="75"/>
    <s v="TLB-AUT-2025/22260"/>
    <x v="58"/>
    <x v="54"/>
    <x v="54"/>
    <n v="4357243.32"/>
    <s v="TLB-DEG-2025/00194"/>
    <s v="Isac Pires Moraes Filho"/>
    <s v="PÚBLICO"/>
    <n v="10016045"/>
    <m/>
    <m/>
    <m/>
    <n v="-32793"/>
    <m/>
    <m/>
    <x v="0"/>
    <x v="0"/>
    <x v="0"/>
    <s v="https://www.telebras.com.br/wp-content/uploads/2026/01/39.TLB-CTR-2025.00090-VERTIV-TECNOLOGIA-DO-BRASIL-LTDA.pdf"/>
    <s v="-"/>
    <s v="-"/>
    <s v="-"/>
  </r>
  <r>
    <x v="64"/>
    <s v="LAYLLAH"/>
    <s v="FINALIZADO"/>
    <s v="FINALIZADO"/>
    <x v="76"/>
    <s v="2000-DAFRI"/>
    <s v="GGP"/>
    <x v="0"/>
    <x v="74"/>
    <x v="1"/>
    <s v="ADMINISTRATIVO"/>
    <x v="10"/>
    <x v="10"/>
    <x v="1"/>
    <x v="75"/>
    <x v="76"/>
    <s v="TLB-AUT-2025/20268"/>
    <x v="59"/>
    <x v="55"/>
    <x v="55"/>
    <n v="1252476"/>
    <s v="TLB-DEG-2025/00178"/>
    <s v="CAMILA DANIELA LIMA DE SOUZA GOMES"/>
    <m/>
    <m/>
    <m/>
    <m/>
    <m/>
    <n v="-32800"/>
    <m/>
    <m/>
    <x v="0"/>
    <x v="0"/>
    <x v="0"/>
    <s v="https://www.telebras.com.br/wp-content/uploads/2025/12/29.TLB-CTR-2025.00089-IMPAKT-CONSULTORIA-SS-LIMITADA.pdf"/>
    <s v="-"/>
    <s v="-"/>
    <s v="-"/>
  </r>
  <r>
    <x v="64"/>
    <s v="LAYLLAH"/>
    <s v="FINALIZADO"/>
    <s v="FINALIZADO"/>
    <x v="77"/>
    <s v="2000-DAFRI"/>
    <s v="GMP"/>
    <x v="1"/>
    <x v="75"/>
    <x v="1"/>
    <s v="ADMINISTRATIVO"/>
    <x v="64"/>
    <x v="60"/>
    <x v="1"/>
    <x v="75"/>
    <x v="77"/>
    <s v="TLB-AUT-2026/01125"/>
    <x v="60"/>
    <x v="56"/>
    <x v="56"/>
    <n v="762535.47"/>
    <s v="TLB-DEG-2026/00043"/>
    <s v="Rodrigo Andrade Silveira de Araujo"/>
    <m/>
    <n v="10016046"/>
    <m/>
    <m/>
    <m/>
    <n v="-32800"/>
    <m/>
    <m/>
    <x v="30"/>
    <x v="30"/>
    <x v="1"/>
    <s v="https://www.telebras.com.br/wp-content/uploads/2026/03/TLB-CTR-202600010.pdf"/>
    <s v="-"/>
    <s v="-"/>
    <s v="-"/>
  </r>
  <r>
    <x v="65"/>
    <s v="FRANCIELE"/>
    <s v="FINALIZADO"/>
    <s v="FINALIZADO"/>
    <x v="78"/>
    <s v="2000-DAFRI"/>
    <s v="GCC"/>
    <x v="0"/>
    <x v="76"/>
    <x v="1"/>
    <s v="ADMINISTRATIVO"/>
    <x v="26"/>
    <x v="23"/>
    <x v="3"/>
    <x v="75"/>
    <x v="78"/>
    <s v=" TLB-ORC-2025/00005"/>
    <x v="61"/>
    <x v="57"/>
    <x v="57"/>
    <n v="18100"/>
    <s v="TLB-DEG-2025/00144"/>
    <s v="Franciele Ferreira da Silva"/>
    <s v="PÚBLICO"/>
    <n v="10016086"/>
    <n v="10001658"/>
    <m/>
    <d v="2025-10-15T00:00:00"/>
    <n v="7"/>
    <m/>
    <m/>
    <x v="0"/>
    <x v="0"/>
    <x v="0"/>
    <m/>
    <m/>
    <m/>
    <m/>
  </r>
  <r>
    <x v="66"/>
    <s v="FRANCIELE"/>
    <s v="FINALIZADO"/>
    <s v="FINALIZADO"/>
    <x v="79"/>
    <s v="2000-DAFRI"/>
    <s v="GGP"/>
    <x v="0"/>
    <x v="77"/>
    <x v="1"/>
    <s v="ADMINISTRATIVO"/>
    <x v="21"/>
    <x v="19"/>
    <x v="3"/>
    <x v="76"/>
    <x v="79"/>
    <s v=" TLB-ORC-2025/00006"/>
    <x v="62"/>
    <x v="58"/>
    <x v="31"/>
    <n v="2775"/>
    <s v="TLB-DEG-2025/00166"/>
    <s v="Adryana Ramos De Oliveira"/>
    <s v="PÚBLICO"/>
    <n v="10016089"/>
    <n v="10004111"/>
    <m/>
    <m/>
    <n v="-32808"/>
    <m/>
    <m/>
    <x v="31"/>
    <x v="31"/>
    <x v="1"/>
    <s v="https://www.telebras.com.br/wp-content/uploads/2025/12/23.-TLB-ORC-2025.00006-Instituto-dos-Auditores-Internos-do-Brasil.pdf"/>
    <s v="-"/>
    <s v="-"/>
    <s v="-"/>
  </r>
  <r>
    <x v="67"/>
    <s v="FRANCIELE"/>
    <s v="FINALIZADO"/>
    <s v="FINALIZADO"/>
    <x v="80"/>
    <s v="2000-DAFRI"/>
    <s v="GGP"/>
    <x v="0"/>
    <x v="78"/>
    <x v="1"/>
    <s v="ADMINISTRATIVO"/>
    <x v="65"/>
    <x v="61"/>
    <x v="3"/>
    <x v="77"/>
    <x v="80"/>
    <s v="TLB-ORC-2025/00007"/>
    <x v="63"/>
    <x v="59"/>
    <x v="58"/>
    <n v="17500"/>
    <s v="TLB-DEG-2025/00168"/>
    <s v="Adryana Ramos De Oliveira"/>
    <s v="PÚBLICO"/>
    <n v="10016133"/>
    <n v="10002161"/>
    <s v="TLB-ORC-2025/00007"/>
    <m/>
    <n v="-32816"/>
    <m/>
    <m/>
    <x v="32"/>
    <x v="32"/>
    <x v="1"/>
    <s v="https://www.telebras.com.br/wp-content/uploads/2025/12/24.TLB-ORC-2025.00007-MCI-BRASIL-LTDA.pdf"/>
    <s v="-"/>
    <s v="-"/>
    <s v="-"/>
  </r>
  <r>
    <x v="68"/>
    <s v="FRANCIELE"/>
    <s v="FINALIZADO"/>
    <s v="FINALIZADO"/>
    <x v="81"/>
    <s v="2000-DAFRI"/>
    <s v="GGP"/>
    <x v="0"/>
    <x v="79"/>
    <x v="1"/>
    <s v="ADMINISTRATIVO"/>
    <x v="24"/>
    <x v="9"/>
    <x v="3"/>
    <x v="78"/>
    <x v="81"/>
    <s v="TLB-ORC-2025/00008"/>
    <x v="64"/>
    <x v="60"/>
    <x v="59"/>
    <n v="25500"/>
    <s v="TLB-DEG-2025/00177"/>
    <s v="Adryana Ramos De Oliveira"/>
    <s v="PÚBLICO"/>
    <n v="10016135"/>
    <n v="10003951"/>
    <m/>
    <d v="2025-11-07T00:00:00"/>
    <n v="6"/>
    <m/>
    <m/>
    <x v="33"/>
    <x v="33"/>
    <x v="1"/>
    <s v="https://www.telebras.com.br/wp-content/uploads/2025/12/25.TLB-ORC-2025.00008-Instituto-Brasileiro-de-Governanca-Corporativa.pdf"/>
    <s v="-"/>
    <s v="-"/>
    <s v="-"/>
  </r>
  <r>
    <x v="69"/>
    <s v="FRANCIELE"/>
    <s v="FINALIZADO"/>
    <s v="FINALIZADO"/>
    <x v="82"/>
    <s v="2000-DAFRI"/>
    <s v="GGP"/>
    <x v="0"/>
    <x v="80"/>
    <x v="1"/>
    <s v="ADMINISTRATIVO"/>
    <x v="31"/>
    <x v="62"/>
    <x v="3"/>
    <x v="79"/>
    <x v="82"/>
    <s v=" TLB-ORC-2025/00010"/>
    <x v="65"/>
    <x v="61"/>
    <x v="60"/>
    <n v="17000"/>
    <s v="TLB-DEG-2025/00179"/>
    <s v="Anna Cláudia Amorim da Silva"/>
    <s v="PÚBLICO"/>
    <n v="10016203"/>
    <n v="10003967"/>
    <m/>
    <d v="2025-11-13T00:00:00"/>
    <n v="5"/>
    <m/>
    <m/>
    <x v="34"/>
    <x v="34"/>
    <x v="1"/>
    <s v="https://www.telebras.com.br/wp-content/uploads/2025/12/26.-TLB-ORC-2025.00010-Ibmec-Educacional-Ltda.pdf"/>
    <s v="-"/>
    <s v="-"/>
    <s v="-"/>
  </r>
  <r>
    <x v="70"/>
    <s v="MARCUS VINÍCIUS"/>
    <s v="FINALIZADO"/>
    <s v="FINALIZADO"/>
    <x v="83"/>
    <s v="2000-DAFRI"/>
    <s v="GTI"/>
    <x v="0"/>
    <x v="81"/>
    <x v="1"/>
    <s v="ADMINISTRATIVO"/>
    <x v="66"/>
    <x v="63"/>
    <x v="2"/>
    <x v="75"/>
    <x v="83"/>
    <s v="TLB-AUT-2026/00714"/>
    <x v="66"/>
    <x v="62"/>
    <x v="61"/>
    <n v="6353.64"/>
    <s v="TLB-DEG-2026/00035"/>
    <s v="DALVA HELENA ROSA FERREIRA"/>
    <m/>
    <m/>
    <m/>
    <m/>
    <m/>
    <n v="-32844"/>
    <m/>
    <m/>
    <x v="35"/>
    <x v="30"/>
    <x v="1"/>
    <s v="https://www.telebras.com.br/wp-content/uploads/2026/03/1.TLB-AUT-202600714-SERPRO-SERVICO-FEDERAL-DE-PROCESSAMENTO-DE-DADOS-Tipo-do-objeto-Servicos.pdf"/>
    <s v="-"/>
    <s v="-"/>
    <s v="-"/>
  </r>
  <r>
    <x v="71"/>
    <s v="LAYLLAH"/>
    <s v="FINALIZADO"/>
    <s v="FINALIZADO"/>
    <x v="84"/>
    <s v="3000-DTO"/>
    <s v="TBGPR-ASCOM"/>
    <x v="1"/>
    <x v="82"/>
    <x v="0"/>
    <s v="ADMINISTRATIVO"/>
    <x v="67"/>
    <x v="64"/>
    <x v="3"/>
    <x v="75"/>
    <x v="84"/>
    <s v="TLB-ORC-2025/00004"/>
    <x v="67"/>
    <x v="63"/>
    <x v="62"/>
    <n v="7760"/>
    <s v="TLB-DEG-2025/00140"/>
    <s v="Érico Luís Cortes Cazarré"/>
    <s v="PÚBLICO"/>
    <m/>
    <m/>
    <m/>
    <d v="2025-10-10T00:00:00"/>
    <n v="12"/>
    <m/>
    <m/>
    <x v="36"/>
    <x v="35"/>
    <x v="1"/>
    <s v="https://www.telebras.com.br/wp-content/uploads/2025/12/27.TLB-ORC-2025.00004-MARFAP-COMERCIAL-LTDA.pdf"/>
    <s v="-"/>
    <s v="-"/>
    <s v="-"/>
  </r>
  <r>
    <x v="64"/>
    <s v="LAYLLAH"/>
    <s v="FINALIZADO"/>
    <s v="FINALIZADO"/>
    <x v="85"/>
    <s v="3000-DTO"/>
    <s v="TBGEOS"/>
    <x v="1"/>
    <x v="83"/>
    <x v="0"/>
    <s v="ADMINISTRATIVO"/>
    <x v="68"/>
    <x v="65"/>
    <x v="3"/>
    <x v="75"/>
    <x v="85"/>
    <s v="TLB-ORC-2025/00011"/>
    <x v="68"/>
    <x v="64"/>
    <x v="63"/>
    <n v="12680"/>
    <s v="TLB-DEG-2025/00189"/>
    <s v="Fernando Lambert"/>
    <s v="PÚBLICO"/>
    <m/>
    <m/>
    <m/>
    <d v="2025-12-05T00:00:00"/>
    <n v="47"/>
    <m/>
    <m/>
    <x v="37"/>
    <x v="36"/>
    <x v="1"/>
    <s v="https://www.telebras.com.br/wp-content/uploads/2025/12/28.TLB-ORC-2025.00011-SOUL-DISTRIBUIDORA-DE-PRODUTOS-E-EQUIPAMENTOS-INDUSTRIAIS-LTDA.pdf"/>
    <s v="-"/>
    <s v="-"/>
    <s v="-"/>
  </r>
  <r>
    <x v="64"/>
    <s v="LAYLLAH"/>
    <s v="FINALIZADO"/>
    <s v="FINALIZADO"/>
    <x v="86"/>
    <s v="3000-DTO"/>
    <s v="TBGERP"/>
    <x v="0"/>
    <x v="84"/>
    <x v="0"/>
    <s v="ADMINISTRATIVO"/>
    <x v="69"/>
    <x v="66"/>
    <x v="1"/>
    <x v="75"/>
    <x v="86"/>
    <s v="TLB-CTR-2025/00061"/>
    <x v="69"/>
    <x v="65"/>
    <x v="64"/>
    <n v="19500"/>
    <s v="TLB-DEG-2025/00165"/>
    <s v="Mirele de Almeida Mencari"/>
    <s v="PÚBLICO"/>
    <n v="4400003101"/>
    <n v="4400003101"/>
    <s v="TLB-AUT-2025/19125"/>
    <d v="2025-10-21T00:00:00"/>
    <n v="14"/>
    <m/>
    <m/>
    <x v="0"/>
    <x v="0"/>
    <x v="0"/>
    <s v="https://www.telebras.com.br/wp-content/uploads/2025/10/25.TLB-CTR-2025.00061-FONNET-COMERCIO-DE-EQUIPAMENTOS-DE-TELECOMUNICACOES-LTDA.pdf"/>
    <s v="-"/>
    <s v="-"/>
    <s v="-"/>
  </r>
  <r>
    <x v="72"/>
    <s v="LAYLLAH"/>
    <s v="FINALIZADO"/>
    <s v="FINALIZADO"/>
    <x v="87"/>
    <s v="2000-DAFRI"/>
    <s v="GGP"/>
    <x v="0"/>
    <x v="85"/>
    <x v="0"/>
    <s v="ADMINISTRATIVO"/>
    <x v="70"/>
    <x v="67"/>
    <x v="1"/>
    <x v="75"/>
    <x v="87"/>
    <s v="TLB-CTR-2025/00103"/>
    <x v="70"/>
    <x v="66"/>
    <x v="65"/>
    <s v="R$ 1.496.376,51 "/>
    <s v="TLB-DEG-2025/00186"/>
    <s v="ANNA CLÁUDIA AMORIM DA SILVA"/>
    <s v="PÚBLICO"/>
    <n v="4400003111"/>
    <n v="4400003111"/>
    <s v="TLB-AUT-2025/21982"/>
    <d v="2025-12-10T00:00:00"/>
    <n v="40"/>
    <m/>
    <m/>
    <x v="0"/>
    <x v="0"/>
    <x v="0"/>
    <s v="https://www.telebras.com.br/wp-content/uploads/2025/12/33.TLB-CTR-2025.00103-CENTRO-BRASILEIRO-DE-PESQUISA-EM-AVALIACAO-E-SELECAO-E-DE-PROMOCAO-DE-EVENTOS-CEBRASPE.pdf"/>
    <s v="-"/>
    <s v="-"/>
    <s v="-"/>
  </r>
  <r>
    <x v="73"/>
    <s v="MARCUS VINÍCIUS"/>
    <s v="FINALIZADO"/>
    <s v="FINALIZADO"/>
    <x v="88"/>
    <s v="2000-DAFRI"/>
    <s v="GLOG"/>
    <x v="1"/>
    <x v="86"/>
    <x v="0"/>
    <s v="ADMINISTRATIVO"/>
    <x v="71"/>
    <x v="68"/>
    <x v="3"/>
    <x v="75"/>
    <x v="88"/>
    <s v="TLB-ORC-2026/00002"/>
    <x v="66"/>
    <x v="62"/>
    <x v="66"/>
    <n v="4188.1000000000004"/>
    <s v="TLB-DEG-2026/00031"/>
    <s v="THALES SETSUO YOSHIDA"/>
    <s v="PÚBLICO"/>
    <m/>
    <m/>
    <m/>
    <d v="2025-12-12T00:00:00"/>
    <n v="32"/>
    <m/>
    <m/>
    <x v="38"/>
    <x v="30"/>
    <x v="1"/>
    <s v="https://www.telebras.com.br/wp-content/uploads/2026/03/2.TLB-ORC-202600002-G2-AR-CONDICIONADO-LTDA-Tipo-do-objeto-Compras.pdf"/>
    <s v="-"/>
    <s v="-"/>
    <s v="-"/>
  </r>
  <r>
    <x v="74"/>
    <s v="MARCUS VINÍCIUS"/>
    <s v="FINALIZADO"/>
    <s v="FINALIZADO"/>
    <x v="89"/>
    <s v="2000-DAFRI"/>
    <s v="GLOG"/>
    <x v="0"/>
    <x v="87"/>
    <x v="1"/>
    <s v="ADMINISTRATIVO"/>
    <x v="72"/>
    <x v="69"/>
    <x v="2"/>
    <x v="75"/>
    <x v="89"/>
    <s v="TLB-AUT-2026/00688"/>
    <x v="71"/>
    <x v="67"/>
    <x v="67"/>
    <n v="1200000"/>
    <s v="TLB-DEG-2026/00033"/>
    <s v="NILTON CESAR SOARES DA SILVA LIRA"/>
    <s v="PÚBLICO"/>
    <n v="4400003301"/>
    <m/>
    <m/>
    <m/>
    <n v="-32836"/>
    <m/>
    <m/>
    <x v="39"/>
    <x v="30"/>
    <x v="1"/>
    <s v="https://www.telebras.com.br/wp-content/uploads/2026/03/3.TLB-AUT-202600688-Empresa-Brasileira-de-Correios-e-Telegrafos-Tipo-do-objeto-Servicos.pdf"/>
    <s v="-"/>
    <s v="-"/>
    <s v="-"/>
  </r>
  <r>
    <x v="74"/>
    <s v="MARCUS VINÍCIUS"/>
    <s v="FINALIZADO"/>
    <s v="FINALIZADO"/>
    <x v="90"/>
    <s v="2000-DAFRI"/>
    <s v="GGP"/>
    <x v="0"/>
    <x v="88"/>
    <x v="0"/>
    <s v="ADMINISTRATIVO"/>
    <x v="73"/>
    <x v="70"/>
    <x v="1"/>
    <x v="75"/>
    <x v="90"/>
    <s v="TLB-AUT-2025/23446"/>
    <x v="72"/>
    <x v="68"/>
    <x v="68"/>
    <n v="213535.56"/>
    <s v="TLB-DEG-2026/00002"/>
    <s v="SARAH LIMA MOREIRA MOURA"/>
    <s v="PÚBLICO"/>
    <m/>
    <m/>
    <m/>
    <m/>
    <n v="-32836"/>
    <m/>
    <m/>
    <x v="0"/>
    <x v="0"/>
    <x v="0"/>
    <s v="https://www.telebras.com.br/wp-content/uploads/2026/01/41.TLB-CTR-2025.00115-MPV-SERVICOS-DE-CLINICA-MEDICA-CARDIOLOGIA-E-CIRURGIA-GERAL-LTDA.pdf"/>
    <s v="-"/>
    <s v="-"/>
    <s v="-"/>
  </r>
  <r>
    <x v="75"/>
    <s v="ROBERTA"/>
    <s v="FINALIZADO"/>
    <s v="FINALIZADO"/>
    <x v="91"/>
    <s v="2000-DAFRI"/>
    <s v="GGP"/>
    <x v="0"/>
    <x v="89"/>
    <x v="1"/>
    <s v="ADMINISTRATIVO"/>
    <x v="74"/>
    <x v="71"/>
    <x v="3"/>
    <x v="75"/>
    <x v="91"/>
    <s v="TLB-ORC-2026/00003"/>
    <x v="73"/>
    <x v="69"/>
    <x v="69"/>
    <n v="2650"/>
    <s v="TLB-DEG-2026/00041"/>
    <s v="Elisa Macêdo e Silva"/>
    <s v="PÚBLICO"/>
    <n v="10016598"/>
    <m/>
    <m/>
    <d v="2026-01-27T00:00:00"/>
    <n v="4"/>
    <m/>
    <m/>
    <x v="40"/>
    <x v="30"/>
    <x v="1"/>
    <s v="https://www.telebras.com.br/wp-content/uploads/2026/03/4.TLB-ORC-202600003-TOSTAO-FURADO-LTDA-Tipo-do-objeto-Servicos.pdf"/>
    <s v="-"/>
    <s v="-"/>
    <s v="-"/>
  </r>
  <r>
    <x v="76"/>
    <s v="MARCUS VINÍCIUS"/>
    <s v="FINALIZADO"/>
    <s v="CANCELADO"/>
    <x v="92"/>
    <s v="1000-PRES"/>
    <s v="GPR - ASCOM"/>
    <x v="0"/>
    <x v="90"/>
    <x v="0"/>
    <s v="ADMINISTRATIVO"/>
    <x v="75"/>
    <x v="8"/>
    <x v="4"/>
    <x v="75"/>
    <x v="92"/>
    <m/>
    <x v="74"/>
    <x v="70"/>
    <x v="70"/>
    <m/>
    <m/>
    <m/>
    <m/>
    <m/>
    <m/>
    <m/>
    <m/>
    <n v="-32840"/>
    <m/>
    <m/>
    <x v="0"/>
    <x v="0"/>
    <x v="0"/>
    <s v="-"/>
    <s v="-"/>
    <s v="-"/>
    <s v="-"/>
  </r>
  <r>
    <x v="75"/>
    <s v="ROBERTA"/>
    <s v="FINALIZADO"/>
    <s v="FINALIZADO"/>
    <x v="93"/>
    <s v="2000-DAFRI"/>
    <s v="GGP"/>
    <x v="0"/>
    <x v="91"/>
    <x v="1"/>
    <s v="ADMINISTRATIVO"/>
    <x v="31"/>
    <x v="62"/>
    <x v="3"/>
    <x v="75"/>
    <x v="93"/>
    <s v="TLB-ORC-2026/00006"/>
    <x v="75"/>
    <x v="71"/>
    <x v="71"/>
    <n v="29900"/>
    <s v="TLB-DEG-2026/00047"/>
    <s v="Elisa Macêdo e Silva"/>
    <s v="PÚBLICO"/>
    <n v="10016135"/>
    <n v="10003967"/>
    <m/>
    <d v="2026-02-04T00:00:00"/>
    <n v="10"/>
    <m/>
    <m/>
    <x v="41"/>
    <x v="30"/>
    <x v="1"/>
    <s v="https://www.telebras.com.br/wp-content/uploads/2026/03/5.TLB-ORC-202600006-Ibmec-Educacional-Ltda-Tipo-do-objeto-Servicos.pdf"/>
    <s v="-"/>
    <s v="-"/>
    <s v="-"/>
  </r>
  <r>
    <x v="77"/>
    <s v="ROBERTA"/>
    <s v="FINALIZADO"/>
    <s v="FINALIZADO"/>
    <x v="94"/>
    <s v="2000-DAFRI"/>
    <s v="GGP"/>
    <x v="0"/>
    <x v="92"/>
    <x v="1"/>
    <s v="ADMINISTRATIVO"/>
    <x v="21"/>
    <x v="19"/>
    <x v="3"/>
    <x v="75"/>
    <x v="94"/>
    <s v="TLB-ORC-2026/00004"/>
    <x v="76"/>
    <x v="72"/>
    <x v="72"/>
    <n v="5550"/>
    <s v="TLB-DEG-2026/00045"/>
    <s v="Adryana Ramos De Oliveira"/>
    <s v="PÚBLICO"/>
    <n v="10016645"/>
    <n v="10004111"/>
    <m/>
    <d v="2026-01-27T00:00:00"/>
    <n v="2"/>
    <m/>
    <m/>
    <x v="42"/>
    <x v="30"/>
    <x v="1"/>
    <s v="https://www.telebras.com.br/wp-content/uploads/2026/03/6.TLB-ORC-202600004-Instituto-dos-Auditores-Internos-do-Brasil-Tipo-do-objeto-Servicos.pdf"/>
    <s v="-"/>
    <s v="-"/>
    <s v="-"/>
  </r>
  <r>
    <x v="78"/>
    <s v="FRANCIELE"/>
    <s v="FINALIZADO"/>
    <s v="FINALIZADO"/>
    <x v="95"/>
    <s v="2000-DAFRI"/>
    <s v="GGP"/>
    <x v="0"/>
    <x v="93"/>
    <x v="1"/>
    <s v="ADMINISTRATIVO"/>
    <x v="76"/>
    <x v="72"/>
    <x v="3"/>
    <x v="75"/>
    <x v="95"/>
    <s v="TLB-ORC-2026/00007"/>
    <x v="77"/>
    <x v="73"/>
    <x v="73"/>
    <n v="11172"/>
    <s v="TLB-DEG-2026/00048"/>
    <s v="Elisa Macêdo e Silva"/>
    <s v="PÚBLICO"/>
    <n v="10016660"/>
    <n v="10004257"/>
    <m/>
    <d v="2026-02-06T00:00:00"/>
    <n v="3"/>
    <m/>
    <m/>
    <x v="43"/>
    <x v="30"/>
    <x v="1"/>
    <s v="https://www.telebras.com.br/wp-content/uploads/2026/03/7.TLB-ORC-202600007-QSP-Centro-da-Qualidade-Seguranca-e-Produtividade-para-o-Brasil-e-America-Latina-Tipo-do-objeto-Servicos.pdf"/>
    <s v="-"/>
    <s v="-"/>
    <s v="-"/>
  </r>
  <r>
    <x v="79"/>
    <s v="FRANCIELE"/>
    <s v="FINALIZADO"/>
    <s v="FINALIZADO"/>
    <x v="96"/>
    <s v="2000-DAFRI"/>
    <s v="GGP"/>
    <x v="0"/>
    <x v="94"/>
    <x v="1"/>
    <s v="ADMINISTRATIVO"/>
    <x v="77"/>
    <x v="73"/>
    <x v="3"/>
    <x v="75"/>
    <x v="96"/>
    <s v=" TLB-ORC-2026/00008"/>
    <x v="78"/>
    <x v="74"/>
    <x v="74"/>
    <n v="4740"/>
    <s v="TLB-DEG-2026/00051"/>
    <s v="Elisa Macêdo e Silva"/>
    <s v="PÚBLICO"/>
    <n v="10016667"/>
    <n v="10004411"/>
    <m/>
    <d v="2026-02-13T00:00:00"/>
    <n v="7"/>
    <m/>
    <m/>
    <x v="44"/>
    <x v="30"/>
    <x v="1"/>
    <s v="https://www.telebras.com.br/wp-content/uploads/2026/03/8.-TLB-ORC-202600008-SUPREME-CAPACITACAO-E-TREINAMENTO-LTDA-Tipo-do-objeto-Servicos.pdf"/>
    <s v="-"/>
    <s v="-"/>
    <s v="-"/>
  </r>
  <r>
    <x v="80"/>
    <s v="ROBERTA"/>
    <s v="FINALIZADO"/>
    <s v="FINALIZADO"/>
    <x v="97"/>
    <s v="2000-DAFRI"/>
    <s v="GGP"/>
    <x v="0"/>
    <x v="95"/>
    <x v="1"/>
    <s v="ADMINISTRATIVO"/>
    <x v="21"/>
    <x v="19"/>
    <x v="3"/>
    <x v="75"/>
    <x v="97"/>
    <s v=" TLB-ORC-2026/00011"/>
    <x v="79"/>
    <x v="75"/>
    <x v="75"/>
    <n v="5000"/>
    <s v="TLB-DEG-2026/00056"/>
    <s v="Elisa Macêdo e Silva"/>
    <s v="PÚBLICO"/>
    <n v="10016714"/>
    <n v="10004111"/>
    <m/>
    <d v="2026-02-18T00:00:00"/>
    <n v="8"/>
    <m/>
    <m/>
    <x v="45"/>
    <x v="30"/>
    <x v="1"/>
    <s v="https://www.telebras.com.br/wp-content/uploads/2026/03/9.-TLB-ORC-202600011-Instituto-dos-Auditores-Internos-do-Brasil-Tipo-do-objeto-Servicos.pdf"/>
    <s v="-"/>
    <s v="-"/>
    <s v="-"/>
  </r>
  <r>
    <x v="80"/>
    <s v="FRANCIELE"/>
    <s v="FINALIZADO"/>
    <s v="FINALIZADO"/>
    <x v="98"/>
    <s v="2000-DAFRI"/>
    <s v="GGP"/>
    <x v="0"/>
    <x v="96"/>
    <x v="1"/>
    <s v="ADMINISTRATIVO"/>
    <x v="78"/>
    <x v="18"/>
    <x v="3"/>
    <x v="75"/>
    <x v="98"/>
    <s v="TLB-ORC-2026/00010"/>
    <x v="79"/>
    <x v="75"/>
    <x v="75"/>
    <n v="3450"/>
    <s v="TLB-DEG-2026/00057"/>
    <s v="Elisa Macêdo e Silva"/>
    <s v="PÚBLICO"/>
    <n v="10016713"/>
    <n v="10003765"/>
    <m/>
    <d v="2026-02-18T00:00:00"/>
    <n v="8"/>
    <m/>
    <m/>
    <x v="46"/>
    <x v="30"/>
    <x v="1"/>
    <s v="https://www.telebras.com.br/wp-content/uploads/2026/03/10.TLB-ORC-202600010-BIOSEG-BRASILIA-SOLUCOES-EM-SEGURANCA-E-MEDICINA-DO-TRABALHO-LTDA-Tipo-do-objeto-Servicos.pdf"/>
    <s v="-"/>
    <s v="-"/>
    <s v="-"/>
  </r>
  <r>
    <x v="80"/>
    <s v="FRANCIELE"/>
    <s v="FINALIZADO"/>
    <s v="FINALIZADO"/>
    <x v="99"/>
    <s v="2000-DAFRI"/>
    <s v="GGP"/>
    <x v="0"/>
    <x v="97"/>
    <x v="1"/>
    <s v="ADMINISTRATIVO"/>
    <x v="78"/>
    <x v="18"/>
    <x v="3"/>
    <x v="75"/>
    <x v="99"/>
    <s v=" TLB-ORC-2026/00012"/>
    <x v="79"/>
    <x v="75"/>
    <x v="75"/>
    <n v="999.5"/>
    <s v="TLB-DEG-2026/00060"/>
    <s v="Elisa Macêdo e Silva"/>
    <s v="PÚBLICO"/>
    <n v="10016711"/>
    <n v="10003765"/>
    <m/>
    <d v="2026-02-23T00:00:00"/>
    <n v="11"/>
    <m/>
    <m/>
    <x v="47"/>
    <x v="30"/>
    <x v="1"/>
    <s v="https://www.telebras.com.br/wp-content/uploads/2026/03/11.-TLB-ORC-202600012-BIOSEG-BRASILIA-SOLUCOES-EM-SEGURANCA-E-MEDICINA-DO-TRABALHO-LTDA-Tipo-do-objeto-Servicos.pdf"/>
    <s v="-"/>
    <s v="-"/>
    <s v="-"/>
  </r>
  <r>
    <x v="81"/>
    <s v="FRANCIELE"/>
    <s v="FINALIZADO"/>
    <s v="FINALIZADO"/>
    <x v="100"/>
    <s v="2000-DAFRI"/>
    <s v="GGP"/>
    <x v="0"/>
    <x v="98"/>
    <x v="1"/>
    <s v="ADMINISTRATIVO"/>
    <x v="79"/>
    <x v="74"/>
    <x v="3"/>
    <x v="75"/>
    <x v="100"/>
    <s v="TLB-ORC-2026/00015"/>
    <x v="80"/>
    <x v="76"/>
    <x v="76"/>
    <n v="10500"/>
    <s v="TLB-DEG-2026/00061"/>
    <s v="Elisa Macêdo e Silva"/>
    <s v="PÚBLICO"/>
    <n v="10016743"/>
    <n v="10004413"/>
    <m/>
    <d v="2026-02-24T00:00:00"/>
    <n v="2"/>
    <m/>
    <m/>
    <x v="48"/>
    <x v="30"/>
    <x v="1"/>
    <s v="https://www.telebras.com.br/wp-content/uploads/2026/03/12.TLB-ORC-202600015-SAVE-PRODUCOES-EDITORIAIS-LTDA-Tipo-do-objeto-Servicos.pdf"/>
    <s v="-"/>
    <s v="-"/>
    <s v="-"/>
  </r>
  <r>
    <x v="82"/>
    <s v="FRANCIELE"/>
    <s v="FINALIZADO"/>
    <s v="FINALIZADO"/>
    <x v="101"/>
    <s v="2000-DAFRI"/>
    <s v="GGP"/>
    <x v="0"/>
    <x v="99"/>
    <x v="1"/>
    <s v="ADMINISTRATIVO"/>
    <x v="80"/>
    <x v="55"/>
    <x v="3"/>
    <x v="75"/>
    <x v="101"/>
    <s v="TLB-ORC-2026/00016"/>
    <x v="81"/>
    <x v="77"/>
    <x v="77"/>
    <n v="7388.3"/>
    <s v="TLB-DEG-2026/00065"/>
    <s v="Elisa Macêdo e Silva"/>
    <s v="PÚBLICO"/>
    <n v="10016812"/>
    <n v="30000020"/>
    <m/>
    <d v="2026-03-13T00:00:00"/>
    <n v="2"/>
    <m/>
    <m/>
    <x v="49"/>
    <x v="37"/>
    <x v="2"/>
    <s v="https://www.telebras.com.br/wp-content/uploads/2026/03/13.TLB-ORC-202600016-Access-Intelligence-LLC-Tipo-do-objeto-Servicos.pdf"/>
    <s v="-"/>
    <s v="-"/>
    <s v="-"/>
  </r>
  <r>
    <x v="82"/>
    <s v="FRANCIELE"/>
    <s v="FINALIZADO"/>
    <s v="FINALIZADO"/>
    <x v="102"/>
    <s v="2000-DAFRI"/>
    <s v="GGP"/>
    <x v="0"/>
    <x v="100"/>
    <x v="1"/>
    <s v="ADMINISTRATIVO"/>
    <x v="56"/>
    <x v="52"/>
    <x v="3"/>
    <x v="75"/>
    <x v="102"/>
    <s v=" TLB-ORC-2026/00017"/>
    <x v="82"/>
    <x v="78"/>
    <x v="78"/>
    <n v="15594"/>
    <s v=" TLB-DEG-2026/00067"/>
    <s v="Elisa Macêdo e Silva"/>
    <s v="PÚBLICO"/>
    <n v="10016766"/>
    <n v="10004285"/>
    <m/>
    <d v="2026-03-17T00:00:00"/>
    <n v="4"/>
    <m/>
    <m/>
    <x v="50"/>
    <x v="30"/>
    <x v="1"/>
    <s v="https://www.telebras.com.br/wp-content/uploads/2026/03/14.-TLBORC202600017-Neurobox-Tecnologia-em-Informatica-Ltda-Tipo-do-objeto-Servicos.pdf"/>
    <s v="-"/>
    <s v="-"/>
    <s v="-"/>
  </r>
  <r>
    <x v="83"/>
    <s v="ROBERTA"/>
    <s v="FINALIZADO"/>
    <s v="FINALIZADO"/>
    <x v="103"/>
    <s v="2000-DAFRI"/>
    <s v="GGP"/>
    <x v="0"/>
    <x v="101"/>
    <x v="1"/>
    <s v="ADMINISTRATIVO"/>
    <x v="81"/>
    <x v="55"/>
    <x v="3"/>
    <x v="75"/>
    <x v="103"/>
    <s v=" TLB-ORC-2026/00018"/>
    <x v="83"/>
    <x v="79"/>
    <x v="79"/>
    <n v="8475.74"/>
    <s v="TLB-DEG-2026/00070"/>
    <s v="Elisa Macêdo e Silva"/>
    <s v="PÚBLICO"/>
    <n v="10016850"/>
    <n v="30000105"/>
    <m/>
    <d v="2026-03-27T00:00:00"/>
    <n v="5"/>
    <m/>
    <m/>
    <x v="49"/>
    <x v="37"/>
    <x v="2"/>
    <s v="https://www.telebras.com.br/wp-content/uploads/2026/04/15.-TLBORC202600018-Agencia-Espacial-Francesa-Tipo-do-objeto-servico.pdf"/>
    <s v="-"/>
    <s v="-"/>
    <s v="-"/>
  </r>
  <r>
    <x v="84"/>
    <s v="FRANCIELE"/>
    <s v="FINALIZADO"/>
    <s v="FINALIZADO"/>
    <x v="104"/>
    <s v="2000-DAFRI"/>
    <s v="GGP"/>
    <x v="0"/>
    <x v="102"/>
    <x v="1"/>
    <s v="ADMINISTRATIVO"/>
    <x v="82"/>
    <x v="75"/>
    <x v="3"/>
    <x v="75"/>
    <x v="104"/>
    <s v="TLB-ORC-2026/00021"/>
    <x v="84"/>
    <x v="80"/>
    <x v="80"/>
    <n v="8694"/>
    <s v=" TLB-DEG-2026/00076"/>
    <s v="Elisa Macêdo e Silva"/>
    <s v="PÚBLICO"/>
    <n v="10016851"/>
    <n v="10004441"/>
    <m/>
    <d v="2026-04-10T00:00:00"/>
    <n v="14"/>
    <m/>
    <m/>
    <x v="51"/>
    <x v="30"/>
    <x v="1"/>
    <s v="https://www.telebras.com.br/wp-content/uploads/2026/05/TLBORC202600021A_AABC-Organizacao-de-Eventos-Ltda.pdf"/>
    <s v="-"/>
    <s v="-"/>
    <s v="-"/>
  </r>
  <r>
    <x v="85"/>
    <s v="LAYLLAH"/>
    <s v="FINALIZADO"/>
    <s v="FINALIZADO"/>
    <x v="105"/>
    <s v="4000-DC"/>
    <s v="GPM"/>
    <x v="1"/>
    <x v="103"/>
    <x v="0"/>
    <s v="ADMINISTRATIVO"/>
    <x v="83"/>
    <x v="76"/>
    <x v="3"/>
    <x v="75"/>
    <x v="105"/>
    <s v="TLB-ORC-2026/00022"/>
    <x v="85"/>
    <x v="81"/>
    <x v="81"/>
    <n v="28500"/>
    <s v="TLB-DEG-2026/00086"/>
    <s v="Mariana Rodrigues Boavista Leite"/>
    <s v="PÚBLICO"/>
    <m/>
    <m/>
    <m/>
    <d v="2026-06-09T00:00:00"/>
    <n v="50"/>
    <m/>
    <m/>
    <x v="52"/>
    <x v="30"/>
    <x v="1"/>
    <s v="https://www.telebras.com.br/wp-content/uploads/2026/05/TLBORC202600022A_RUTE-ARANTES-DE-AZEVEDO-ME.pdf"/>
    <s v="-"/>
    <s v="-"/>
    <s v="-"/>
  </r>
  <r>
    <x v="86"/>
    <s v="LAYLLAH"/>
    <s v="FINALIZADO"/>
    <s v="FINALIZADO"/>
    <x v="106"/>
    <s v="4000-DC"/>
    <s v="GPM"/>
    <x v="0"/>
    <x v="104"/>
    <x v="1"/>
    <s v="ADMINISTRATIVO"/>
    <x v="84"/>
    <x v="14"/>
    <x v="5"/>
    <x v="75"/>
    <x v="106"/>
    <s v="TLB-AUT-2026/07283"/>
    <x v="86"/>
    <x v="82"/>
    <x v="82"/>
    <n v="219751.44"/>
    <s v="TLB-DEG-2026/00089"/>
    <s v="Mariana Rodrigues Boavista Leite"/>
    <s v="PÚBLICO"/>
    <m/>
    <m/>
    <m/>
    <d v="2026-06-09T00:00:00"/>
    <n v="47"/>
    <m/>
    <m/>
    <x v="53"/>
    <x v="30"/>
    <x v="1"/>
    <s v="https://www.telebras.com.br/wp-content/uploads/2026/05/TLBAUT202607283A_ABRINT-1.pdf"/>
    <s v="-"/>
    <s v="-"/>
    <s v="-"/>
  </r>
  <r>
    <x v="87"/>
    <s v="FRANCIELE"/>
    <s v="FINALIZADO"/>
    <s v="FINALIZADO"/>
    <x v="107"/>
    <s v="2000-DAFRI"/>
    <s v="GGP"/>
    <x v="0"/>
    <x v="105"/>
    <x v="1"/>
    <s v="ADMINISTRATIVO"/>
    <x v="85"/>
    <x v="77"/>
    <x v="3"/>
    <x v="75"/>
    <x v="107"/>
    <s v=" TLB-ORC-2026/00020"/>
    <x v="84"/>
    <x v="80"/>
    <x v="80"/>
    <n v="26950"/>
    <s v="TLB-DEG-2026/00077"/>
    <s v="Camila Daniela Gomes"/>
    <s v="PÚBLICO"/>
    <n v="10016871"/>
    <n v="10004440"/>
    <m/>
    <d v="2026-04-10T00:00:00"/>
    <n v="4"/>
    <m/>
    <m/>
    <x v="54"/>
    <x v="30"/>
    <x v="1"/>
    <s v="https://www.telebras.com.br/wp-content/uploads/2026/05/TLBORC202600020A_ELEVA-SOLUCOES.pdf"/>
    <s v="-"/>
    <s v="-"/>
    <s v="-"/>
  </r>
  <r>
    <x v="88"/>
    <s v="FRANCIELE"/>
    <s v="FINALIZADO"/>
    <s v="FINALIZADO"/>
    <x v="108"/>
    <s v="2000-DAFRI"/>
    <s v="GGP"/>
    <x v="0"/>
    <x v="106"/>
    <x v="1"/>
    <s v="ADMINISTRATIVO"/>
    <x v="86"/>
    <x v="55"/>
    <x v="3"/>
    <x v="75"/>
    <x v="108"/>
    <s v="TLB-ORC-2026/00023"/>
    <x v="86"/>
    <x v="83"/>
    <x v="83"/>
    <n v="19869.330000000002"/>
    <s v=" TLB-DEG-2026/00090"/>
    <s v="Bruna Kerolayne Teixeira Félix"/>
    <s v="PÚBLICO"/>
    <n v="10016917"/>
    <n v="30000080"/>
    <m/>
    <d v="2026-05-05T00:00:00"/>
    <n v="6"/>
    <m/>
    <m/>
    <x v="49"/>
    <x v="37"/>
    <x v="2"/>
    <s v="https://www.telebras.com.br/wp-content/uploads/2026/05/TLBORC202600023A_IEEE_Institute-of-Electrical-and-Electronics.pdf"/>
    <s v="-"/>
    <s v="-"/>
    <s v="-"/>
  </r>
  <r>
    <x v="89"/>
    <s v="ROBERTA"/>
    <s v="FINALIZADO"/>
    <s v="FINALIZADO"/>
    <x v="109"/>
    <s v="2000-DAFRI"/>
    <s v="GGP"/>
    <x v="0"/>
    <x v="107"/>
    <x v="1"/>
    <s v="ADMINISTRATIVO"/>
    <x v="51"/>
    <x v="48"/>
    <x v="3"/>
    <x v="75"/>
    <x v="109"/>
    <s v=" TLB-ORC-2026/00027"/>
    <x v="87"/>
    <x v="84"/>
    <x v="84"/>
    <n v="14700"/>
    <n v="14700"/>
    <s v="Bruna Kerolayne Teixeira Félix"/>
    <s v="PÚBLICO"/>
    <n v="10016911"/>
    <n v="10003939"/>
    <m/>
    <d v="2026-05-15T00:00:00"/>
    <n v="8"/>
    <m/>
    <m/>
    <x v="55"/>
    <x v="30"/>
    <x v="1"/>
    <s v="https://www.telebras.com.br/wp-content/uploads/2026/05/TLBORC202600027A_ABRH-Associacao-Brasileira-de-Recursos-Humanos.pdf"/>
    <s v="-"/>
    <s v="-"/>
    <s v="-"/>
  </r>
  <r>
    <x v="90"/>
    <s v="FRANCIELE"/>
    <s v="FINALIZADO"/>
    <s v="FINALIZADO"/>
    <x v="110"/>
    <s v="2000-DAFRI"/>
    <s v="GGP"/>
    <x v="0"/>
    <x v="108"/>
    <x v="1"/>
    <s v="ADMINISTRATIVO"/>
    <x v="37"/>
    <x v="33"/>
    <x v="3"/>
    <x v="75"/>
    <x v="110"/>
    <s v=" TLB-ORC-2026/00025"/>
    <x v="88"/>
    <x v="85"/>
    <x v="85"/>
    <n v="17880"/>
    <s v="TLB-DEG-2026/00093"/>
    <s v="Bruna Kerolayne Teixeira Félix"/>
    <s v="PÚBLICO"/>
    <n v="10016920"/>
    <n v="10004145"/>
    <m/>
    <d v="2026-05-13T00:00:00"/>
    <n v="3"/>
    <m/>
    <m/>
    <x v="56"/>
    <x v="30"/>
    <x v="1"/>
    <s v="https://www.telebras.com.br/wp-content/uploads/2026/05/TLBORC202600025A_ABTD-ASSOCIACAO-BRASILEIRA-DE-TREINAMENTO.pdf"/>
    <s v="-"/>
    <s v="-"/>
    <s v="-"/>
  </r>
  <r>
    <x v="91"/>
    <s v="FRANCIELE"/>
    <s v="FINALIZADO"/>
    <s v="FINALIZADO"/>
    <x v="111"/>
    <s v="2000-DAFRI"/>
    <s v="GGP"/>
    <x v="0"/>
    <x v="109"/>
    <x v="1"/>
    <s v="ADMINISTRATIVO"/>
    <x v="87"/>
    <x v="78"/>
    <x v="3"/>
    <x v="75"/>
    <x v="111"/>
    <s v="TLB-ORC-2026/00024"/>
    <x v="88"/>
    <x v="85"/>
    <x v="85"/>
    <n v="9960"/>
    <s v="TLB-DEG-2026/00092"/>
    <s v="Bruna Kerolayne Teixeira Félix"/>
    <s v="PÚBLICO"/>
    <n v="10016953"/>
    <n v="10004443"/>
    <m/>
    <d v="2026-05-12T00:00:00"/>
    <n v="2"/>
    <m/>
    <m/>
    <x v="57"/>
    <x v="30"/>
    <x v="1"/>
    <s v="https://www.telebras.com.br/wp-content/uploads/2026/05/TLBORC202600024A_ESPM-Associacao-Escola-Superior-de-Propaganda-e-Marketing.pdf"/>
    <s v="-"/>
    <s v="-"/>
    <s v="-"/>
  </r>
  <r>
    <x v="92"/>
    <s v="FRANCIELE"/>
    <s v="FINALIZADO"/>
    <s v="FINALIZADO"/>
    <x v="112"/>
    <s v="2000-DAFRI"/>
    <s v="GGP"/>
    <x v="0"/>
    <x v="110"/>
    <x v="1"/>
    <s v="ADMINISTRATIVO"/>
    <x v="21"/>
    <x v="19"/>
    <x v="3"/>
    <x v="75"/>
    <x v="112"/>
    <s v="TLB-ORC-2026/00031"/>
    <x v="89"/>
    <x v="86"/>
    <x v="86"/>
    <n v="27000"/>
    <s v="TLB-DEG-2026/00098"/>
    <s v="Bruna Kerolayne Teixeira Félix"/>
    <s v="PÚBLICO"/>
    <n v="10016871"/>
    <n v="10004111"/>
    <m/>
    <d v="2026-06-01T00:00:00"/>
    <n v="5"/>
    <m/>
    <m/>
    <x v="58"/>
    <x v="30"/>
    <x v="1"/>
    <s v="https://www.telebras.com.br/wp-content/uploads/2026/06/TLBORC202600031A_Instituto-dos-Auditores-Internos-do-Brasil.pdf"/>
    <s v="-"/>
    <s v="-"/>
    <s v="-"/>
  </r>
  <r>
    <x v="92"/>
    <s v="ROBERTA"/>
    <s v="FINALIZADO"/>
    <s v="FINALIZADO"/>
    <x v="113"/>
    <s v="2000-DAFRI"/>
    <s v="GGP"/>
    <x v="0"/>
    <x v="111"/>
    <x v="1"/>
    <s v="ADMINISTRATIVO"/>
    <x v="21"/>
    <x v="79"/>
    <x v="3"/>
    <x v="75"/>
    <x v="113"/>
    <s v=" TLB-ORC-2026/00033"/>
    <x v="90"/>
    <x v="87"/>
    <x v="87"/>
    <n v="13325"/>
    <s v=" TLB-DEG-2026/00102"/>
    <s v="Bruna Kerolayne Teixeira Félix"/>
    <s v="PÚBLICO"/>
    <n v="10016983"/>
    <n v="10004111"/>
    <m/>
    <d v="2026-06-08T00:00:00"/>
    <n v="10"/>
    <m/>
    <m/>
    <x v="59"/>
    <x v="30"/>
    <x v="1"/>
    <s v="https://www.telebras.com.br/wp-content/uploads/2026/06/TLBORC202600033A_Instituto-dos-Auditores-Internos-do-Brasil.pdf"/>
    <s v="-"/>
    <s v="-"/>
    <s v="-"/>
  </r>
  <r>
    <x v="93"/>
    <m/>
    <m/>
    <m/>
    <x v="114"/>
    <m/>
    <m/>
    <x v="3"/>
    <x v="112"/>
    <x v="2"/>
    <m/>
    <x v="75"/>
    <x v="8"/>
    <x v="4"/>
    <x v="74"/>
    <x v="92"/>
    <m/>
    <x v="74"/>
    <x v="70"/>
    <x v="70"/>
    <m/>
    <m/>
    <m/>
    <m/>
    <m/>
    <m/>
    <m/>
    <d v="2026-06-09T00:00:00"/>
    <n v="32978"/>
    <m/>
    <m/>
    <x v="0"/>
    <x v="0"/>
    <x v="0"/>
    <m/>
    <s v="-"/>
    <s v="-"/>
    <s v="-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3947FC-F032-4ADA-BDDF-E881125B2683}" name="Tabela dinâ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>
  <location ref="B3:C28" firstHeaderRow="1" firstDataRow="1" firstDataCol="1"/>
  <pivotFields count="3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6">
        <item h="1" x="24"/>
        <item h="1" x="29"/>
        <item h="1" x="3"/>
        <item h="1" x="2"/>
        <item h="1" x="5"/>
        <item h="1" x="9"/>
        <item h="1" x="8"/>
        <item h="1" x="10"/>
        <item h="1" x="12"/>
        <item h="1" x="11"/>
        <item h="1" x="13"/>
        <item h="1" m="1" x="93"/>
        <item h="1" m="1" x="94"/>
        <item h="1" x="6"/>
        <item h="1" x="14"/>
        <item h="1" x="4"/>
        <item h="1" x="19"/>
        <item h="1" x="16"/>
        <item h="1" x="17"/>
        <item h="1" x="21"/>
        <item h="1" x="18"/>
        <item h="1" x="15"/>
        <item h="1" x="22"/>
        <item h="1" x="20"/>
        <item h="1" x="25"/>
        <item h="1" x="26"/>
        <item h="1" x="0"/>
        <item h="1" x="27"/>
        <item h="1" x="28"/>
        <item h="1" x="7"/>
        <item h="1" x="30"/>
        <item h="1" x="1"/>
        <item h="1" x="23"/>
        <item h="1" x="31"/>
        <item x="33"/>
        <item x="35"/>
        <item x="34"/>
        <item x="32"/>
        <item x="36"/>
        <item x="39"/>
        <item x="37"/>
        <item x="38"/>
        <item x="42"/>
        <item x="41"/>
        <item x="40"/>
        <item x="43"/>
        <item x="44"/>
        <item x="45"/>
        <item x="47"/>
        <item x="46"/>
        <item x="49"/>
        <item x="50"/>
        <item x="51"/>
        <item x="52"/>
        <item x="53"/>
        <item x="54"/>
        <item x="57"/>
        <item x="55"/>
        <item h="1" x="74"/>
        <item h="1" x="62"/>
        <item h="1" m="1" x="92"/>
        <item h="1" x="64"/>
        <item h="1" x="65"/>
        <item h="1" x="63"/>
        <item h="1" x="67"/>
        <item h="1" x="68"/>
        <item h="1" x="69"/>
        <item h="1" x="70"/>
        <item h="1" m="1" x="91"/>
        <item h="1" x="56"/>
        <item h="1" x="58"/>
        <item h="1" x="59"/>
        <item h="1" x="60"/>
        <item h="1" x="66"/>
        <item h="1" x="71"/>
        <item h="1" x="72"/>
        <item h="1" x="73"/>
        <item h="1" x="76"/>
        <item h="1" x="75"/>
        <item h="1" x="77"/>
        <item h="1" x="78"/>
        <item h="1" x="79"/>
        <item h="1" x="80"/>
        <item h="1" x="81"/>
        <item h="1" x="82"/>
        <item h="1" x="48"/>
        <item h="1" x="61"/>
        <item h="1" x="83"/>
        <item h="1" x="84"/>
        <item h="1" x="85"/>
        <item h="1" x="86"/>
        <item h="1" x="87"/>
        <item h="1" x="88"/>
        <item h="1" x="89"/>
        <item h="1" x="9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7"/>
  </rowFields>
  <rowItems count="25"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 t="grand">
      <x/>
    </i>
  </rowItems>
  <colItems count="1">
    <i/>
  </colItems>
  <dataFields count="1">
    <dataField name="Soma de DIAS ÚTEIS" fld="28" baseField="0" baseItem="0"/>
  </dataFields>
  <formats count="2">
    <format dxfId="208">
      <pivotArea dataOnly="0" labelOnly="1" fieldPosition="0">
        <references count="1">
          <reference field="17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</reference>
        </references>
      </pivotArea>
    </format>
    <format dxfId="207">
      <pivotArea dataOnly="0" labelOnly="1" fieldPosition="0">
        <references count="1">
          <reference field="17" count="7">
            <x v="52"/>
            <x v="53"/>
            <x v="54"/>
            <x v="55"/>
            <x v="56"/>
            <x v="57"/>
            <x v="5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890FD9-1DE5-41D8-B32F-9D28DA86D629}" name="Tabela dinâmica8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>
  <location ref="B5:D8" firstHeaderRow="0" firstDataRow="1" firstDataCol="1" rowPageCount="2" colPageCount="1"/>
  <pivotFields count="3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m="1" x="7"/>
        <item m="1" x="4"/>
        <item m="1" x="5"/>
        <item m="1" x="6"/>
        <item m="1" x="8"/>
        <item x="1"/>
        <item x="2"/>
        <item m="1" x="3"/>
        <item x="0"/>
        <item t="default"/>
      </items>
    </pivotField>
    <pivotField showAll="0"/>
    <pivotField showAll="0"/>
    <pivotField showAll="0"/>
    <pivotField axis="axisPage" multipleItemSelectionAllowed="1" showAll="0">
      <items count="7">
        <item h="1" x="1"/>
        <item x="2"/>
        <item x="0"/>
        <item x="3"/>
        <item h="1" x="4"/>
        <item h="1" x="5"/>
        <item t="default"/>
      </items>
    </pivotField>
    <pivotField showAll="0"/>
    <pivotField showAll="0"/>
    <pivotField showAll="0"/>
    <pivotField axis="axisPage" multipleItemSelectionAllowed="1" showAll="0">
      <items count="96">
        <item h="1" x="24"/>
        <item h="1" x="29"/>
        <item m="1" x="92"/>
        <item h="1" x="3"/>
        <item h="1" x="2"/>
        <item h="1" x="5"/>
        <item h="1" x="9"/>
        <item h="1" x="8"/>
        <item h="1" x="10"/>
        <item h="1" x="12"/>
        <item h="1" x="11"/>
        <item h="1" x="13"/>
        <item m="1" x="93"/>
        <item m="1" x="94"/>
        <item h="1" x="6"/>
        <item h="1" x="14"/>
        <item h="1" x="4"/>
        <item h="1" x="19"/>
        <item h="1" x="16"/>
        <item h="1" x="17"/>
        <item h="1" x="21"/>
        <item h="1" x="18"/>
        <item h="1" x="15"/>
        <item h="1" x="22"/>
        <item h="1" x="20"/>
        <item h="1" x="25"/>
        <item h="1" x="26"/>
        <item h="1" x="0"/>
        <item h="1" x="27"/>
        <item h="1" x="28"/>
        <item h="1" x="7"/>
        <item h="1" x="30"/>
        <item h="1" x="1"/>
        <item h="1" x="23"/>
        <item h="1" x="31"/>
        <item x="33"/>
        <item x="35"/>
        <item x="34"/>
        <item x="32"/>
        <item x="36"/>
        <item x="39"/>
        <item x="37"/>
        <item x="38"/>
        <item x="42"/>
        <item x="41"/>
        <item x="40"/>
        <item x="43"/>
        <item x="44"/>
        <item x="45"/>
        <item x="47"/>
        <item x="46"/>
        <item x="49"/>
        <item x="50"/>
        <item x="51"/>
        <item x="52"/>
        <item x="53"/>
        <item x="54"/>
        <item x="57"/>
        <item x="55"/>
        <item x="69"/>
        <item x="67"/>
        <item x="62"/>
        <item x="63"/>
        <item x="64"/>
        <item x="65"/>
        <item x="68"/>
        <item x="70"/>
        <item m="1" x="91"/>
        <item h="1" x="74"/>
        <item x="56"/>
        <item x="58"/>
        <item x="59"/>
        <item h="1" x="60"/>
        <item h="1" x="66"/>
        <item h="1" x="71"/>
        <item x="72"/>
        <item h="1" x="73"/>
        <item h="1" x="76"/>
        <item h="1" x="75"/>
        <item h="1" x="77"/>
        <item h="1" x="78"/>
        <item h="1" x="79"/>
        <item h="1" x="80"/>
        <item h="1" x="81"/>
        <item h="1" x="82"/>
        <item h="1" x="48"/>
        <item h="1" x="61"/>
        <item h="1" x="83"/>
        <item h="1" x="84"/>
        <item h="1" x="85"/>
        <item h="1" x="86"/>
        <item h="1" x="87"/>
        <item h="1" x="88"/>
        <item h="1" x="89"/>
        <item h="1" x="90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3">
    <i>
      <x v="5"/>
    </i>
    <i>
      <x v="8"/>
    </i>
    <i t="grand">
      <x/>
    </i>
  </rowItems>
  <colFields count="1">
    <field x="-2"/>
  </colFields>
  <colItems count="2">
    <i>
      <x/>
    </i>
    <i i="1">
      <x v="1"/>
    </i>
  </colItems>
  <pageFields count="2">
    <pageField fld="17" hier="-1"/>
    <pageField fld="13" hier="-1"/>
  </pageFields>
  <dataFields count="2">
    <dataField name="Soma de VALOR CONTRATO" fld="20" baseField="8" baseItem="0" numFmtId="3"/>
    <dataField name="Contagem de VALOR CONTRATO" fld="20" subtotal="count" showDataAs="percentOfTotal" baseField="8" baseItem="0" numFmtId="9"/>
  </dataFields>
  <formats count="2">
    <format dxfId="20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0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Tabela dinâmica1" cacheId="3" applyNumberFormats="0" applyBorderFormats="0" applyFontFormats="0" applyPatternFormats="0" applyAlignmentFormats="0" applyWidthHeightFormats="1" dataCaption="Valores" updatedVersion="8" minRefreshableVersion="3" showDrill="0" useAutoFormatting="1" rowGrandTotals="0" colGrandTotals="0" itemPrintTitles="1" createdVersion="6" indent="0" compact="0" compactData="0" multipleFieldFilters="0">
  <location ref="A3:G32" firstHeaderRow="1" firstDataRow="1" firstDataCol="6"/>
  <pivotFields count="38">
    <pivotField compact="0" numFmtId="14" outline="0" showAll="0" defaultSubtotal="0"/>
    <pivotField compact="0" outline="0" showAll="0" defaultSubtotal="0"/>
    <pivotField compact="0" outline="0" showAll="0" defaultSubtotal="0"/>
    <pivotField compact="0" outline="0" showAll="0"/>
    <pivotField axis="axisRow" compact="0" outline="0" showAll="0" defaultSubtotal="0">
      <items count="116">
        <item x="5"/>
        <item x="6"/>
        <item x="10"/>
        <item x="8"/>
        <item x="4"/>
        <item x="18"/>
        <item x="9"/>
        <item x="7"/>
        <item x="13"/>
        <item x="11"/>
        <item x="12"/>
        <item x="15"/>
        <item x="14"/>
        <item x="19"/>
        <item x="16"/>
        <item x="23"/>
        <item x="22"/>
        <item x="17"/>
        <item x="20"/>
        <item x="2"/>
        <item x="21"/>
        <item x="24"/>
        <item x="25"/>
        <item x="28"/>
        <item x="1"/>
        <item x="26"/>
        <item x="27"/>
        <item x="46"/>
        <item x="29"/>
        <item x="0"/>
        <item x="56"/>
        <item x="49"/>
        <item x="30"/>
        <item x="31"/>
        <item x="32"/>
        <item x="34"/>
        <item x="35"/>
        <item x="33"/>
        <item x="36"/>
        <item x="37"/>
        <item x="3"/>
        <item x="38"/>
        <item x="44"/>
        <item x="40"/>
        <item x="41"/>
        <item x="43"/>
        <item x="39"/>
        <item x="42"/>
        <item x="45"/>
        <item x="47"/>
        <item x="48"/>
        <item x="54"/>
        <item x="57"/>
        <item x="50"/>
        <item x="51"/>
        <item x="52"/>
        <item x="53"/>
        <item x="114"/>
        <item x="55"/>
        <item x="58"/>
        <item x="59"/>
        <item x="60"/>
        <item x="61"/>
        <item x="62"/>
        <item x="63"/>
        <item m="1" x="115"/>
        <item x="64"/>
        <item x="65"/>
        <item x="66"/>
        <item x="67"/>
        <item x="68"/>
        <item x="69"/>
        <item x="70"/>
        <item x="71"/>
        <item x="72"/>
        <item x="74"/>
        <item x="75"/>
        <item x="76"/>
        <item x="77"/>
        <item x="79"/>
        <item x="80"/>
        <item x="81"/>
        <item x="82"/>
        <item x="83"/>
        <item x="84"/>
        <item x="85"/>
        <item x="86"/>
        <item x="87"/>
        <item x="88"/>
        <item x="89"/>
        <item x="92"/>
        <item x="90"/>
        <item x="73"/>
        <item x="91"/>
        <item x="93"/>
        <item x="94"/>
        <item x="95"/>
        <item x="96"/>
        <item x="97"/>
        <item x="98"/>
        <item x="99"/>
        <item x="100"/>
        <item x="102"/>
        <item x="101"/>
        <item x="78"/>
        <item x="103"/>
        <item x="104"/>
        <item x="105"/>
        <item x="106"/>
        <item x="107"/>
        <item x="108"/>
        <item x="109"/>
        <item x="110"/>
        <item x="111"/>
        <item x="112"/>
        <item x="113"/>
      </items>
    </pivotField>
    <pivotField compact="0" outline="0" showAll="0" defaultSubtotal="0"/>
    <pivotField compact="0" outline="0" showAll="0"/>
    <pivotField compact="0" outline="0" showAll="0" defaultSubtotal="0"/>
    <pivotField axis="axisRow" compact="0" outline="0" showAll="0" defaultSubtotal="0">
      <items count="118">
        <item x="18"/>
        <item x="26"/>
        <item x="1"/>
        <item x="9"/>
        <item x="23"/>
        <item x="25"/>
        <item x="29"/>
        <item x="40"/>
        <item x="39"/>
        <item x="27"/>
        <item x="34"/>
        <item x="3"/>
        <item m="1" x="115"/>
        <item x="5"/>
        <item x="10"/>
        <item x="46"/>
        <item x="47"/>
        <item x="21"/>
        <item x="12"/>
        <item x="28"/>
        <item x="16"/>
        <item x="17"/>
        <item x="52"/>
        <item m="1" x="114"/>
        <item x="54"/>
        <item x="20"/>
        <item x="45"/>
        <item x="44"/>
        <item x="2"/>
        <item x="37"/>
        <item x="36"/>
        <item x="11"/>
        <item x="31"/>
        <item x="24"/>
        <item x="15"/>
        <item x="30"/>
        <item x="38"/>
        <item x="35"/>
        <item x="6"/>
        <item x="33"/>
        <item x="14"/>
        <item x="4"/>
        <item x="8"/>
        <item x="13"/>
        <item m="1" x="116"/>
        <item x="43"/>
        <item x="41"/>
        <item x="32"/>
        <item x="42"/>
        <item x="7"/>
        <item m="1" x="117"/>
        <item x="48"/>
        <item x="49"/>
        <item x="50"/>
        <item x="51"/>
        <item x="55"/>
        <item x="112"/>
        <item x="19"/>
        <item x="22"/>
        <item x="53"/>
        <item x="57"/>
        <item x="58"/>
        <item x="59"/>
        <item x="0"/>
        <item x="60"/>
        <item x="61"/>
        <item x="71"/>
        <item x="62"/>
        <item x="63"/>
        <item m="1" x="113"/>
        <item x="65"/>
        <item x="64"/>
        <item x="66"/>
        <item x="67"/>
        <item x="68"/>
        <item x="69"/>
        <item x="70"/>
        <item x="72"/>
        <item x="73"/>
        <item x="74"/>
        <item x="75"/>
        <item x="77"/>
        <item x="78"/>
        <item x="79"/>
        <item x="80"/>
        <item x="81"/>
        <item x="56"/>
        <item x="82"/>
        <item x="83"/>
        <item x="84"/>
        <item x="85"/>
        <item x="86"/>
        <item x="87"/>
        <item x="90"/>
        <item x="88"/>
        <item x="89"/>
        <item x="91"/>
        <item x="92"/>
        <item x="93"/>
        <item x="94"/>
        <item x="95"/>
        <item x="96"/>
        <item x="97"/>
        <item x="98"/>
        <item x="99"/>
        <item x="100"/>
        <item x="76"/>
        <item x="101"/>
        <item x="102"/>
        <item x="103"/>
        <item x="104"/>
        <item x="105"/>
        <item x="106"/>
        <item x="107"/>
        <item x="108"/>
        <item x="109"/>
        <item x="110"/>
        <item x="111"/>
      </items>
    </pivotField>
    <pivotField axis="axisRow" compact="0" outline="0" showAll="0" defaultSubtotal="0">
      <items count="9">
        <item m="1" x="7"/>
        <item m="1" x="4"/>
        <item m="1" x="8"/>
        <item x="1"/>
        <item x="2"/>
        <item m="1" x="5"/>
        <item m="1" x="6"/>
        <item m="1" x="3"/>
        <item x="0"/>
      </items>
    </pivotField>
    <pivotField compact="0" outline="0" showAll="0" defaultSubtotal="0"/>
    <pivotField axis="axisRow" compact="0" outline="0" showAll="0" defaultSubtotal="0">
      <items count="93">
        <item x="22"/>
        <item x="9"/>
        <item m="1" x="90"/>
        <item x="37"/>
        <item x="5"/>
        <item x="29"/>
        <item x="19"/>
        <item x="23"/>
        <item x="14"/>
        <item x="8"/>
        <item x="20"/>
        <item x="12"/>
        <item x="39"/>
        <item x="25"/>
        <item x="34"/>
        <item x="28"/>
        <item x="6"/>
        <item x="2"/>
        <item x="11"/>
        <item x="31"/>
        <item x="10"/>
        <item x="4"/>
        <item x="40"/>
        <item x="24"/>
        <item x="41"/>
        <item x="21"/>
        <item x="15"/>
        <item x="38"/>
        <item x="36"/>
        <item x="27"/>
        <item x="16"/>
        <item x="13"/>
        <item x="46"/>
        <item x="0"/>
        <item x="30"/>
        <item x="35"/>
        <item x="33"/>
        <item x="26"/>
        <item x="1"/>
        <item x="17"/>
        <item x="32"/>
        <item x="18"/>
        <item x="3"/>
        <item x="7"/>
        <item m="1" x="92"/>
        <item x="42"/>
        <item x="43"/>
        <item x="44"/>
        <item m="1" x="91"/>
        <item x="47"/>
        <item x="75"/>
        <item x="45"/>
        <item x="48"/>
        <item x="49"/>
        <item x="50"/>
        <item x="51"/>
        <item x="52"/>
        <item x="53"/>
        <item x="61"/>
        <item x="54"/>
        <item x="55"/>
        <item x="56"/>
        <item x="57"/>
        <item x="58"/>
        <item x="59"/>
        <item x="60"/>
        <item x="62"/>
        <item x="63"/>
        <item x="65"/>
        <item x="66"/>
        <item x="67"/>
        <item x="68"/>
        <item x="69"/>
        <item x="70"/>
        <item m="1" x="88"/>
        <item x="72"/>
        <item m="1" x="89"/>
        <item x="73"/>
        <item x="64"/>
        <item x="71"/>
        <item x="74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/>
    <pivotField compact="0" outline="0" showAll="0" defaultSubtotal="0"/>
    <pivotField compact="0" outline="0" showAll="0" defaultSubtotal="0"/>
    <pivotField axis="axisRow" compact="0" outline="0" showAll="0" defaultSubtotal="0">
      <items count="95">
        <item h="1" x="3"/>
        <item h="1" x="2"/>
        <item h="1" x="5"/>
        <item h="1" m="1" x="93"/>
        <item h="1" x="9"/>
        <item h="1" x="8"/>
        <item h="1" x="11"/>
        <item h="1" x="12"/>
        <item h="1" x="10"/>
        <item h="1" m="1" x="88"/>
        <item h="1" x="18"/>
        <item h="1" x="15"/>
        <item h="1" x="20"/>
        <item h="1" x="17"/>
        <item h="1" x="4"/>
        <item h="1" x="14"/>
        <item h="1" x="21"/>
        <item h="1" x="19"/>
        <item h="1" x="22"/>
        <item h="1" x="23"/>
        <item h="1" x="24"/>
        <item h="1" x="0"/>
        <item h="1" x="25"/>
        <item h="1" x="26"/>
        <item h="1" x="27"/>
        <item h="1" x="1"/>
        <item h="1" x="28"/>
        <item h="1" x="29"/>
        <item x="31"/>
        <item x="32"/>
        <item x="30"/>
        <item x="38"/>
        <item x="58"/>
        <item h="1" m="1" x="94"/>
        <item h="1" x="70"/>
        <item h="1" x="7"/>
        <item m="1" x="92"/>
        <item m="1" x="91"/>
        <item x="36"/>
        <item h="1" x="13"/>
        <item h="1" x="16"/>
        <item x="33"/>
        <item x="34"/>
        <item x="35"/>
        <item x="39"/>
        <item x="37"/>
        <item m="1" x="89"/>
        <item m="1" x="90"/>
        <item x="41"/>
        <item x="43"/>
        <item h="1" x="6"/>
        <item x="40"/>
        <item x="42"/>
        <item x="46"/>
        <item x="47"/>
        <item x="45"/>
        <item x="48"/>
        <item x="49"/>
        <item x="50"/>
        <item x="51"/>
        <item x="53"/>
        <item h="1" x="59"/>
        <item h="1" x="60"/>
        <item h="1" x="61"/>
        <item h="1" x="63"/>
        <item h="1" x="64"/>
        <item h="1" x="65"/>
        <item h="1" x="66"/>
        <item h="1" x="52"/>
        <item h="1" x="54"/>
        <item h="1" x="55"/>
        <item h="1" x="56"/>
        <item h="1" x="62"/>
        <item h="1" x="67"/>
        <item h="1" x="68"/>
        <item h="1" x="69"/>
        <item h="1" x="72"/>
        <item h="1" x="71"/>
        <item h="1" x="73"/>
        <item h="1" x="74"/>
        <item h="1" x="75"/>
        <item h="1" x="76"/>
        <item h="1" x="77"/>
        <item h="1" x="78"/>
        <item h="1" x="44"/>
        <item h="1" x="57"/>
        <item h="1" x="79"/>
        <item h="1" x="80"/>
        <item h="1" x="81"/>
        <item h="1" x="82"/>
        <item h="1" x="83"/>
        <item h="1" x="84"/>
        <item h="1" x="85"/>
        <item h="1" x="86"/>
        <item h="1" x="87"/>
      </items>
    </pivotField>
    <pivotField axis="axisRow" compact="0" outline="0" showAll="0" defaultSubtotal="0">
      <items count="90">
        <item x="28"/>
        <item x="2"/>
        <item x="1"/>
        <item x="5"/>
        <item x="8"/>
        <item x="7"/>
        <item x="10"/>
        <item x="11"/>
        <item x="12"/>
        <item x="16"/>
        <item x="14"/>
        <item x="18"/>
        <item x="15"/>
        <item x="19"/>
        <item x="20"/>
        <item x="21"/>
        <item x="22"/>
        <item x="23"/>
        <item x="24"/>
        <item x="25"/>
        <item x="26"/>
        <item x="27"/>
        <item x="29"/>
        <item x="0"/>
        <item x="4"/>
        <item x="33"/>
        <item x="32"/>
        <item x="36"/>
        <item x="37"/>
        <item x="39"/>
        <item m="1" x="88"/>
        <item x="42"/>
        <item x="9"/>
        <item x="6"/>
        <item m="1" x="89"/>
        <item x="43"/>
        <item x="44"/>
        <item x="46"/>
        <item x="47"/>
        <item x="48"/>
        <item x="3"/>
        <item x="13"/>
        <item x="49"/>
        <item x="50"/>
        <item x="51"/>
        <item x="53"/>
        <item x="52"/>
        <item x="17"/>
        <item x="31"/>
        <item x="45"/>
        <item x="34"/>
        <item x="35"/>
        <item x="38"/>
        <item x="30"/>
        <item x="40"/>
        <item x="41"/>
        <item x="70"/>
        <item x="58"/>
        <item x="59"/>
        <item x="60"/>
        <item x="62"/>
        <item x="63"/>
        <item x="64"/>
        <item x="65"/>
        <item x="54"/>
        <item x="55"/>
        <item x="56"/>
        <item x="61"/>
        <item x="66"/>
        <item x="67"/>
        <item x="68"/>
        <item x="69"/>
        <item x="72"/>
        <item x="71"/>
        <item x="73"/>
        <item x="74"/>
        <item x="75"/>
        <item x="76"/>
        <item x="77"/>
        <item x="78"/>
        <item x="57"/>
        <item x="79"/>
        <item x="80"/>
        <item x="81"/>
        <item x="82"/>
        <item x="83"/>
        <item x="84"/>
        <item x="85"/>
        <item x="86"/>
        <item x="87"/>
      </items>
    </pivotField>
    <pivotField dataField="1" compact="0" outline="0" showAll="0" defaultSubtotal="0"/>
    <pivotField compact="0" outline="0" showAll="0" defaultSubtotal="0"/>
    <pivotField compact="0" outline="0" showAl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/>
    <pivotField compact="0" outline="0" showAll="0"/>
    <pivotField compact="0" outline="0" showAll="0" defaultSubtotal="0"/>
    <pivotField compact="0" outline="0" showAll="0"/>
    <pivotField compact="0" outline="0" showAll="0"/>
    <pivotField compact="0" outline="0" showAll="0"/>
    <pivotField compact="0" outline="0" showAll="0"/>
  </pivotFields>
  <rowFields count="6">
    <field x="4"/>
    <field x="9"/>
    <field x="11"/>
    <field x="8"/>
    <field x="18"/>
    <field x="19"/>
  </rowFields>
  <rowItems count="29">
    <i>
      <x v="27"/>
      <x v="3"/>
      <x v="12"/>
      <x v="26"/>
      <x v="30"/>
      <x v="48"/>
    </i>
    <i>
      <x v="30"/>
      <x v="8"/>
      <x v="32"/>
      <x v="24"/>
      <x v="31"/>
      <x v="54"/>
    </i>
    <i>
      <x v="31"/>
      <x v="3"/>
      <x v="24"/>
      <x v="3"/>
      <x v="29"/>
      <x v="50"/>
    </i>
    <i>
      <x v="48"/>
      <x v="3"/>
      <x v="12"/>
      <x v="27"/>
      <x v="30"/>
      <x v="53"/>
    </i>
    <i>
      <x v="49"/>
      <x v="3"/>
      <x v="43"/>
      <x v="15"/>
      <x v="28"/>
      <x v="26"/>
    </i>
    <i>
      <x v="50"/>
      <x v="3"/>
      <x v="22"/>
      <x v="16"/>
      <x v="30"/>
      <x v="25"/>
    </i>
    <i>
      <x v="51"/>
      <x v="3"/>
      <x v="43"/>
      <x v="22"/>
      <x v="38"/>
      <x v="52"/>
    </i>
    <i>
      <x v="52"/>
      <x v="3"/>
      <x v="49"/>
      <x v="55"/>
      <x v="44"/>
      <x v="29"/>
    </i>
    <i>
      <x v="53"/>
      <x v="8"/>
      <x v="45"/>
      <x v="51"/>
      <x v="41"/>
      <x v="51"/>
    </i>
    <i>
      <x v="54"/>
      <x v="3"/>
      <x v="46"/>
      <x v="52"/>
      <x v="42"/>
      <x v="27"/>
    </i>
    <i>
      <x v="55"/>
      <x v="3"/>
      <x v="47"/>
      <x v="53"/>
      <x v="42"/>
      <x v="27"/>
    </i>
    <i>
      <x v="56"/>
      <x v="3"/>
      <x v="51"/>
      <x v="54"/>
      <x v="43"/>
      <x v="28"/>
    </i>
    <i>
      <x v="58"/>
      <x v="3"/>
      <x v="51"/>
      <x v="59"/>
      <x v="45"/>
      <x v="29"/>
    </i>
    <i>
      <x v="59"/>
      <x v="3"/>
      <x v="52"/>
      <x v="86"/>
      <x v="43"/>
      <x v="55"/>
    </i>
    <i>
      <x v="60"/>
      <x v="3"/>
      <x v="53"/>
      <x v="60"/>
      <x v="51"/>
      <x v="31"/>
    </i>
    <i>
      <x v="61"/>
      <x v="3"/>
      <x v="54"/>
      <x v="61"/>
      <x v="48"/>
      <x v="35"/>
    </i>
    <i>
      <x v="62"/>
      <x v="3"/>
      <x v="55"/>
      <x v="62"/>
      <x v="48"/>
      <x v="36"/>
    </i>
    <i>
      <x v="63"/>
      <x v="3"/>
      <x v="56"/>
      <x v="64"/>
      <x v="52"/>
      <x v="49"/>
    </i>
    <i>
      <x v="64"/>
      <x v="3"/>
      <x v="57"/>
      <x v="65"/>
      <x v="49"/>
      <x v="37"/>
    </i>
    <i>
      <x v="67"/>
      <x v="3"/>
      <x v="60"/>
      <x v="68"/>
      <x v="55"/>
      <x v="49"/>
    </i>
    <i>
      <x v="68"/>
      <x v="3"/>
      <x v="61"/>
      <x v="71"/>
      <x v="53"/>
      <x v="38"/>
    </i>
    <i>
      <x v="69"/>
      <x v="3"/>
      <x v="19"/>
      <x v="70"/>
      <x v="54"/>
      <x v="39"/>
    </i>
    <i>
      <x v="70"/>
      <x v="3"/>
      <x v="23"/>
      <x v="72"/>
      <x v="56"/>
      <x v="42"/>
    </i>
    <i>
      <x v="71"/>
      <x v="3"/>
      <x v="62"/>
      <x v="73"/>
      <x v="57"/>
      <x v="43"/>
    </i>
    <i>
      <x v="72"/>
      <x v="3"/>
      <x v="63"/>
      <x v="74"/>
      <x v="57"/>
      <x v="43"/>
    </i>
    <i>
      <x v="73"/>
      <x v="3"/>
      <x v="64"/>
      <x v="75"/>
      <x v="58"/>
      <x v="44"/>
    </i>
    <i>
      <x v="74"/>
      <x v="3"/>
      <x v="65"/>
      <x v="76"/>
      <x v="59"/>
      <x v="46"/>
    </i>
    <i>
      <x v="75"/>
      <x v="3"/>
      <x v="66"/>
      <x v="77"/>
      <x v="60"/>
      <x v="45"/>
    </i>
    <i>
      <x v="79"/>
      <x v="3"/>
      <x v="25"/>
      <x v="81"/>
      <x v="32"/>
      <x v="48"/>
    </i>
  </rowItems>
  <colItems count="1">
    <i/>
  </colItems>
  <dataFields count="1">
    <dataField name="Soma de VALOR CONTRATO" fld="20" baseField="0" baseItem="0" numFmtId="4"/>
  </dataFields>
  <formats count="6">
    <format dxfId="204">
      <pivotArea field="18" type="button" dataOnly="0" labelOnly="1" outline="0" axis="axisRow" fieldPosition="6"/>
    </format>
    <format dxfId="203">
      <pivotArea outline="0" fieldPosition="0">
        <references count="1">
          <reference field="4294967294" count="1">
            <x v="0"/>
          </reference>
        </references>
      </pivotArea>
    </format>
    <format dxfId="202">
      <pivotArea field="18" type="button" dataOnly="0" labelOnly="1" outline="0" axis="axisRow" fieldPosition="6"/>
    </format>
    <format dxfId="201">
      <pivotArea field="18" type="button" dataOnly="0" labelOnly="1" outline="0" axis="axisRow" fieldPosition="6"/>
    </format>
    <format dxfId="200">
      <pivotArea field="18" type="button" dataOnly="0" labelOnly="1" outline="0" axis="axisRow" fieldPosition="6"/>
    </format>
    <format dxfId="199">
      <pivotArea field="18" type="button" dataOnly="0" labelOnly="1" outline="0" axis="axisRow" fieldPosition="6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1000000}" name="Tabela dinâmica1" cacheId="3" applyNumberFormats="0" applyBorderFormats="0" applyFontFormats="0" applyPatternFormats="0" applyAlignmentFormats="0" applyWidthHeightFormats="1" dataCaption="Valores" updatedVersion="8" minRefreshableVersion="3" showDrill="0" rowGrandTotals="0" colGrandTotals="0" itemPrintTitles="1" createdVersion="6" indent="0" compact="0" compactData="0" multipleFieldFilters="0">
  <location ref="B5:Q5" firstHeaderRow="1" firstDataRow="1" firstDataCol="15"/>
  <pivotFields count="38">
    <pivotField axis="axisRow" compact="0" numFmtId="14" outline="0" showAll="0" defaultSubtotal="0">
      <items count="96">
        <item x="4"/>
        <item x="5"/>
        <item x="6"/>
        <item x="7"/>
        <item x="8"/>
        <item x="10"/>
        <item x="9"/>
        <item x="11"/>
        <item x="12"/>
        <item x="13"/>
        <item x="14"/>
        <item x="15"/>
        <item x="17"/>
        <item x="20"/>
        <item x="18"/>
        <item x="19"/>
        <item x="21"/>
        <item x="16"/>
        <item x="22"/>
        <item x="23"/>
        <item x="24"/>
        <item x="25"/>
        <item x="26"/>
        <item m="1" x="95"/>
        <item x="27"/>
        <item x="2"/>
        <item x="28"/>
        <item x="30"/>
        <item x="31"/>
        <item x="29"/>
        <item x="32"/>
        <item x="1"/>
        <item x="33"/>
        <item x="34"/>
        <item x="3"/>
        <item x="35"/>
        <item x="36"/>
        <item x="37"/>
        <item x="45"/>
        <item x="40"/>
        <item x="41"/>
        <item x="38"/>
        <item x="39"/>
        <item x="43"/>
        <item x="46"/>
        <item x="42"/>
        <item x="44"/>
        <item x="48"/>
        <item x="49"/>
        <item x="50"/>
        <item x="51"/>
        <item x="52"/>
        <item x="0"/>
        <item x="53"/>
        <item x="54"/>
        <item x="55"/>
        <item x="56"/>
        <item x="57"/>
        <item x="58"/>
        <item x="59"/>
        <item x="60"/>
        <item x="61"/>
        <item x="63"/>
        <item x="64"/>
        <item x="66"/>
        <item x="67"/>
        <item x="68"/>
        <item x="69"/>
        <item x="70"/>
        <item x="47"/>
        <item x="71"/>
        <item x="72"/>
        <item x="73"/>
        <item x="74"/>
        <item x="76"/>
        <item x="75"/>
        <item m="1" x="94"/>
        <item x="77"/>
        <item x="62"/>
        <item x="78"/>
        <item x="79"/>
        <item x="80"/>
        <item x="81"/>
        <item x="82"/>
        <item x="65"/>
        <item x="83"/>
        <item x="84"/>
        <item x="85"/>
        <item x="86"/>
        <item x="87"/>
        <item x="88"/>
        <item x="89"/>
        <item x="90"/>
        <item x="91"/>
        <item x="92"/>
        <item x="9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/>
    <pivotField compact="0" outline="0" showAll="0" defaultSubtotal="0"/>
    <pivotField compact="0" outline="0" subtotalTop="0" showAll="0" defaultSubtotal="0"/>
    <pivotField axis="axisRow" compact="0" outline="0" showAll="0" defaultSubtotal="0">
      <items count="116">
        <item x="5"/>
        <item x="6"/>
        <item x="10"/>
        <item x="8"/>
        <item x="4"/>
        <item x="18"/>
        <item x="9"/>
        <item x="7"/>
        <item x="13"/>
        <item x="11"/>
        <item x="12"/>
        <item x="15"/>
        <item x="14"/>
        <item x="19"/>
        <item x="16"/>
        <item x="23"/>
        <item x="22"/>
        <item x="17"/>
        <item x="20"/>
        <item x="2"/>
        <item x="21"/>
        <item x="24"/>
        <item x="25"/>
        <item x="28"/>
        <item x="1"/>
        <item x="26"/>
        <item x="27"/>
        <item x="46"/>
        <item x="29"/>
        <item x="0"/>
        <item x="56"/>
        <item x="49"/>
        <item x="30"/>
        <item x="31"/>
        <item x="32"/>
        <item x="34"/>
        <item x="35"/>
        <item x="33"/>
        <item x="36"/>
        <item x="37"/>
        <item x="3"/>
        <item x="38"/>
        <item x="44"/>
        <item x="40"/>
        <item x="41"/>
        <item x="43"/>
        <item x="39"/>
        <item x="42"/>
        <item x="45"/>
        <item x="47"/>
        <item x="48"/>
        <item x="54"/>
        <item x="57"/>
        <item x="50"/>
        <item x="51"/>
        <item x="52"/>
        <item x="53"/>
        <item x="114"/>
        <item x="55"/>
        <item x="58"/>
        <item x="59"/>
        <item x="60"/>
        <item x="61"/>
        <item x="62"/>
        <item x="63"/>
        <item m="1" x="115"/>
        <item x="64"/>
        <item x="65"/>
        <item x="66"/>
        <item x="67"/>
        <item x="68"/>
        <item x="69"/>
        <item x="70"/>
        <item x="71"/>
        <item x="72"/>
        <item x="74"/>
        <item x="75"/>
        <item x="76"/>
        <item x="77"/>
        <item x="79"/>
        <item x="80"/>
        <item x="81"/>
        <item x="82"/>
        <item x="83"/>
        <item x="84"/>
        <item x="85"/>
        <item x="86"/>
        <item x="87"/>
        <item x="88"/>
        <item x="89"/>
        <item x="92"/>
        <item x="90"/>
        <item x="91"/>
        <item x="93"/>
        <item x="94"/>
        <item x="73"/>
        <item x="95"/>
        <item x="96"/>
        <item x="97"/>
        <item x="98"/>
        <item x="99"/>
        <item x="100"/>
        <item x="102"/>
        <item x="101"/>
        <item x="78"/>
        <item x="103"/>
        <item x="104"/>
        <item x="105"/>
        <item x="106"/>
        <item x="107"/>
        <item x="108"/>
        <item x="109"/>
        <item x="110"/>
        <item x="111"/>
        <item x="112"/>
        <item x="113"/>
      </items>
    </pivotField>
    <pivotField compact="0" outline="0" showAll="0" defaultSubtotal="0"/>
    <pivotField compact="0" outline="0" subtotalTop="0" showAll="0" defaultSubtotal="0"/>
    <pivotField axis="axisRow" compact="0" outline="0" showAll="0" defaultSubtotal="0">
      <items count="4">
        <item x="1"/>
        <item x="2"/>
        <item x="0"/>
        <item x="3"/>
      </items>
    </pivotField>
    <pivotField axis="axisRow" compact="0" outline="0" showAll="0" defaultSubtotal="0">
      <items count="118">
        <item x="18"/>
        <item x="26"/>
        <item x="1"/>
        <item x="9"/>
        <item x="23"/>
        <item x="25"/>
        <item x="29"/>
        <item x="40"/>
        <item x="39"/>
        <item x="27"/>
        <item x="34"/>
        <item x="3"/>
        <item m="1" x="115"/>
        <item x="5"/>
        <item x="10"/>
        <item x="46"/>
        <item x="47"/>
        <item x="21"/>
        <item x="12"/>
        <item x="28"/>
        <item x="16"/>
        <item x="17"/>
        <item x="52"/>
        <item m="1" x="114"/>
        <item x="54"/>
        <item x="20"/>
        <item x="45"/>
        <item x="44"/>
        <item x="2"/>
        <item x="37"/>
        <item x="36"/>
        <item x="11"/>
        <item x="31"/>
        <item x="24"/>
        <item x="15"/>
        <item x="30"/>
        <item x="38"/>
        <item x="35"/>
        <item x="6"/>
        <item x="33"/>
        <item x="14"/>
        <item x="4"/>
        <item x="8"/>
        <item x="13"/>
        <item m="1" x="116"/>
        <item x="43"/>
        <item x="41"/>
        <item x="32"/>
        <item x="42"/>
        <item x="7"/>
        <item m="1" x="117"/>
        <item x="48"/>
        <item x="49"/>
        <item x="50"/>
        <item x="51"/>
        <item n="Participação da Telebras, por meio de ação promocional, no Evento Abrint Global Congress 2025, organizado exclusivamente pela Abrint - Associação Brasileira de Provedores de Internet. O evento ocorrerá no Anhembi, em São Paulo, de 07 a 09 de maio de 2025" x="55"/>
        <item x="112"/>
        <item x="19"/>
        <item x="22"/>
        <item x="53"/>
        <item x="57"/>
        <item x="58"/>
        <item x="59"/>
        <item x="0"/>
        <item x="60"/>
        <item x="61"/>
        <item x="71"/>
        <item x="62"/>
        <item x="63"/>
        <item m="1" x="113"/>
        <item x="65"/>
        <item x="64"/>
        <item x="66"/>
        <item x="67"/>
        <item x="68"/>
        <item x="69"/>
        <item x="70"/>
        <item x="72"/>
        <item x="73"/>
        <item x="74"/>
        <item x="75"/>
        <item x="77"/>
        <item x="78"/>
        <item x="79"/>
        <item x="80"/>
        <item x="81"/>
        <item x="56"/>
        <item x="82"/>
        <item x="83"/>
        <item x="84"/>
        <item x="85"/>
        <item x="86"/>
        <item x="87"/>
        <item x="90"/>
        <item x="88"/>
        <item x="89"/>
        <item x="91"/>
        <item x="92"/>
        <item x="93"/>
        <item x="94"/>
        <item x="95"/>
        <item x="96"/>
        <item x="97"/>
        <item x="98"/>
        <item x="99"/>
        <item x="100"/>
        <item x="76"/>
        <item x="101"/>
        <item x="102"/>
        <item x="103"/>
        <item x="104"/>
        <item x="105"/>
        <item x="106"/>
        <item x="107"/>
        <item x="108"/>
        <item x="109"/>
        <item x="110"/>
        <item x="111"/>
      </items>
    </pivotField>
    <pivotField axis="axisRow" compact="0" outline="0" showAll="0" defaultSubtotal="0">
      <items count="9">
        <item m="1" x="7"/>
        <item m="1" x="4"/>
        <item m="1" x="8"/>
        <item x="1"/>
        <item x="2"/>
        <item m="1" x="5"/>
        <item m="1" x="6"/>
        <item m="1" x="3"/>
        <item x="0"/>
      </items>
    </pivotField>
    <pivotField compact="0" outline="0" showAll="0" defaultSubtotal="0"/>
    <pivotField axis="axisRow" compact="0" outline="0" showAll="0" defaultSubtotal="0">
      <items count="93">
        <item x="22"/>
        <item x="9"/>
        <item m="1" x="90"/>
        <item x="37"/>
        <item x="5"/>
        <item x="29"/>
        <item x="19"/>
        <item x="23"/>
        <item x="14"/>
        <item x="8"/>
        <item x="20"/>
        <item x="12"/>
        <item x="39"/>
        <item x="25"/>
        <item x="34"/>
        <item x="28"/>
        <item x="6"/>
        <item x="2"/>
        <item x="11"/>
        <item x="31"/>
        <item x="10"/>
        <item x="4"/>
        <item x="40"/>
        <item x="24"/>
        <item x="41"/>
        <item x="21"/>
        <item x="15"/>
        <item x="38"/>
        <item x="36"/>
        <item x="27"/>
        <item x="16"/>
        <item x="13"/>
        <item x="46"/>
        <item x="0"/>
        <item x="30"/>
        <item x="35"/>
        <item x="33"/>
        <item x="26"/>
        <item x="1"/>
        <item x="17"/>
        <item x="32"/>
        <item x="18"/>
        <item x="3"/>
        <item x="7"/>
        <item m="1" x="92"/>
        <item x="42"/>
        <item x="43"/>
        <item n="MODERN PMO GESTAO E TECNOLOGIA LTDA GESTAO E TECNOLOGIA LTDA" x="44"/>
        <item m="1" x="91"/>
        <item x="47"/>
        <item x="75"/>
        <item x="45"/>
        <item x="48"/>
        <item x="49"/>
        <item x="50"/>
        <item x="51"/>
        <item x="52"/>
        <item x="53"/>
        <item x="61"/>
        <item x="54"/>
        <item x="55"/>
        <item x="56"/>
        <item x="57"/>
        <item x="58"/>
        <item x="59"/>
        <item x="60"/>
        <item x="62"/>
        <item x="63"/>
        <item x="65"/>
        <item x="66"/>
        <item x="67"/>
        <item x="68"/>
        <item x="69"/>
        <item x="70"/>
        <item m="1" x="88"/>
        <item x="72"/>
        <item m="1" x="89"/>
        <item x="73"/>
        <item x="64"/>
        <item x="71"/>
        <item x="74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</items>
    </pivotField>
    <pivotField axis="axisRow" compact="0" outline="0" showAll="0" defaultSubtotal="0">
      <items count="82">
        <item x="39"/>
        <item x="41"/>
        <item x="35"/>
        <item x="42"/>
        <item x="20"/>
        <item x="37"/>
        <item x="9"/>
        <item x="24"/>
        <item x="3"/>
        <item x="15"/>
        <item x="28"/>
        <item x="21"/>
        <item x="34"/>
        <item x="32"/>
        <item x="23"/>
        <item x="12"/>
        <item x="10"/>
        <item x="14"/>
        <item x="0"/>
        <item x="13"/>
        <item x="4"/>
        <item x="40"/>
        <item x="29"/>
        <item x="25"/>
        <item x="44"/>
        <item x="26"/>
        <item x="1"/>
        <item x="22"/>
        <item x="2"/>
        <item x="16"/>
        <item x="38"/>
        <item x="33"/>
        <item x="31"/>
        <item x="18"/>
        <item x="30"/>
        <item x="27"/>
        <item x="19"/>
        <item x="11"/>
        <item x="6"/>
        <item x="36"/>
        <item x="17"/>
        <item x="7"/>
        <item x="5"/>
        <item x="8"/>
        <item x="43"/>
        <item x="45"/>
        <item x="46"/>
        <item x="47"/>
        <item x="48"/>
        <item x="49"/>
        <item x="57"/>
        <item x="50"/>
        <item x="51"/>
        <item x="52"/>
        <item x="53"/>
        <item x="54"/>
        <item x="55"/>
        <item x="56"/>
        <item x="58"/>
        <item x="59"/>
        <item x="61"/>
        <item x="62"/>
        <item x="63"/>
        <item x="64"/>
        <item x="65"/>
        <item x="66"/>
        <item x="67"/>
        <item m="1" x="80"/>
        <item x="69"/>
        <item m="1" x="81"/>
        <item x="70"/>
        <item x="60"/>
        <item x="68"/>
        <item x="71"/>
        <item x="72"/>
        <item x="73"/>
        <item x="74"/>
        <item x="75"/>
        <item x="76"/>
        <item x="77"/>
        <item x="78"/>
        <item x="79"/>
      </items>
    </pivotField>
    <pivotField axis="axisRow" compact="0" outline="0" showAll="0" defaultSubtotal="0">
      <items count="6">
        <item h="1" x="1"/>
        <item x="0"/>
        <item x="4"/>
        <item x="2"/>
        <item x="3"/>
        <item x="5"/>
      </items>
    </pivotField>
    <pivotField compact="0" outline="0" showAll="0" defaultSubtotal="0">
      <items count="88">
        <item x="5"/>
        <item x="4"/>
        <item x="8"/>
        <item x="7"/>
        <item x="12"/>
        <item x="11"/>
        <item x="13"/>
        <item x="15"/>
        <item x="14"/>
        <item x="16"/>
        <item x="10"/>
        <item x="9"/>
        <item x="17"/>
        <item x="6"/>
        <item x="22"/>
        <item x="19"/>
        <item x="20"/>
        <item x="24"/>
        <item x="21"/>
        <item x="18"/>
        <item x="25"/>
        <item x="23"/>
        <item x="27"/>
        <item x="28"/>
        <item x="29"/>
        <item x="0"/>
        <item x="30"/>
        <item x="31"/>
        <item x="32"/>
        <item x="35"/>
        <item x="33"/>
        <item x="34"/>
        <item x="36"/>
        <item x="38"/>
        <item x="2"/>
        <item x="39"/>
        <item x="41"/>
        <item x="37"/>
        <item x="40"/>
        <item x="43"/>
        <item x="42"/>
        <item x="1"/>
        <item x="3"/>
        <item x="26"/>
        <item x="44"/>
        <item x="45"/>
        <item x="46"/>
        <item x="56"/>
        <item x="49"/>
        <item x="47"/>
        <item x="50"/>
        <item x="48"/>
        <item x="54"/>
        <item x="52"/>
        <item x="51"/>
        <item x="53"/>
        <item x="57"/>
        <item x="74"/>
        <item x="55"/>
        <item m="1" x="84"/>
        <item x="59"/>
        <item m="1" x="87"/>
        <item m="1" x="85"/>
        <item m="1" x="86"/>
        <item x="73"/>
        <item x="60"/>
        <item x="61"/>
        <item x="63"/>
        <item x="62"/>
        <item x="64"/>
        <item x="65"/>
        <item x="66"/>
        <item x="67"/>
        <item x="68"/>
        <item x="69"/>
        <item x="70"/>
        <item x="71"/>
        <item x="72"/>
        <item m="1" x="80"/>
        <item x="76"/>
        <item x="77"/>
        <item x="78"/>
        <item x="79"/>
        <item x="58"/>
        <item m="1" x="81"/>
        <item m="1" x="82"/>
        <item m="1" x="83"/>
        <item x="75"/>
      </items>
    </pivotField>
    <pivotField axis="axisRow" compact="0" outline="0" subtotalTop="0" showAll="0" defaultSubtotal="0">
      <items count="114">
        <item x="78"/>
        <item x="103"/>
        <item x="107"/>
        <item x="110"/>
        <item x="109"/>
        <item x="113"/>
        <item x="5"/>
        <item x="4"/>
        <item x="8"/>
        <item x="7"/>
        <item x="12"/>
        <item x="11"/>
        <item x="13"/>
        <item x="15"/>
        <item x="14"/>
        <item x="16"/>
        <item x="10"/>
        <item x="17"/>
        <item x="6"/>
        <item x="22"/>
        <item x="20"/>
        <item x="24"/>
        <item x="21"/>
        <item x="18"/>
        <item x="25"/>
        <item x="23"/>
        <item x="27"/>
        <item x="28"/>
        <item x="29"/>
        <item x="30"/>
        <item x="31"/>
        <item x="32"/>
        <item x="35"/>
        <item x="33"/>
        <item x="34"/>
        <item x="36"/>
        <item x="38"/>
        <item x="2"/>
        <item x="39"/>
        <item x="41"/>
        <item x="37"/>
        <item x="40"/>
        <item x="43"/>
        <item x="42"/>
        <item x="1"/>
        <item x="3"/>
        <item x="26"/>
        <item x="44"/>
        <item x="63"/>
        <item x="49"/>
        <item x="47"/>
        <item x="48"/>
        <item x="54"/>
        <item x="52"/>
        <item x="51"/>
        <item x="53"/>
        <item x="55"/>
        <item x="59"/>
        <item x="60"/>
        <item x="61"/>
        <item x="73"/>
        <item x="65"/>
        <item x="66"/>
        <item x="64"/>
        <item x="67"/>
        <item x="68"/>
        <item x="69"/>
        <item x="70"/>
        <item x="71"/>
        <item x="0"/>
        <item x="57"/>
        <item x="89"/>
        <item x="83"/>
        <item x="9"/>
        <item x="19"/>
        <item x="56"/>
        <item x="46"/>
        <item x="45"/>
        <item x="50"/>
        <item x="58"/>
        <item x="62"/>
        <item x="86"/>
        <item x="76"/>
        <item x="75"/>
        <item x="87"/>
        <item x="90"/>
        <item x="77"/>
        <item x="74"/>
        <item x="72"/>
        <item x="84"/>
        <item x="79"/>
        <item x="80"/>
        <item x="81"/>
        <item x="82"/>
        <item x="85"/>
        <item x="88"/>
        <item x="91"/>
        <item x="94"/>
        <item x="93"/>
        <item x="95"/>
        <item x="96"/>
        <item x="98"/>
        <item x="97"/>
        <item x="99"/>
        <item x="100"/>
        <item x="101"/>
        <item x="102"/>
        <item x="104"/>
        <item x="105"/>
        <item x="108"/>
        <item x="111"/>
        <item x="112"/>
        <item x="92"/>
        <item x="106"/>
      </items>
    </pivotField>
    <pivotField compact="0" outline="0" showAll="0" defaultSubtotal="0"/>
    <pivotField axis="axisRow" compact="0" outline="0" showAll="0" defaultSubtotal="0">
      <items count="95">
        <item x="24"/>
        <item x="29"/>
        <item x="3"/>
        <item x="2"/>
        <item x="5"/>
        <item x="9"/>
        <item x="8"/>
        <item x="10"/>
        <item x="12"/>
        <item x="11"/>
        <item x="13"/>
        <item m="1" x="93"/>
        <item m="1" x="94"/>
        <item x="14"/>
        <item x="4"/>
        <item x="19"/>
        <item x="17"/>
        <item x="21"/>
        <item x="18"/>
        <item x="15"/>
        <item x="22"/>
        <item x="20"/>
        <item x="25"/>
        <item x="26"/>
        <item x="0"/>
        <item x="27"/>
        <item x="28"/>
        <item x="7"/>
        <item x="30"/>
        <item x="1"/>
        <item x="23"/>
        <item x="31"/>
        <item x="33"/>
        <item x="35"/>
        <item x="34"/>
        <item x="32"/>
        <item x="36"/>
        <item x="39"/>
        <item x="37"/>
        <item x="38"/>
        <item x="41"/>
        <item x="74"/>
        <item x="40"/>
        <item x="42"/>
        <item x="43"/>
        <item x="44"/>
        <item x="47"/>
        <item x="45"/>
        <item x="6"/>
        <item x="16"/>
        <item x="46"/>
        <item x="49"/>
        <item x="50"/>
        <item x="51"/>
        <item x="52"/>
        <item x="53"/>
        <item x="54"/>
        <item x="55"/>
        <item x="57"/>
        <item x="62"/>
        <item m="1" x="92"/>
        <item x="64"/>
        <item x="65"/>
        <item x="63"/>
        <item x="67"/>
        <item x="68"/>
        <item x="69"/>
        <item x="70"/>
        <item m="1" x="91"/>
        <item x="58"/>
        <item x="59"/>
        <item x="60"/>
        <item x="66"/>
        <item x="71"/>
        <item x="72"/>
        <item x="73"/>
        <item x="76"/>
        <item x="56"/>
        <item x="75"/>
        <item x="77"/>
        <item x="78"/>
        <item x="79"/>
        <item x="80"/>
        <item x="81"/>
        <item x="82"/>
        <item x="48"/>
        <item x="61"/>
        <item x="83"/>
        <item x="84"/>
        <item x="85"/>
        <item x="86"/>
        <item x="87"/>
        <item x="88"/>
        <item x="89"/>
        <item x="9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5">
        <item h="1" x="3"/>
        <item h="1" x="2"/>
        <item h="1" x="5"/>
        <item h="1" m="1" x="93"/>
        <item h="1" x="9"/>
        <item h="1" x="8"/>
        <item h="1" x="11"/>
        <item h="1" x="12"/>
        <item h="1" x="10"/>
        <item h="1" m="1" x="88"/>
        <item h="1" x="18"/>
        <item h="1" x="15"/>
        <item h="1" x="20"/>
        <item h="1" x="17"/>
        <item h="1" x="4"/>
        <item h="1" x="14"/>
        <item h="1" x="21"/>
        <item h="1" x="19"/>
        <item h="1" x="22"/>
        <item h="1" x="23"/>
        <item h="1" x="24"/>
        <item h="1" x="0"/>
        <item h="1" x="25"/>
        <item h="1" x="26"/>
        <item h="1" x="27"/>
        <item h="1" x="1"/>
        <item h="1" x="28"/>
        <item h="1" x="29"/>
        <item h="1" x="31"/>
        <item h="1" x="32"/>
        <item h="1" x="30"/>
        <item h="1" x="38"/>
        <item h="1" x="58"/>
        <item h="1" m="1" x="94"/>
        <item h="1" x="70"/>
        <item h="1" x="7"/>
        <item h="1" m="1" x="92"/>
        <item h="1" m="1" x="91"/>
        <item h="1" x="36"/>
        <item h="1" x="13"/>
        <item h="1" x="16"/>
        <item h="1" x="33"/>
        <item h="1" x="34"/>
        <item h="1" x="35"/>
        <item h="1" x="39"/>
        <item h="1" x="37"/>
        <item h="1" m="1" x="89"/>
        <item h="1" m="1" x="90"/>
        <item h="1" x="41"/>
        <item h="1" x="43"/>
        <item h="1" x="6"/>
        <item h="1" x="40"/>
        <item h="1" x="42"/>
        <item h="1" x="46"/>
        <item h="1" x="47"/>
        <item h="1" x="45"/>
        <item h="1" x="48"/>
        <item h="1" x="49"/>
        <item h="1" x="50"/>
        <item h="1" x="51"/>
        <item h="1" x="53"/>
        <item h="1" x="59"/>
        <item h="1" x="60"/>
        <item h="1" x="61"/>
        <item h="1" x="63"/>
        <item h="1" x="64"/>
        <item h="1" x="65"/>
        <item h="1" x="66"/>
        <item h="1" x="52"/>
        <item h="1" x="54"/>
        <item h="1" x="55"/>
        <item x="56"/>
        <item x="62"/>
        <item x="67"/>
        <item h="1" x="68"/>
        <item x="69"/>
        <item x="72"/>
        <item x="71"/>
        <item x="73"/>
        <item x="74"/>
        <item x="75"/>
        <item x="76"/>
        <item x="77"/>
        <item x="78"/>
        <item h="1" x="44"/>
        <item h="1" x="57"/>
        <item x="79"/>
        <item x="80"/>
        <item x="81"/>
        <item x="82"/>
        <item x="83"/>
        <item x="84"/>
        <item x="85"/>
        <item x="86"/>
        <item x="87"/>
      </items>
    </pivotField>
    <pivotField axis="axisRow" compact="0" outline="0" showAll="0" defaultSubtotal="0">
      <items count="90">
        <item x="28"/>
        <item x="2"/>
        <item x="1"/>
        <item x="5"/>
        <item x="8"/>
        <item x="7"/>
        <item x="10"/>
        <item x="11"/>
        <item x="12"/>
        <item x="16"/>
        <item x="14"/>
        <item x="18"/>
        <item x="15"/>
        <item x="19"/>
        <item x="20"/>
        <item x="21"/>
        <item x="22"/>
        <item x="23"/>
        <item x="24"/>
        <item x="25"/>
        <item x="26"/>
        <item x="27"/>
        <item x="29"/>
        <item x="0"/>
        <item x="4"/>
        <item x="33"/>
        <item x="32"/>
        <item x="36"/>
        <item x="37"/>
        <item x="39"/>
        <item m="1" x="88"/>
        <item x="42"/>
        <item x="9"/>
        <item x="6"/>
        <item m="1" x="89"/>
        <item x="43"/>
        <item x="44"/>
        <item x="46"/>
        <item x="47"/>
        <item x="48"/>
        <item x="3"/>
        <item x="13"/>
        <item x="49"/>
        <item x="50"/>
        <item x="51"/>
        <item x="53"/>
        <item x="52"/>
        <item x="17"/>
        <item x="31"/>
        <item x="62"/>
        <item x="58"/>
        <item x="59"/>
        <item x="60"/>
        <item x="63"/>
        <item x="45"/>
        <item x="34"/>
        <item x="35"/>
        <item x="38"/>
        <item x="64"/>
        <item x="30"/>
        <item x="40"/>
        <item x="41"/>
        <item x="65"/>
        <item x="70"/>
        <item x="54"/>
        <item x="55"/>
        <item x="56"/>
        <item x="61"/>
        <item x="67"/>
        <item x="68"/>
        <item x="69"/>
        <item x="72"/>
        <item x="71"/>
        <item x="73"/>
        <item x="74"/>
        <item x="75"/>
        <item x="76"/>
        <item x="77"/>
        <item x="78"/>
        <item x="66"/>
        <item x="57"/>
        <item x="79"/>
        <item x="80"/>
        <item x="81"/>
        <item x="82"/>
        <item x="83"/>
        <item x="84"/>
        <item x="85"/>
        <item x="86"/>
        <item x="87"/>
      </items>
    </pivotField>
    <pivotField dataField="1" compact="0" outline="0" showAll="0" defaultSubtotal="0"/>
    <pivotField compact="0" outline="0" showAll="0" defaultSubtotal="0"/>
    <pivotField compact="0" outline="0" subtotalTop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ubtotalTop="0" showAll="0" defaultSubtotal="0">
      <items count="60">
        <item x="43"/>
        <item x="50"/>
        <item x="40"/>
        <item x="12"/>
        <item x="6"/>
        <item x="28"/>
        <item x="2"/>
        <item x="14"/>
        <item x="44"/>
        <item x="11"/>
        <item x="45"/>
        <item x="15"/>
        <item x="46"/>
        <item x="16"/>
        <item x="47"/>
        <item x="17"/>
        <item x="48"/>
        <item x="19"/>
        <item x="52"/>
        <item x="5"/>
        <item x="30"/>
        <item x="18"/>
        <item x="51"/>
        <item x="20"/>
        <item x="53"/>
        <item x="21"/>
        <item x="54"/>
        <item x="22"/>
        <item x="55"/>
        <item x="36"/>
        <item x="56"/>
        <item x="57"/>
        <item x="58"/>
        <item x="59"/>
        <item x="24"/>
        <item x="3"/>
        <item x="25"/>
        <item x="27"/>
        <item x="29"/>
        <item x="37"/>
        <item x="31"/>
        <item x="32"/>
        <item x="33"/>
        <item x="34"/>
        <item x="4"/>
        <item x="35"/>
        <item x="13"/>
        <item x="38"/>
        <item x="7"/>
        <item x="39"/>
        <item x="8"/>
        <item x="9"/>
        <item x="41"/>
        <item x="1"/>
        <item x="42"/>
        <item x="10"/>
        <item x="23"/>
        <item x="26"/>
        <item x="49"/>
        <item x="0"/>
      </items>
    </pivotField>
    <pivotField axis="axisRow" compact="0" outline="0" showAll="0" defaultSubtotal="0">
      <items count="38">
        <item x="12"/>
        <item x="6"/>
        <item x="10"/>
        <item x="5"/>
        <item x="3"/>
        <item x="4"/>
        <item x="13"/>
        <item x="7"/>
        <item x="8"/>
        <item x="9"/>
        <item x="1"/>
        <item x="2"/>
        <item x="14"/>
        <item x="11"/>
        <item x="15"/>
        <item x="28"/>
        <item x="16"/>
        <item x="17"/>
        <item x="19"/>
        <item x="20"/>
        <item x="21"/>
        <item x="22"/>
        <item x="35"/>
        <item x="23"/>
        <item x="24"/>
        <item x="25"/>
        <item x="27"/>
        <item x="29"/>
        <item x="36"/>
        <item x="31"/>
        <item x="32"/>
        <item x="33"/>
        <item x="34"/>
        <item x="18"/>
        <item x="26"/>
        <item x="30"/>
        <item x="0"/>
        <item x="37"/>
      </items>
    </pivotField>
    <pivotField axis="axisRow" compact="0" outline="0" showAll="0" defaultSubtotal="0">
      <items count="3">
        <item h="1" x="1"/>
        <item x="0"/>
        <item h="1" x="2"/>
      </items>
    </pivotField>
    <pivotField compact="0" outline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</pivotFields>
  <rowFields count="15">
    <field x="0"/>
    <field x="17"/>
    <field x="4"/>
    <field x="15"/>
    <field x="13"/>
    <field x="11"/>
    <field x="12"/>
    <field x="8"/>
    <field x="7"/>
    <field x="9"/>
    <field x="18"/>
    <field x="19"/>
    <field x="32"/>
    <field x="33"/>
    <field x="31"/>
  </rowFields>
  <colItems count="1">
    <i/>
  </colItems>
  <dataFields count="1">
    <dataField name=" VALOR CONTRATO" fld="20" baseField="0" baseItem="0" numFmtId="4"/>
  </dataFields>
  <formats count="132">
    <format dxfId="198">
      <pivotArea field="18" type="button" dataOnly="0" labelOnly="1" outline="0" axis="axisRow" fieldPosition="10"/>
    </format>
    <format dxfId="197">
      <pivotArea outline="0" fieldPosition="0">
        <references count="1">
          <reference field="4294967294" count="1">
            <x v="0"/>
          </reference>
        </references>
      </pivotArea>
    </format>
    <format dxfId="196">
      <pivotArea field="18" type="button" dataOnly="0" labelOnly="1" outline="0" axis="axisRow" fieldPosition="10"/>
    </format>
    <format dxfId="195">
      <pivotArea field="18" type="button" dataOnly="0" labelOnly="1" outline="0" axis="axisRow" fieldPosition="10"/>
    </format>
    <format dxfId="194">
      <pivotArea field="18" type="button" dataOnly="0" labelOnly="1" outline="0" axis="axisRow" fieldPosition="10"/>
    </format>
    <format dxfId="193">
      <pivotArea field="18" type="button" dataOnly="0" labelOnly="1" outline="0" axis="axisRow" fieldPosition="10"/>
    </format>
    <format dxfId="192">
      <pivotArea field="0" type="button" dataOnly="0" labelOnly="1" outline="0" axis="axisRow" fieldPosition="0"/>
    </format>
    <format dxfId="191">
      <pivotArea field="17" type="button" dataOnly="0" labelOnly="1" outline="0" axis="axisRow" fieldPosition="1"/>
    </format>
    <format dxfId="190">
      <pivotArea field="4" type="button" dataOnly="0" labelOnly="1" outline="0" axis="axisRow" fieldPosition="2"/>
    </format>
    <format dxfId="189">
      <pivotArea field="13" type="button" dataOnly="0" labelOnly="1" outline="0" axis="axisRow" fieldPosition="4"/>
    </format>
    <format dxfId="188">
      <pivotArea field="11" type="button" dataOnly="0" labelOnly="1" outline="0" axis="axisRow" fieldPosition="5"/>
    </format>
    <format dxfId="187">
      <pivotArea field="12" type="button" dataOnly="0" labelOnly="1" outline="0" axis="axisRow" fieldPosition="6"/>
    </format>
    <format dxfId="186">
      <pivotArea field="8" type="button" dataOnly="0" labelOnly="1" outline="0" axis="axisRow" fieldPosition="7"/>
    </format>
    <format dxfId="185">
      <pivotArea field="14" type="button" dataOnly="0" labelOnly="1" outline="0"/>
    </format>
    <format dxfId="184">
      <pivotArea field="9" type="button" dataOnly="0" labelOnly="1" outline="0" axis="axisRow" fieldPosition="9"/>
    </format>
    <format dxfId="183">
      <pivotArea field="18" type="button" dataOnly="0" labelOnly="1" outline="0" axis="axisRow" fieldPosition="10"/>
    </format>
    <format dxfId="182">
      <pivotArea dataOnly="0" labelOnly="1" outline="0" axis="axisValues" fieldPosition="0"/>
    </format>
    <format dxfId="181">
      <pivotArea dataOnly="0" labelOnly="1" outline="0" axis="axisValues" fieldPosition="0"/>
    </format>
    <format dxfId="180">
      <pivotArea field="0" type="button" dataOnly="0" labelOnly="1" outline="0" axis="axisRow" fieldPosition="0"/>
    </format>
    <format dxfId="179">
      <pivotArea field="17" type="button" dataOnly="0" labelOnly="1" outline="0" axis="axisRow" fieldPosition="1"/>
    </format>
    <format dxfId="178">
      <pivotArea field="4" type="button" dataOnly="0" labelOnly="1" outline="0" axis="axisRow" fieldPosition="2"/>
    </format>
    <format dxfId="177">
      <pivotArea field="13" type="button" dataOnly="0" labelOnly="1" outline="0" axis="axisRow" fieldPosition="4"/>
    </format>
    <format dxfId="176">
      <pivotArea field="11" type="button" dataOnly="0" labelOnly="1" outline="0" axis="axisRow" fieldPosition="5"/>
    </format>
    <format dxfId="175">
      <pivotArea field="12" type="button" dataOnly="0" labelOnly="1" outline="0" axis="axisRow" fieldPosition="6"/>
    </format>
    <format dxfId="174">
      <pivotArea field="8" type="button" dataOnly="0" labelOnly="1" outline="0" axis="axisRow" fieldPosition="7"/>
    </format>
    <format dxfId="173">
      <pivotArea field="14" type="button" dataOnly="0" labelOnly="1" outline="0"/>
    </format>
    <format dxfId="172">
      <pivotArea field="9" type="button" dataOnly="0" labelOnly="1" outline="0" axis="axisRow" fieldPosition="9"/>
    </format>
    <format dxfId="171">
      <pivotArea field="18" type="button" dataOnly="0" labelOnly="1" outline="0" axis="axisRow" fieldPosition="10"/>
    </format>
    <format dxfId="170">
      <pivotArea dataOnly="0" labelOnly="1" outline="0" axis="axisValues" fieldPosition="0"/>
    </format>
    <format dxfId="169">
      <pivotArea dataOnly="0" labelOnly="1" outline="0" axis="axisValues" fieldPosition="0"/>
    </format>
    <format dxfId="168">
      <pivotArea field="0" type="button" dataOnly="0" labelOnly="1" outline="0" axis="axisRow" fieldPosition="0"/>
    </format>
    <format dxfId="167">
      <pivotArea field="17" type="button" dataOnly="0" labelOnly="1" outline="0" axis="axisRow" fieldPosition="1"/>
    </format>
    <format dxfId="166">
      <pivotArea field="4" type="button" dataOnly="0" labelOnly="1" outline="0" axis="axisRow" fieldPosition="2"/>
    </format>
    <format dxfId="165">
      <pivotArea field="13" type="button" dataOnly="0" labelOnly="1" outline="0" axis="axisRow" fieldPosition="4"/>
    </format>
    <format dxfId="164">
      <pivotArea field="11" type="button" dataOnly="0" labelOnly="1" outline="0" axis="axisRow" fieldPosition="5"/>
    </format>
    <format dxfId="163">
      <pivotArea field="12" type="button" dataOnly="0" labelOnly="1" outline="0" axis="axisRow" fieldPosition="6"/>
    </format>
    <format dxfId="162">
      <pivotArea field="8" type="button" dataOnly="0" labelOnly="1" outline="0" axis="axisRow" fieldPosition="7"/>
    </format>
    <format dxfId="161">
      <pivotArea field="14" type="button" dataOnly="0" labelOnly="1" outline="0"/>
    </format>
    <format dxfId="160">
      <pivotArea field="9" type="button" dataOnly="0" labelOnly="1" outline="0" axis="axisRow" fieldPosition="9"/>
    </format>
    <format dxfId="159">
      <pivotArea field="18" type="button" dataOnly="0" labelOnly="1" outline="0" axis="axisRow" fieldPosition="10"/>
    </format>
    <format dxfId="158">
      <pivotArea dataOnly="0" labelOnly="1" outline="0" axis="axisValues" fieldPosition="0"/>
    </format>
    <format dxfId="157">
      <pivotArea dataOnly="0" labelOnly="1" outline="0" axis="axisValues" fieldPosition="0"/>
    </format>
    <format dxfId="156">
      <pivotArea field="33" type="button" dataOnly="0" labelOnly="1" outline="0" axis="axisRow" fieldPosition="13"/>
    </format>
    <format dxfId="155">
      <pivotArea field="33" type="button" dataOnly="0" labelOnly="1" outline="0" axis="axisRow" fieldPosition="13"/>
    </format>
    <format dxfId="154">
      <pivotArea field="33" type="button" dataOnly="0" labelOnly="1" outline="0" axis="axisRow" fieldPosition="13"/>
    </format>
    <format dxfId="153">
      <pivotArea field="0" type="button" dataOnly="0" labelOnly="1" outline="0" axis="axisRow" fieldPosition="0"/>
    </format>
    <format dxfId="152">
      <pivotArea field="17" type="button" dataOnly="0" labelOnly="1" outline="0" axis="axisRow" fieldPosition="1"/>
    </format>
    <format dxfId="151">
      <pivotArea field="4" type="button" dataOnly="0" labelOnly="1" outline="0" axis="axisRow" fieldPosition="2"/>
    </format>
    <format dxfId="150">
      <pivotArea field="13" type="button" dataOnly="0" labelOnly="1" outline="0" axis="axisRow" fieldPosition="4"/>
    </format>
    <format dxfId="149">
      <pivotArea field="11" type="button" dataOnly="0" labelOnly="1" outline="0" axis="axisRow" fieldPosition="5"/>
    </format>
    <format dxfId="148">
      <pivotArea field="12" type="button" dataOnly="0" labelOnly="1" outline="0" axis="axisRow" fieldPosition="6"/>
    </format>
    <format dxfId="147">
      <pivotArea field="8" type="button" dataOnly="0" labelOnly="1" outline="0" axis="axisRow" fieldPosition="7"/>
    </format>
    <format dxfId="146">
      <pivotArea field="14" type="button" dataOnly="0" labelOnly="1" outline="0"/>
    </format>
    <format dxfId="145">
      <pivotArea field="9" type="button" dataOnly="0" labelOnly="1" outline="0" axis="axisRow" fieldPosition="9"/>
    </format>
    <format dxfId="144">
      <pivotArea field="18" type="button" dataOnly="0" labelOnly="1" outline="0" axis="axisRow" fieldPosition="10"/>
    </format>
    <format dxfId="143">
      <pivotArea field="33" type="button" dataOnly="0" labelOnly="1" outline="0" axis="axisRow" fieldPosition="13"/>
    </format>
    <format dxfId="142">
      <pivotArea dataOnly="0" labelOnly="1" outline="0" axis="axisValues" fieldPosition="0"/>
    </format>
    <format dxfId="141">
      <pivotArea dataOnly="0" labelOnly="1" outline="0" fieldPosition="0">
        <references count="1">
          <reference field="0" count="1">
            <x v="39"/>
          </reference>
        </references>
      </pivotArea>
    </format>
    <format dxfId="140">
      <pivotArea dataOnly="0" labelOnly="1" outline="0" fieldPosition="0">
        <references count="2">
          <reference field="0" count="1" selected="0">
            <x v="39"/>
          </reference>
          <reference field="17" count="1">
            <x v="33"/>
          </reference>
        </references>
      </pivotArea>
    </format>
    <format dxfId="139">
      <pivotArea dataOnly="0" labelOnly="1" outline="0" fieldPosition="0">
        <references count="3">
          <reference field="0" count="1" selected="0">
            <x v="39"/>
          </reference>
          <reference field="4" count="1">
            <x v="31"/>
          </reference>
          <reference field="17" count="1" selected="0">
            <x v="33"/>
          </reference>
        </references>
      </pivotArea>
    </format>
    <format dxfId="138">
      <pivotArea dataOnly="0" labelOnly="1" outline="0" fieldPosition="0">
        <references count="4">
          <reference field="0" count="1" selected="0">
            <x v="39"/>
          </reference>
          <reference field="4" count="1" selected="0">
            <x v="31"/>
          </reference>
          <reference field="13" count="1">
            <x v="1"/>
          </reference>
          <reference field="17" count="1" selected="0">
            <x v="33"/>
          </reference>
        </references>
      </pivotArea>
    </format>
    <format dxfId="137">
      <pivotArea dataOnly="0" labelOnly="1" outline="0" fieldPosition="0">
        <references count="5">
          <reference field="0" count="1" selected="0">
            <x v="39"/>
          </reference>
          <reference field="4" count="1" selected="0">
            <x v="31"/>
          </reference>
          <reference field="11" count="1">
            <x v="24"/>
          </reference>
          <reference field="13" count="1" selected="0">
            <x v="1"/>
          </reference>
          <reference field="17" count="1" selected="0">
            <x v="33"/>
          </reference>
        </references>
      </pivotArea>
    </format>
    <format dxfId="136">
      <pivotArea dataOnly="0" labelOnly="1" outline="0" fieldPosition="0">
        <references count="6">
          <reference field="0" count="1" selected="0">
            <x v="39"/>
          </reference>
          <reference field="4" count="1" selected="0">
            <x v="31"/>
          </reference>
          <reference field="11" count="1" selected="0">
            <x v="24"/>
          </reference>
          <reference field="12" count="1">
            <x v="6"/>
          </reference>
          <reference field="13" count="1" selected="0">
            <x v="1"/>
          </reference>
          <reference field="17" count="1" selected="0">
            <x v="33"/>
          </reference>
        </references>
      </pivotArea>
    </format>
    <format dxfId="135">
      <pivotArea dataOnly="0" labelOnly="1" outline="0" fieldPosition="0">
        <references count="7">
          <reference field="0" count="1" selected="0">
            <x v="39"/>
          </reference>
          <reference field="4" count="1" selected="0">
            <x v="31"/>
          </reference>
          <reference field="8" count="1">
            <x v="3"/>
          </reference>
          <reference field="11" count="1" selected="0">
            <x v="24"/>
          </reference>
          <reference field="12" count="1" selected="0">
            <x v="6"/>
          </reference>
          <reference field="13" count="1" selected="0">
            <x v="1"/>
          </reference>
          <reference field="17" count="1" selected="0">
            <x v="33"/>
          </reference>
        </references>
      </pivotArea>
    </format>
    <format dxfId="134">
      <pivotArea dataOnly="0" labelOnly="1" outline="0" axis="axisValues" fieldPosition="0"/>
    </format>
    <format dxfId="133">
      <pivotArea field="0" type="button" dataOnly="0" labelOnly="1" outline="0" axis="axisRow" fieldPosition="0"/>
    </format>
    <format dxfId="132">
      <pivotArea field="17" type="button" dataOnly="0" labelOnly="1" outline="0" axis="axisRow" fieldPosition="1"/>
    </format>
    <format dxfId="131">
      <pivotArea field="4" type="button" dataOnly="0" labelOnly="1" outline="0" axis="axisRow" fieldPosition="2"/>
    </format>
    <format dxfId="130">
      <pivotArea field="13" type="button" dataOnly="0" labelOnly="1" outline="0" axis="axisRow" fieldPosition="4"/>
    </format>
    <format dxfId="129">
      <pivotArea field="11" type="button" dataOnly="0" labelOnly="1" outline="0" axis="axisRow" fieldPosition="5"/>
    </format>
    <format dxfId="128">
      <pivotArea field="12" type="button" dataOnly="0" labelOnly="1" outline="0" axis="axisRow" fieldPosition="6"/>
    </format>
    <format dxfId="127">
      <pivotArea field="8" type="button" dataOnly="0" labelOnly="1" outline="0" axis="axisRow" fieldPosition="7"/>
    </format>
    <format dxfId="126">
      <pivotArea field="14" type="button" dataOnly="0" labelOnly="1" outline="0"/>
    </format>
    <format dxfId="125">
      <pivotArea field="9" type="button" dataOnly="0" labelOnly="1" outline="0" axis="axisRow" fieldPosition="9"/>
    </format>
    <format dxfId="124">
      <pivotArea field="18" type="button" dataOnly="0" labelOnly="1" outline="0" axis="axisRow" fieldPosition="10"/>
    </format>
    <format dxfId="123">
      <pivotArea field="33" type="button" dataOnly="0" labelOnly="1" outline="0" axis="axisRow" fieldPosition="13"/>
    </format>
    <format dxfId="122">
      <pivotArea dataOnly="0" labelOnly="1" outline="0" axis="axisValues" fieldPosition="0"/>
    </format>
    <format dxfId="121">
      <pivotArea dataOnly="0" labelOnly="1" outline="0" fieldPosition="0">
        <references count="1">
          <reference field="0" count="1">
            <x v="39"/>
          </reference>
        </references>
      </pivotArea>
    </format>
    <format dxfId="120">
      <pivotArea dataOnly="0" labelOnly="1" outline="0" fieldPosition="0">
        <references count="2">
          <reference field="0" count="1" selected="0">
            <x v="39"/>
          </reference>
          <reference field="17" count="1">
            <x v="33"/>
          </reference>
        </references>
      </pivotArea>
    </format>
    <format dxfId="119">
      <pivotArea dataOnly="0" labelOnly="1" outline="0" fieldPosition="0">
        <references count="3">
          <reference field="0" count="1" selected="0">
            <x v="39"/>
          </reference>
          <reference field="4" count="1">
            <x v="31"/>
          </reference>
          <reference field="17" count="1" selected="0">
            <x v="33"/>
          </reference>
        </references>
      </pivotArea>
    </format>
    <format dxfId="118">
      <pivotArea dataOnly="0" labelOnly="1" outline="0" fieldPosition="0">
        <references count="4">
          <reference field="0" count="1" selected="0">
            <x v="39"/>
          </reference>
          <reference field="4" count="1" selected="0">
            <x v="31"/>
          </reference>
          <reference field="13" count="1">
            <x v="1"/>
          </reference>
          <reference field="17" count="1" selected="0">
            <x v="33"/>
          </reference>
        </references>
      </pivotArea>
    </format>
    <format dxfId="117">
      <pivotArea dataOnly="0" labelOnly="1" outline="0" fieldPosition="0">
        <references count="5">
          <reference field="0" count="1" selected="0">
            <x v="39"/>
          </reference>
          <reference field="4" count="1" selected="0">
            <x v="31"/>
          </reference>
          <reference field="11" count="1">
            <x v="24"/>
          </reference>
          <reference field="13" count="1" selected="0">
            <x v="1"/>
          </reference>
          <reference field="17" count="1" selected="0">
            <x v="33"/>
          </reference>
        </references>
      </pivotArea>
    </format>
    <format dxfId="116">
      <pivotArea dataOnly="0" labelOnly="1" outline="0" fieldPosition="0">
        <references count="6">
          <reference field="0" count="1" selected="0">
            <x v="39"/>
          </reference>
          <reference field="4" count="1" selected="0">
            <x v="31"/>
          </reference>
          <reference field="11" count="1" selected="0">
            <x v="24"/>
          </reference>
          <reference field="12" count="1">
            <x v="6"/>
          </reference>
          <reference field="13" count="1" selected="0">
            <x v="1"/>
          </reference>
          <reference field="17" count="1" selected="0">
            <x v="33"/>
          </reference>
        </references>
      </pivotArea>
    </format>
    <format dxfId="115">
      <pivotArea dataOnly="0" labelOnly="1" outline="0" fieldPosition="0">
        <references count="7">
          <reference field="0" count="1" selected="0">
            <x v="39"/>
          </reference>
          <reference field="4" count="1" selected="0">
            <x v="31"/>
          </reference>
          <reference field="8" count="1">
            <x v="3"/>
          </reference>
          <reference field="11" count="1" selected="0">
            <x v="24"/>
          </reference>
          <reference field="12" count="1" selected="0">
            <x v="6"/>
          </reference>
          <reference field="13" count="1" selected="0">
            <x v="1"/>
          </reference>
          <reference field="17" count="1" selected="0">
            <x v="33"/>
          </reference>
        </references>
      </pivotArea>
    </format>
    <format dxfId="114">
      <pivotArea dataOnly="0" labelOnly="1" outline="0" axis="axisValues" fieldPosition="0"/>
    </format>
    <format dxfId="113">
      <pivotArea field="0" type="button" dataOnly="0" labelOnly="1" outline="0" axis="axisRow" fieldPosition="0"/>
    </format>
    <format dxfId="112">
      <pivotArea field="17" type="button" dataOnly="0" labelOnly="1" outline="0" axis="axisRow" fieldPosition="1"/>
    </format>
    <format dxfId="111">
      <pivotArea field="4" type="button" dataOnly="0" labelOnly="1" outline="0" axis="axisRow" fieldPosition="2"/>
    </format>
    <format dxfId="110">
      <pivotArea field="13" type="button" dataOnly="0" labelOnly="1" outline="0" axis="axisRow" fieldPosition="4"/>
    </format>
    <format dxfId="109">
      <pivotArea field="11" type="button" dataOnly="0" labelOnly="1" outline="0" axis="axisRow" fieldPosition="5"/>
    </format>
    <format dxfId="108">
      <pivotArea field="12" type="button" dataOnly="0" labelOnly="1" outline="0" axis="axisRow" fieldPosition="6"/>
    </format>
    <format dxfId="107">
      <pivotArea field="8" type="button" dataOnly="0" labelOnly="1" outline="0" axis="axisRow" fieldPosition="7"/>
    </format>
    <format dxfId="106">
      <pivotArea field="14" type="button" dataOnly="0" labelOnly="1" outline="0"/>
    </format>
    <format dxfId="105">
      <pivotArea field="9" type="button" dataOnly="0" labelOnly="1" outline="0" axis="axisRow" fieldPosition="9"/>
    </format>
    <format dxfId="104">
      <pivotArea field="18" type="button" dataOnly="0" labelOnly="1" outline="0" axis="axisRow" fieldPosition="10"/>
    </format>
    <format dxfId="103">
      <pivotArea field="33" type="button" dataOnly="0" labelOnly="1" outline="0" axis="axisRow" fieldPosition="13"/>
    </format>
    <format dxfId="102">
      <pivotArea dataOnly="0" labelOnly="1" outline="0" axis="axisValues" fieldPosition="0"/>
    </format>
    <format dxfId="101">
      <pivotArea dataOnly="0" labelOnly="1" outline="0" fieldPosition="0">
        <references count="1">
          <reference field="0" count="1">
            <x v="39"/>
          </reference>
        </references>
      </pivotArea>
    </format>
    <format dxfId="100">
      <pivotArea dataOnly="0" labelOnly="1" outline="0" fieldPosition="0">
        <references count="2">
          <reference field="0" count="1" selected="0">
            <x v="39"/>
          </reference>
          <reference field="17" count="1">
            <x v="33"/>
          </reference>
        </references>
      </pivotArea>
    </format>
    <format dxfId="99">
      <pivotArea dataOnly="0" labelOnly="1" outline="0" fieldPosition="0">
        <references count="3">
          <reference field="0" count="1" selected="0">
            <x v="39"/>
          </reference>
          <reference field="4" count="1">
            <x v="31"/>
          </reference>
          <reference field="17" count="1" selected="0">
            <x v="33"/>
          </reference>
        </references>
      </pivotArea>
    </format>
    <format dxfId="98">
      <pivotArea dataOnly="0" labelOnly="1" outline="0" fieldPosition="0">
        <references count="4">
          <reference field="0" count="1" selected="0">
            <x v="39"/>
          </reference>
          <reference field="4" count="1" selected="0">
            <x v="31"/>
          </reference>
          <reference field="13" count="1">
            <x v="1"/>
          </reference>
          <reference field="17" count="1" selected="0">
            <x v="33"/>
          </reference>
        </references>
      </pivotArea>
    </format>
    <format dxfId="97">
      <pivotArea dataOnly="0" labelOnly="1" outline="0" fieldPosition="0">
        <references count="5">
          <reference field="0" count="1" selected="0">
            <x v="39"/>
          </reference>
          <reference field="4" count="1" selected="0">
            <x v="31"/>
          </reference>
          <reference field="11" count="1">
            <x v="24"/>
          </reference>
          <reference field="13" count="1" selected="0">
            <x v="1"/>
          </reference>
          <reference field="17" count="1" selected="0">
            <x v="33"/>
          </reference>
        </references>
      </pivotArea>
    </format>
    <format dxfId="96">
      <pivotArea dataOnly="0" labelOnly="1" outline="0" fieldPosition="0">
        <references count="6">
          <reference field="0" count="1" selected="0">
            <x v="39"/>
          </reference>
          <reference field="4" count="1" selected="0">
            <x v="31"/>
          </reference>
          <reference field="11" count="1" selected="0">
            <x v="24"/>
          </reference>
          <reference field="12" count="1">
            <x v="6"/>
          </reference>
          <reference field="13" count="1" selected="0">
            <x v="1"/>
          </reference>
          <reference field="17" count="1" selected="0">
            <x v="33"/>
          </reference>
        </references>
      </pivotArea>
    </format>
    <format dxfId="95">
      <pivotArea dataOnly="0" labelOnly="1" outline="0" fieldPosition="0">
        <references count="7">
          <reference field="0" count="1" selected="0">
            <x v="39"/>
          </reference>
          <reference field="4" count="1" selected="0">
            <x v="31"/>
          </reference>
          <reference field="8" count="1">
            <x v="3"/>
          </reference>
          <reference field="11" count="1" selected="0">
            <x v="24"/>
          </reference>
          <reference field="12" count="1" selected="0">
            <x v="6"/>
          </reference>
          <reference field="13" count="1" selected="0">
            <x v="1"/>
          </reference>
          <reference field="17" count="1" selected="0">
            <x v="33"/>
          </reference>
        </references>
      </pivotArea>
    </format>
    <format dxfId="94">
      <pivotArea dataOnly="0" labelOnly="1" outline="0" axis="axisValues" fieldPosition="0"/>
    </format>
    <format dxfId="93">
      <pivotArea field="33" type="button" dataOnly="0" labelOnly="1" outline="0" axis="axisRow" fieldPosition="13"/>
    </format>
    <format dxfId="92">
      <pivotArea field="33" type="button" dataOnly="0" labelOnly="1" outline="0" axis="axisRow" fieldPosition="13"/>
    </format>
    <format dxfId="91">
      <pivotArea field="33" type="button" dataOnly="0" labelOnly="1" outline="0" axis="axisRow" fieldPosition="13"/>
    </format>
    <format dxfId="90">
      <pivotArea outline="0" collapsedLevelsAreSubtotals="1" fieldPosition="0"/>
    </format>
    <format dxfId="89">
      <pivotArea dataOnly="0" labelOnly="1" outline="0" axis="axisValues" fieldPosition="0"/>
    </format>
    <format dxfId="88">
      <pivotArea outline="0" fieldPosition="0">
        <references count="1">
          <reference field="0" count="5" selected="0">
            <x v="57"/>
            <x v="58"/>
            <x v="59"/>
            <x v="60"/>
            <x v="61"/>
          </reference>
        </references>
      </pivotArea>
    </format>
    <format dxfId="87">
      <pivotArea dataOnly="0" labelOnly="1" outline="0" fieldPosition="0">
        <references count="1">
          <reference field="0" count="5">
            <x v="57"/>
            <x v="58"/>
            <x v="59"/>
            <x v="60"/>
            <x v="61"/>
          </reference>
        </references>
      </pivotArea>
    </format>
    <format dxfId="86">
      <pivotArea dataOnly="0" labelOnly="1" outline="0" fieldPosition="0">
        <references count="2">
          <reference field="0" count="1" selected="0">
            <x v="57"/>
          </reference>
          <reference field="17" count="1">
            <x v="54"/>
          </reference>
        </references>
      </pivotArea>
    </format>
    <format dxfId="85">
      <pivotArea dataOnly="0" labelOnly="1" outline="0" fieldPosition="0">
        <references count="2">
          <reference field="0" count="1" selected="0">
            <x v="58"/>
          </reference>
          <reference field="17" count="1">
            <x v="55"/>
          </reference>
        </references>
      </pivotArea>
    </format>
    <format dxfId="84">
      <pivotArea dataOnly="0" labelOnly="1" outline="0" fieldPosition="0">
        <references count="2">
          <reference field="0" count="1" selected="0">
            <x v="60"/>
          </reference>
          <reference field="17" count="1">
            <x v="56"/>
          </reference>
        </references>
      </pivotArea>
    </format>
    <format dxfId="83">
      <pivotArea dataOnly="0" labelOnly="1" outline="0" fieldPosition="0">
        <references count="2">
          <reference field="0" count="1" selected="0">
            <x v="61"/>
          </reference>
          <reference field="17" count="2">
            <x v="57"/>
            <x v="58"/>
          </reference>
        </references>
      </pivotArea>
    </format>
    <format dxfId="82">
      <pivotArea dataOnly="0" labelOnly="1" outline="0" fieldPosition="0">
        <references count="3">
          <reference field="0" count="1" selected="0">
            <x v="57"/>
          </reference>
          <reference field="4" count="1">
            <x v="70"/>
          </reference>
          <reference field="17" count="1" selected="0">
            <x v="54"/>
          </reference>
        </references>
      </pivotArea>
    </format>
    <format dxfId="81">
      <pivotArea dataOnly="0" labelOnly="1" outline="0" fieldPosition="0">
        <references count="3">
          <reference field="0" count="1" selected="0">
            <x v="58"/>
          </reference>
          <reference field="4" count="1">
            <x v="71"/>
          </reference>
          <reference field="17" count="1" selected="0">
            <x v="55"/>
          </reference>
        </references>
      </pivotArea>
    </format>
    <format dxfId="80">
      <pivotArea dataOnly="0" labelOnly="1" outline="0" fieldPosition="0">
        <references count="3">
          <reference field="0" count="1" selected="0">
            <x v="59"/>
          </reference>
          <reference field="4" count="1">
            <x v="72"/>
          </reference>
          <reference field="17" count="1" selected="0">
            <x v="55"/>
          </reference>
        </references>
      </pivotArea>
    </format>
    <format dxfId="79">
      <pivotArea dataOnly="0" labelOnly="1" outline="0" fieldPosition="0">
        <references count="3">
          <reference field="0" count="1" selected="0">
            <x v="60"/>
          </reference>
          <reference field="4" count="1">
            <x v="73"/>
          </reference>
          <reference field="17" count="1" selected="0">
            <x v="56"/>
          </reference>
        </references>
      </pivotArea>
    </format>
    <format dxfId="78">
      <pivotArea dataOnly="0" labelOnly="1" outline="0" fieldPosition="0">
        <references count="3">
          <reference field="0" count="1" selected="0">
            <x v="61"/>
          </reference>
          <reference field="4" count="1">
            <x v="74"/>
          </reference>
          <reference field="17" count="1" selected="0">
            <x v="57"/>
          </reference>
        </references>
      </pivotArea>
    </format>
    <format dxfId="77">
      <pivotArea dataOnly="0" labelOnly="1" outline="0" fieldPosition="0">
        <references count="3">
          <reference field="0" count="1" selected="0">
            <x v="61"/>
          </reference>
          <reference field="4" count="1">
            <x v="75"/>
          </reference>
          <reference field="17" count="1" selected="0">
            <x v="58"/>
          </reference>
        </references>
      </pivotArea>
    </format>
    <format dxfId="76">
      <pivotArea field="19" type="button" dataOnly="0" labelOnly="1" outline="0" axis="axisRow" fieldPosition="11"/>
    </format>
    <format dxfId="75">
      <pivotArea field="19" type="button" dataOnly="0" labelOnly="1" outline="0" axis="axisRow" fieldPosition="11"/>
    </format>
    <format dxfId="74">
      <pivotArea field="32" type="button" dataOnly="0" labelOnly="1" outline="0" axis="axisRow" fieldPosition="12"/>
    </format>
    <format dxfId="73">
      <pivotArea field="31" type="button" dataOnly="0" labelOnly="1" outline="0" axis="axisRow" fieldPosition="14"/>
    </format>
    <format dxfId="72">
      <pivotArea field="32" type="button" dataOnly="0" labelOnly="1" outline="0" axis="axisRow" fieldPosition="12"/>
    </format>
    <format dxfId="71">
      <pivotArea field="33" type="button" dataOnly="0" labelOnly="1" outline="0" axis="axisRow" fieldPosition="13"/>
    </format>
    <format dxfId="70">
      <pivotArea field="31" type="button" dataOnly="0" labelOnly="1" outline="0" axis="axisRow" fieldPosition="14"/>
    </format>
    <format dxfId="69">
      <pivotArea field="32" type="button" dataOnly="0" labelOnly="1" outline="0" axis="axisRow" fieldPosition="12"/>
    </format>
    <format dxfId="68">
      <pivotArea field="33" type="button" dataOnly="0" labelOnly="1" outline="0" axis="axisRow" fieldPosition="13"/>
    </format>
    <format dxfId="67">
      <pivotArea field="31" type="button" dataOnly="0" labelOnly="1" outline="0" axis="axisRow" fieldPosition="14"/>
    </format>
  </formats>
  <pivotTableStyleInfo name="PivotStyleLight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2000000}" name="Tabela dinâmica1" cacheId="3" applyNumberFormats="0" applyBorderFormats="0" applyFontFormats="0" applyPatternFormats="0" applyAlignmentFormats="0" applyWidthHeightFormats="1" dataCaption="Valores" updatedVersion="8" minRefreshableVersion="3" showDrill="0" useAutoFormatting="1" rowGrandTotals="0" colGrandTotals="0" itemPrintTitles="1" createdVersion="6" indent="0" compact="0" compactData="0" multipleFieldFilters="0">
  <location ref="B5:J19" firstHeaderRow="1" firstDataRow="1" firstDataCol="8"/>
  <pivotFields count="38">
    <pivotField compact="0" numFmtId="14" outline="0" showAll="0" defaultSubtotal="0"/>
    <pivotField compact="0" outline="0" showAll="0" defaultSubtotal="0"/>
    <pivotField compact="0" outline="0" showAll="0" defaultSubtotal="0"/>
    <pivotField compact="0" outline="0" showAll="0"/>
    <pivotField axis="axisRow" compact="0" outline="0" showAll="0" defaultSubtotal="0">
      <items count="116">
        <item x="5"/>
        <item x="6"/>
        <item x="10"/>
        <item x="8"/>
        <item x="4"/>
        <item x="18"/>
        <item x="9"/>
        <item x="7"/>
        <item x="13"/>
        <item x="11"/>
        <item x="12"/>
        <item x="15"/>
        <item x="14"/>
        <item x="19"/>
        <item x="16"/>
        <item x="23"/>
        <item x="22"/>
        <item x="17"/>
        <item x="20"/>
        <item x="2"/>
        <item x="21"/>
        <item x="24"/>
        <item x="25"/>
        <item x="28"/>
        <item x="1"/>
        <item x="26"/>
        <item x="27"/>
        <item x="46"/>
        <item x="29"/>
        <item x="0"/>
        <item x="56"/>
        <item x="49"/>
        <item x="30"/>
        <item x="31"/>
        <item x="32"/>
        <item x="34"/>
        <item x="35"/>
        <item x="33"/>
        <item x="36"/>
        <item x="37"/>
        <item x="3"/>
        <item x="38"/>
        <item x="44"/>
        <item x="40"/>
        <item x="41"/>
        <item x="43"/>
        <item x="39"/>
        <item x="42"/>
        <item x="45"/>
        <item x="47"/>
        <item x="48"/>
        <item x="54"/>
        <item x="57"/>
        <item x="50"/>
        <item x="51"/>
        <item x="52"/>
        <item x="53"/>
        <item x="114"/>
        <item x="55"/>
        <item x="58"/>
        <item x="59"/>
        <item x="60"/>
        <item x="61"/>
        <item x="62"/>
        <item x="63"/>
        <item m="1" x="115"/>
        <item x="64"/>
        <item x="65"/>
        <item x="66"/>
        <item x="67"/>
        <item x="68"/>
        <item x="69"/>
        <item x="70"/>
        <item x="71"/>
        <item x="72"/>
        <item x="74"/>
        <item x="75"/>
        <item x="76"/>
        <item x="77"/>
        <item x="79"/>
        <item x="80"/>
        <item x="81"/>
        <item x="82"/>
        <item x="83"/>
        <item x="84"/>
        <item x="85"/>
        <item x="86"/>
        <item x="87"/>
        <item x="88"/>
        <item x="89"/>
        <item x="92"/>
        <item x="90"/>
        <item x="73"/>
        <item x="91"/>
        <item x="93"/>
        <item x="94"/>
        <item x="95"/>
        <item x="96"/>
        <item x="97"/>
        <item x="98"/>
        <item x="99"/>
        <item x="100"/>
        <item x="102"/>
        <item x="101"/>
        <item x="78"/>
        <item x="103"/>
        <item x="104"/>
        <item x="105"/>
        <item x="106"/>
        <item x="107"/>
        <item x="108"/>
        <item x="109"/>
        <item x="110"/>
        <item x="111"/>
        <item x="112"/>
        <item x="113"/>
      </items>
    </pivotField>
    <pivotField compact="0" outline="0" showAll="0" defaultSubtotal="0"/>
    <pivotField compact="0" outline="0" showAll="0"/>
    <pivotField axis="axisRow" compact="0" outline="0" showAll="0" defaultSubtotal="0">
      <items count="4">
        <item x="1"/>
        <item x="2"/>
        <item x="0"/>
        <item x="3"/>
      </items>
    </pivotField>
    <pivotField axis="axisRow" compact="0" outline="0" showAll="0" defaultSubtotal="0">
      <items count="118">
        <item x="18"/>
        <item x="26"/>
        <item x="1"/>
        <item x="9"/>
        <item x="23"/>
        <item x="25"/>
        <item x="29"/>
        <item x="40"/>
        <item x="39"/>
        <item x="27"/>
        <item x="34"/>
        <item x="3"/>
        <item m="1" x="115"/>
        <item x="5"/>
        <item x="10"/>
        <item x="46"/>
        <item x="47"/>
        <item x="21"/>
        <item x="12"/>
        <item x="28"/>
        <item x="16"/>
        <item x="17"/>
        <item x="52"/>
        <item m="1" x="114"/>
        <item x="54"/>
        <item x="20"/>
        <item x="45"/>
        <item x="44"/>
        <item x="2"/>
        <item x="37"/>
        <item x="36"/>
        <item x="11"/>
        <item x="31"/>
        <item x="24"/>
        <item x="15"/>
        <item x="30"/>
        <item x="38"/>
        <item x="35"/>
        <item x="6"/>
        <item x="33"/>
        <item x="14"/>
        <item x="4"/>
        <item x="8"/>
        <item x="13"/>
        <item m="1" x="116"/>
        <item x="43"/>
        <item x="41"/>
        <item x="32"/>
        <item x="42"/>
        <item x="7"/>
        <item m="1" x="117"/>
        <item x="48"/>
        <item x="49"/>
        <item x="50"/>
        <item x="51"/>
        <item x="55"/>
        <item x="112"/>
        <item x="19"/>
        <item x="22"/>
        <item x="53"/>
        <item x="57"/>
        <item x="58"/>
        <item x="59"/>
        <item x="0"/>
        <item x="60"/>
        <item x="61"/>
        <item x="71"/>
        <item x="62"/>
        <item x="63"/>
        <item m="1" x="113"/>
        <item x="65"/>
        <item x="64"/>
        <item x="66"/>
        <item x="67"/>
        <item x="68"/>
        <item x="69"/>
        <item x="70"/>
        <item x="72"/>
        <item x="73"/>
        <item x="74"/>
        <item x="75"/>
        <item x="77"/>
        <item x="78"/>
        <item x="79"/>
        <item x="80"/>
        <item x="81"/>
        <item x="56"/>
        <item x="82"/>
        <item x="83"/>
        <item x="84"/>
        <item x="85"/>
        <item x="86"/>
        <item x="87"/>
        <item x="90"/>
        <item x="88"/>
        <item x="89"/>
        <item x="91"/>
        <item x="92"/>
        <item x="93"/>
        <item x="94"/>
        <item x="95"/>
        <item x="96"/>
        <item x="97"/>
        <item x="98"/>
        <item x="99"/>
        <item x="100"/>
        <item x="76"/>
        <item x="101"/>
        <item x="102"/>
        <item x="103"/>
        <item x="104"/>
        <item x="105"/>
        <item x="106"/>
        <item x="107"/>
        <item x="108"/>
        <item x="109"/>
        <item x="110"/>
        <item x="111"/>
      </items>
    </pivotField>
    <pivotField axis="axisRow" compact="0" outline="0" showAll="0" defaultSubtotal="0">
      <items count="9">
        <item m="1" x="7"/>
        <item m="1" x="4"/>
        <item m="1" x="8"/>
        <item x="1"/>
        <item x="2"/>
        <item m="1" x="5"/>
        <item m="1" x="6"/>
        <item m="1" x="3"/>
        <item x="0"/>
      </items>
    </pivotField>
    <pivotField compact="0" outline="0" showAll="0" defaultSubtotal="0"/>
    <pivotField axis="axisRow" compact="0" outline="0" showAll="0" defaultSubtotal="0">
      <items count="93">
        <item x="22"/>
        <item x="9"/>
        <item m="1" x="90"/>
        <item x="37"/>
        <item x="5"/>
        <item x="29"/>
        <item x="19"/>
        <item x="23"/>
        <item x="14"/>
        <item x="8"/>
        <item x="20"/>
        <item x="12"/>
        <item x="39"/>
        <item x="25"/>
        <item x="34"/>
        <item x="28"/>
        <item x="6"/>
        <item x="2"/>
        <item x="11"/>
        <item x="31"/>
        <item x="10"/>
        <item x="4"/>
        <item x="40"/>
        <item x="24"/>
        <item x="41"/>
        <item x="21"/>
        <item x="15"/>
        <item x="38"/>
        <item x="36"/>
        <item x="27"/>
        <item x="16"/>
        <item x="13"/>
        <item x="46"/>
        <item x="0"/>
        <item x="30"/>
        <item x="35"/>
        <item x="33"/>
        <item x="26"/>
        <item x="1"/>
        <item x="17"/>
        <item x="32"/>
        <item x="18"/>
        <item x="3"/>
        <item x="7"/>
        <item m="1" x="92"/>
        <item x="42"/>
        <item x="43"/>
        <item x="44"/>
        <item m="1" x="91"/>
        <item x="47"/>
        <item x="75"/>
        <item x="45"/>
        <item x="48"/>
        <item x="49"/>
        <item x="50"/>
        <item x="51"/>
        <item x="52"/>
        <item x="53"/>
        <item x="61"/>
        <item x="54"/>
        <item x="55"/>
        <item x="56"/>
        <item x="57"/>
        <item x="58"/>
        <item x="59"/>
        <item x="60"/>
        <item x="62"/>
        <item x="63"/>
        <item x="65"/>
        <item x="66"/>
        <item x="67"/>
        <item x="68"/>
        <item x="69"/>
        <item x="70"/>
        <item m="1" x="88"/>
        <item x="72"/>
        <item m="1" x="89"/>
        <item x="73"/>
        <item x="64"/>
        <item x="71"/>
        <item x="74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</items>
    </pivotField>
    <pivotField compact="0" outline="0" showAll="0" defaultSubtotal="0"/>
    <pivotField axis="axisRow" compact="0" outline="0" showAll="0" defaultSubtotal="0">
      <items count="6">
        <item h="1" x="1"/>
        <item x="0"/>
        <item x="4"/>
        <item x="2"/>
        <item x="3"/>
        <item h="1" x="5"/>
      </items>
    </pivotField>
    <pivotField compact="0" outline="0" showAll="0" defaultSubtotal="0"/>
    <pivotField compact="0" outline="0" showAll="0"/>
    <pivotField compact="0" outline="0" showAll="0" defaultSubtotal="0"/>
    <pivotField compact="0" outline="0" showAll="0" defaultSubtotal="0"/>
    <pivotField axis="axisRow" compact="0" outline="0" showAll="0" defaultSubtotal="0">
      <items count="95">
        <item h="1" x="3"/>
        <item h="1" x="2"/>
        <item h="1" x="5"/>
        <item h="1" m="1" x="93"/>
        <item h="1" x="9"/>
        <item h="1" x="8"/>
        <item h="1" x="11"/>
        <item h="1" x="12"/>
        <item h="1" x="10"/>
        <item h="1" m="1" x="88"/>
        <item h="1" x="18"/>
        <item h="1" x="15"/>
        <item h="1" x="20"/>
        <item h="1" x="17"/>
        <item h="1" x="4"/>
        <item h="1" x="14"/>
        <item h="1" x="21"/>
        <item h="1" x="19"/>
        <item h="1" x="22"/>
        <item h="1" x="23"/>
        <item h="1" x="24"/>
        <item h="1" x="0"/>
        <item h="1" x="25"/>
        <item h="1" x="26"/>
        <item h="1" x="27"/>
        <item h="1" x="1"/>
        <item h="1" x="28"/>
        <item h="1" x="29"/>
        <item h="1" x="31"/>
        <item h="1" x="32"/>
        <item h="1" x="30"/>
        <item h="1" x="38"/>
        <item h="1" x="58"/>
        <item h="1" m="1" x="94"/>
        <item h="1" x="70"/>
        <item h="1" x="7"/>
        <item h="1" m="1" x="92"/>
        <item h="1" m="1" x="91"/>
        <item h="1" x="36"/>
        <item h="1" x="13"/>
        <item h="1" x="16"/>
        <item h="1" x="33"/>
        <item h="1" x="34"/>
        <item h="1" x="35"/>
        <item h="1" x="39"/>
        <item h="1" x="37"/>
        <item h="1" m="1" x="89"/>
        <item h="1" m="1" x="90"/>
        <item h="1" x="41"/>
        <item h="1" x="43"/>
        <item h="1" x="6"/>
        <item h="1" x="40"/>
        <item h="1" x="42"/>
        <item h="1" x="46"/>
        <item h="1" x="47"/>
        <item h="1" x="45"/>
        <item h="1" x="48"/>
        <item h="1" x="49"/>
        <item h="1" x="50"/>
        <item h="1" x="51"/>
        <item h="1" x="53"/>
        <item h="1" x="59"/>
        <item h="1" x="60"/>
        <item h="1" x="61"/>
        <item h="1" x="63"/>
        <item h="1" x="64"/>
        <item h="1" x="65"/>
        <item h="1" x="66"/>
        <item h="1" x="52"/>
        <item h="1" x="54"/>
        <item h="1" x="55"/>
        <item x="56"/>
        <item x="62"/>
        <item x="67"/>
        <item h="1" x="68"/>
        <item x="69"/>
        <item x="72"/>
        <item x="71"/>
        <item x="73"/>
        <item x="74"/>
        <item x="75"/>
        <item x="76"/>
        <item x="77"/>
        <item x="78"/>
        <item h="1" x="44"/>
        <item h="1" x="57"/>
        <item h="1" x="79"/>
        <item h="1" x="80"/>
        <item h="1" x="81"/>
        <item h="1" x="82"/>
        <item h="1" x="83"/>
        <item h="1" x="84"/>
        <item h="1" x="85"/>
        <item h="1" x="86"/>
        <item h="1" x="87"/>
      </items>
    </pivotField>
    <pivotField axis="axisRow" compact="0" outline="0" showAll="0" defaultSubtotal="0">
      <items count="90">
        <item x="28"/>
        <item x="2"/>
        <item x="1"/>
        <item x="5"/>
        <item x="8"/>
        <item x="7"/>
        <item x="10"/>
        <item x="11"/>
        <item x="12"/>
        <item x="16"/>
        <item x="14"/>
        <item x="18"/>
        <item x="15"/>
        <item x="19"/>
        <item x="20"/>
        <item x="21"/>
        <item x="22"/>
        <item x="23"/>
        <item x="24"/>
        <item x="25"/>
        <item x="26"/>
        <item x="27"/>
        <item x="29"/>
        <item x="0"/>
        <item x="4"/>
        <item x="33"/>
        <item x="32"/>
        <item x="36"/>
        <item x="37"/>
        <item x="39"/>
        <item m="1" x="88"/>
        <item x="9"/>
        <item x="6"/>
        <item m="1" x="89"/>
        <item x="3"/>
        <item x="13"/>
        <item x="17"/>
        <item x="31"/>
        <item x="34"/>
        <item x="35"/>
        <item x="38"/>
        <item x="30"/>
        <item x="40"/>
        <item x="41"/>
        <item x="70"/>
        <item x="43"/>
        <item x="45"/>
        <item x="42"/>
        <item x="44"/>
        <item x="46"/>
        <item x="47"/>
        <item x="48"/>
        <item x="49"/>
        <item x="50"/>
        <item x="51"/>
        <item x="52"/>
        <item x="53"/>
        <item x="58"/>
        <item x="59"/>
        <item x="60"/>
        <item x="62"/>
        <item x="63"/>
        <item x="64"/>
        <item x="65"/>
        <item x="54"/>
        <item x="55"/>
        <item x="56"/>
        <item x="61"/>
        <item x="66"/>
        <item x="67"/>
        <item x="68"/>
        <item x="69"/>
        <item x="72"/>
        <item x="71"/>
        <item x="73"/>
        <item x="74"/>
        <item x="75"/>
        <item x="76"/>
        <item x="77"/>
        <item x="78"/>
        <item x="57"/>
        <item x="79"/>
        <item x="80"/>
        <item x="81"/>
        <item x="82"/>
        <item x="83"/>
        <item x="84"/>
        <item x="85"/>
        <item x="86"/>
        <item x="87"/>
      </items>
    </pivotField>
    <pivotField dataField="1" compact="0" outline="0" showAll="0" defaultSubtotal="0"/>
    <pivotField compact="0" outline="0" showAll="0" defaultSubtotal="0"/>
    <pivotField compact="0" outline="0" showAl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/>
    <pivotField compact="0" outline="0" showAll="0"/>
    <pivotField compact="0" outline="0" showAll="0" defaultSubtotal="0"/>
    <pivotField compact="0" outline="0" showAll="0"/>
    <pivotField compact="0" outline="0" showAll="0"/>
    <pivotField compact="0" outline="0" showAll="0"/>
    <pivotField compact="0" outline="0" showAll="0"/>
  </pivotFields>
  <rowFields count="8">
    <field x="4"/>
    <field x="13"/>
    <field x="9"/>
    <field x="18"/>
    <field x="19"/>
    <field x="7"/>
    <field x="8"/>
    <field x="11"/>
  </rowFields>
  <rowItems count="14">
    <i>
      <x v="83"/>
      <x v="3"/>
      <x v="3"/>
      <x v="72"/>
      <x v="67"/>
      <x v="2"/>
      <x v="85"/>
      <x v="69"/>
    </i>
    <i>
      <x v="88"/>
      <x v="4"/>
      <x v="8"/>
      <x v="72"/>
      <x v="68"/>
      <x/>
      <x v="91"/>
      <x v="79"/>
    </i>
    <i>
      <x v="89"/>
      <x v="3"/>
      <x v="3"/>
      <x v="73"/>
      <x v="69"/>
      <x v="2"/>
      <x v="92"/>
      <x v="75"/>
    </i>
    <i>
      <x v="93"/>
      <x v="4"/>
      <x v="3"/>
      <x v="75"/>
      <x v="71"/>
      <x v="2"/>
      <x v="95"/>
      <x v="80"/>
    </i>
    <i>
      <x v="94"/>
      <x v="4"/>
      <x v="3"/>
      <x v="77"/>
      <x v="73"/>
      <x v="2"/>
      <x v="96"/>
      <x v="19"/>
    </i>
    <i>
      <x v="95"/>
      <x v="4"/>
      <x v="3"/>
      <x v="76"/>
      <x v="72"/>
      <x v="2"/>
      <x v="97"/>
      <x v="25"/>
    </i>
    <i>
      <x v="96"/>
      <x v="4"/>
      <x v="3"/>
      <x v="78"/>
      <x v="74"/>
      <x v="2"/>
      <x v="98"/>
      <x v="81"/>
    </i>
    <i>
      <x v="97"/>
      <x v="4"/>
      <x v="3"/>
      <x v="79"/>
      <x v="75"/>
      <x v="2"/>
      <x v="99"/>
      <x v="82"/>
    </i>
    <i>
      <x v="98"/>
      <x v="4"/>
      <x v="3"/>
      <x v="80"/>
      <x v="76"/>
      <x v="2"/>
      <x v="100"/>
      <x v="25"/>
    </i>
    <i>
      <x v="99"/>
      <x v="4"/>
      <x v="3"/>
      <x v="80"/>
      <x v="76"/>
      <x v="2"/>
      <x v="101"/>
      <x v="83"/>
    </i>
    <i>
      <x v="100"/>
      <x v="4"/>
      <x v="3"/>
      <x v="80"/>
      <x v="76"/>
      <x v="2"/>
      <x v="102"/>
      <x v="83"/>
    </i>
    <i>
      <x v="101"/>
      <x v="4"/>
      <x v="3"/>
      <x v="81"/>
      <x v="77"/>
      <x v="2"/>
      <x v="103"/>
      <x v="84"/>
    </i>
    <i>
      <x v="102"/>
      <x v="4"/>
      <x v="3"/>
      <x v="83"/>
      <x v="79"/>
      <x v="2"/>
      <x v="105"/>
      <x v="61"/>
    </i>
    <i>
      <x v="103"/>
      <x v="4"/>
      <x v="3"/>
      <x v="82"/>
      <x v="78"/>
      <x v="2"/>
      <x v="104"/>
      <x v="85"/>
    </i>
  </rowItems>
  <colItems count="1">
    <i/>
  </colItems>
  <dataFields count="1">
    <dataField name="Soma de VALOR CONTRATO" fld="20" baseField="0" baseItem="0" numFmtId="4"/>
  </dataFields>
  <formats count="11">
    <format dxfId="66">
      <pivotArea field="18" type="button" dataOnly="0" labelOnly="1" outline="0" axis="axisRow" fieldPosition="5"/>
    </format>
    <format dxfId="65">
      <pivotArea outline="0" fieldPosition="0">
        <references count="1">
          <reference field="4294967294" count="1">
            <x v="0"/>
          </reference>
        </references>
      </pivotArea>
    </format>
    <format dxfId="64">
      <pivotArea field="18" type="button" dataOnly="0" labelOnly="1" outline="0" axis="axisRow" fieldPosition="5"/>
    </format>
    <format dxfId="63">
      <pivotArea field="18" type="button" dataOnly="0" labelOnly="1" outline="0" axis="axisRow" fieldPosition="5"/>
    </format>
    <format dxfId="62">
      <pivotArea field="18" type="button" dataOnly="0" labelOnly="1" outline="0" axis="axisRow" fieldPosition="5"/>
    </format>
    <format dxfId="61">
      <pivotArea field="18" type="button" dataOnly="0" labelOnly="1" outline="0" axis="axisRow" fieldPosition="5"/>
    </format>
    <format dxfId="60">
      <pivotArea dataOnly="0" labelOnly="1" outline="0" fieldPosition="0">
        <references count="1">
          <reference field="4" count="1">
            <x v="67"/>
          </reference>
        </references>
      </pivotArea>
    </format>
    <format dxfId="59">
      <pivotArea outline="0" fieldPosition="0">
        <references count="1">
          <reference field="4" count="6" selected="0">
            <x v="70"/>
            <x v="71"/>
            <x v="72"/>
            <x v="73"/>
            <x v="74"/>
            <x v="75"/>
          </reference>
        </references>
      </pivotArea>
    </format>
    <format dxfId="58">
      <pivotArea outline="0" fieldPosition="0">
        <references count="1">
          <reference field="4" count="4" selected="0">
            <x v="79"/>
            <x v="80"/>
            <x v="81"/>
            <x v="82"/>
          </reference>
        </references>
      </pivotArea>
    </format>
    <format dxfId="57">
      <pivotArea dataOnly="0" labelOnly="1" outline="0" fieldPosition="0">
        <references count="1">
          <reference field="4" count="4">
            <x v="79"/>
            <x v="80"/>
            <x v="81"/>
            <x v="82"/>
          </reference>
        </references>
      </pivotArea>
    </format>
    <format dxfId="56">
      <pivotArea dataOnly="0" labelOnly="1" outline="0" fieldPosition="0">
        <references count="1">
          <reference field="4" count="6">
            <x v="70"/>
            <x v="71"/>
            <x v="72"/>
            <x v="73"/>
            <x v="74"/>
            <x v="75"/>
          </reference>
        </references>
      </pivotArea>
    </format>
  </format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_4.DISP_INEX" displayName="Tab_4.DISP_INEX" ref="B4:AM128" totalsRowShown="0" headerRowDxfId="249" dataDxfId="247" headerRowBorderDxfId="248" tableBorderDxfId="246">
  <tableColumns count="38">
    <tableColumn id="6" xr3:uid="{00000000-0010-0000-0000-000006000000}" name="DATA RECEBIDO" dataDxfId="245"/>
    <tableColumn id="14" xr3:uid="{00000000-0010-0000-0000-00000E000000}" name="RESPONSÁVEL GCC" dataDxfId="244"/>
    <tableColumn id="19" xr3:uid="{00000000-0010-0000-0000-000013000000}" name="STATUS" dataDxfId="243"/>
    <tableColumn id="35" xr3:uid="{EAAC2FC9-74A8-403A-8C54-E3DA0B3599D0}" name="ETAPA" dataDxfId="242"/>
    <tableColumn id="11" xr3:uid="{00000000-0010-0000-0000-00000B000000}" name="Nº PROCESSO SIGA" dataDxfId="241"/>
    <tableColumn id="24" xr3:uid="{00000000-0010-0000-0000-000018000000}" name="DIRETORIA" dataDxfId="240"/>
    <tableColumn id="4" xr3:uid="{00000000-0010-0000-0000-000004000000}" name="ÁREA REQUISITANTE" dataDxfId="239"/>
    <tableColumn id="33" xr3:uid="{00000000-0010-0000-0000-000021000000}" name="TIPO DO OBJETO" dataDxfId="238"/>
    <tableColumn id="2" xr3:uid="{00000000-0010-0000-0000-000002000000}" name="OBJETO" dataDxfId="237"/>
    <tableColumn id="9" xr3:uid="{00000000-0010-0000-0000-000009000000}" name="MODALIDADE" dataDxfId="236"/>
    <tableColumn id="27" xr3:uid="{00000000-0010-0000-0000-00001B000000}" name="NATUREZA DO CONTRATO" dataDxfId="235"/>
    <tableColumn id="12" xr3:uid="{00000000-0010-0000-0000-00000C000000}" name="FORNECEDOR" dataDxfId="234"/>
    <tableColumn id="5" xr3:uid="{00000000-0010-0000-0000-000005000000}" name="CNPJ/CPF" dataDxfId="233"/>
    <tableColumn id="28" xr3:uid="{00000000-0010-0000-0000-00001C000000}" name="TIPO DO CONTRATO" dataDxfId="232"/>
    <tableColumn id="23" xr3:uid="{00000000-0010-0000-0000-000017000000}" name="NOTA DE EMPENHO" dataDxfId="231"/>
    <tableColumn id="20" xr3:uid="{00000000-0010-0000-0000-000014000000}" name="Nº CONTRATO" dataDxfId="230"/>
    <tableColumn id="18" xr3:uid="{00000000-0010-0000-0000-000012000000}" name="Nº CTR assinado" dataDxfId="229"/>
    <tableColumn id="21" xr3:uid="{00000000-0010-0000-0000-000015000000}" name="DATA ASSINATURA" dataDxfId="228"/>
    <tableColumn id="3" xr3:uid="{00000000-0010-0000-0000-000003000000}" name="INÍCIO VIGÊNCIA" dataDxfId="227"/>
    <tableColumn id="1" xr3:uid="{00000000-0010-0000-0000-000001000000}" name="FINAL _x000a_VIGÊNCIA" dataDxfId="226"/>
    <tableColumn id="10" xr3:uid="{00000000-0010-0000-0000-00000A000000}" name="VALOR CONTRATO" dataDxfId="225" dataCellStyle="Moeda"/>
    <tableColumn id="8" xr3:uid="{00000000-0010-0000-0000-000008000000}" name="Nº DEG " dataDxfId="224"/>
    <tableColumn id="15" xr3:uid="{00000000-0010-0000-0000-00000F000000}" name="FISCAL DO CONTRATO" dataDxfId="223"/>
    <tableColumn id="16" xr3:uid="{00000000-0010-0000-0000-000010000000}" name="SIGILO" dataDxfId="222"/>
    <tableColumn id="13" xr3:uid="{00000000-0010-0000-0000-00000D000000}" name="Nº RC SAP" dataDxfId="221"/>
    <tableColumn id="29" xr3:uid="{00000000-0010-0000-0000-00001D000000}" name="Nº Fornecedor SAP" dataDxfId="220"/>
    <tableColumn id="7" xr3:uid="{00000000-0010-0000-0000-000007000000}" name="Nº CTR SAP" dataDxfId="219"/>
    <tableColumn id="17" xr3:uid="{00000000-0010-0000-0000-000011000000}" name="DATA _x000a_FINALIZADO" dataDxfId="218">
      <calculatedColumnFormula>TODAY()</calculatedColumnFormula>
    </tableColumn>
    <tableColumn id="26" xr3:uid="{00000000-0010-0000-0000-00001A000000}" name="DIAS ÚTEIS" dataDxfId="217">
      <calculatedColumnFormula>NETWORKDAYS.INTL(Tab_4.DISP_INEX[[#This Row],[DATA RECEBIDO]],Tab_4.DISP_INEX[[#This Row],[DATA 
FINALIZADO]],1,Lista!$U$3:$U$15)</calculatedColumnFormula>
    </tableColumn>
    <tableColumn id="25" xr3:uid="{00000000-0010-0000-0000-000019000000}" name="RESPONSÁVEL GESTÃO"/>
    <tableColumn id="22" xr3:uid="{00000000-0010-0000-0000-000016000000}" name="OBSERVAÇÃO" dataDxfId="216"/>
    <tableColumn id="31" xr3:uid="{00000000-0010-0000-0000-00001F000000}" name="Nº DA LICITAÇÃO" dataDxfId="215"/>
    <tableColumn id="30" xr3:uid="{00000000-0010-0000-0000-00001E000000}" name="Compra divulgada no PNCP" dataDxfId="214"/>
    <tableColumn id="32" xr3:uid="{00000000-0010-0000-0000-000020000000}" name="Publicação do Contrato PNCP" dataDxfId="213"/>
    <tableColumn id="34" xr3:uid="{3BECEC4A-2AEA-4C2A-8C92-4A5AD9F332C8}" name="Arquivo do contrato" dataDxfId="212" dataCellStyle="Hiperlink"/>
    <tableColumn id="36" xr3:uid="{05AB70DF-DC29-4B32-A0FE-2012CFEF1E50}" name="TR" dataDxfId="211"/>
    <tableColumn id="37" xr3:uid="{F40CB99F-0F9C-4963-99CA-BC366F01E131}" name="JUST. ESCOLHA FORNECEDOR" dataDxfId="210"/>
    <tableColumn id="38" xr3:uid="{B36B6892-BECF-4DCA-9D52-E3A46BD8BC15}" name="ATO RATIFICAÇÃO (Autor. Sup)" dataDxfId="209"/>
  </tableColumns>
  <tableStyleInfo name="TableStyleMedium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F810C2A-1259-452F-89CF-CA2D39562CB5}" name="Tabela1524" displayName="Tabela1524" ref="B5:L19" totalsRowCount="1" headerRowDxfId="55" dataDxfId="53" totalsRowDxfId="52" headerRowBorderDxfId="54">
  <autoFilter ref="B5:L18" xr:uid="{4F810C2A-1259-452F-89CF-CA2D39562CB5}"/>
  <tableColumns count="11">
    <tableColumn id="1" xr3:uid="{9757B23E-786E-44E9-948F-D7F089FE6EE3}" name="Nº PROCESSO " totalsRowLabel="Total" dataDxfId="51" totalsRowDxfId="50"/>
    <tableColumn id="2" xr3:uid="{82B3896B-06D5-49E9-8482-E020ACED8FD6}" name="TIPO DO CONTRATO" dataDxfId="49" totalsRowDxfId="48"/>
    <tableColumn id="3" xr3:uid="{82BC632A-DF90-40A6-889F-7517AB59165D}" name="Nº CONTRATO" totalsRowFunction="count" dataDxfId="47" totalsRowDxfId="46"/>
    <tableColumn id="10" xr3:uid="{E7F34D74-868D-4E01-A216-B1616D195EBC}" name="FISCAL" dataDxfId="45" totalsRowDxfId="44"/>
    <tableColumn id="4" xr3:uid="{03123CA7-699D-4681-AD9F-DC2CA4279972}" name="MODALID. LICITAÇÃO" dataDxfId="43" totalsRowDxfId="42"/>
    <tableColumn id="5" xr3:uid="{AB3A3A4D-4FC8-439B-873B-88094A99F79D}" name="INÍCIO DA VIGÊNCIA" dataDxfId="41" totalsRowDxfId="40"/>
    <tableColumn id="6" xr3:uid="{6BDDF927-F93F-4029-BC44-1CC02901C622}" name="FIM DA VIGÊNCIA" dataDxfId="39" totalsRowDxfId="38"/>
    <tableColumn id="11" xr3:uid="{F987854A-7B96-4AAC-88DE-15C949C7E8BE}" name="Tipo do Objeto" dataDxfId="37" totalsRowDxfId="36"/>
    <tableColumn id="7" xr3:uid="{4B4C98EC-D52C-4316-A2A7-F68B314E8888}" name="OBJETO" dataDxfId="35" totalsRowDxfId="34"/>
    <tableColumn id="8" xr3:uid="{8E35DD81-B657-4036-A9A7-A843EE2B7865}" name="FORNECEDOR" dataDxfId="33" totalsRowDxfId="32"/>
    <tableColumn id="9" xr3:uid="{3C3A302C-B98E-4CF2-B5B1-2A54410C8DC0}" name="VALOR DO CONTRATO" totalsRowFunction="sum" dataDxfId="31" totalsRowDxfId="30" dataCellStyle="Vírgul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ela152" displayName="Tabela152" ref="B5:L35" totalsRowCount="1" headerRowDxfId="29" dataDxfId="27" totalsRowDxfId="26" headerRowBorderDxfId="28">
  <tableColumns count="11">
    <tableColumn id="1" xr3:uid="{00000000-0010-0000-0100-000001000000}" name="Nº PROCESSO " totalsRowLabel="Total" dataDxfId="25" totalsRowDxfId="24"/>
    <tableColumn id="2" xr3:uid="{00000000-0010-0000-0100-000002000000}" name="TIPO DO CONTRATO" dataDxfId="23" totalsRowDxfId="22"/>
    <tableColumn id="3" xr3:uid="{00000000-0010-0000-0100-000003000000}" name="Nº CONTRATO" totalsRowFunction="count" dataDxfId="21" totalsRowDxfId="20"/>
    <tableColumn id="10" xr3:uid="{00000000-0010-0000-0100-00000A000000}" name="FISCAL" dataDxfId="19" totalsRowDxfId="18"/>
    <tableColumn id="4" xr3:uid="{00000000-0010-0000-0100-000004000000}" name="MODALID. LICITAÇÃO" dataDxfId="17" totalsRowDxfId="16"/>
    <tableColumn id="5" xr3:uid="{00000000-0010-0000-0100-000005000000}" name="INÍCIO DA VIGÊNCIA" dataDxfId="15" totalsRowDxfId="14"/>
    <tableColumn id="6" xr3:uid="{00000000-0010-0000-0100-000006000000}" name="FIM DA VIGÊNCIA" dataDxfId="13" totalsRowDxfId="12"/>
    <tableColumn id="11" xr3:uid="{00000000-0010-0000-0100-00000B000000}" name="Tipo do Objeto" dataDxfId="11" totalsRowDxfId="10"/>
    <tableColumn id="7" xr3:uid="{00000000-0010-0000-0100-000007000000}" name="OBJETO" dataDxfId="9" totalsRowDxfId="8"/>
    <tableColumn id="8" xr3:uid="{00000000-0010-0000-0100-000008000000}" name="FORNECEDOR" dataDxfId="7" totalsRowDxfId="6"/>
    <tableColumn id="9" xr3:uid="{00000000-0010-0000-0100-000009000000}" name="VALOR DO CONTRATO" totalsRowFunction="sum" dataDxfId="5" totalsRowDxfId="4" dataCellStyle="Vírgul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telebras.com.br/wp-content/uploads/2026/06/83_TR_SERPRO-SERVICO-FEDERAL-DE-PROCESSAMENTO-DE-DADOS.pdf" TargetMode="External"/><Relationship Id="rId299" Type="http://schemas.openxmlformats.org/officeDocument/2006/relationships/table" Target="../tables/table1.xml"/><Relationship Id="rId21" Type="http://schemas.openxmlformats.org/officeDocument/2006/relationships/hyperlink" Target="https://www.telebras.com.br/wp-content/uploads/2025/04/3.2025NE000572-Inove-Treinamentos-e-Capacitacao-Ltda.pdf" TargetMode="External"/><Relationship Id="rId63" Type="http://schemas.openxmlformats.org/officeDocument/2006/relationships/hyperlink" Target="https://www.telebras.com.br/wp-content/uploads/2024/12/34.2024NE000684-IBET-INSTITUTO-BRASILEIRO-DE-ESTUDOS-TRIBUTARIOS.pdf" TargetMode="External"/><Relationship Id="rId159" Type="http://schemas.openxmlformats.org/officeDocument/2006/relationships/hyperlink" Target="https://www.telebras.com.br/wp-content/uploads/2026/06/104_TR_AABC-Organizacao-de-Eventos-Ltda.pdf" TargetMode="External"/><Relationship Id="rId170" Type="http://schemas.openxmlformats.org/officeDocument/2006/relationships/hyperlink" Target="https://www.telebras.com.br/wp-content/uploads/2026/06/108_RAT_IEEE-International-Conference-on-Communications.pdf" TargetMode="External"/><Relationship Id="rId226" Type="http://schemas.openxmlformats.org/officeDocument/2006/relationships/hyperlink" Target="https://www.telebras.com.br/wp-content/uploads/2026/06/11_RAT_IMPAKT-CONSULTORIA-SS-LIMITADA.pdf" TargetMode="External"/><Relationship Id="rId268" Type="http://schemas.openxmlformats.org/officeDocument/2006/relationships/hyperlink" Target="https://www.telebras.com.br/wp-content/uploads/2026/06/26_RAT_Fundacao-Getulio-Vargas.pdf" TargetMode="External"/><Relationship Id="rId32" Type="http://schemas.openxmlformats.org/officeDocument/2006/relationships/hyperlink" Target="https://www.telebras.com.br/wp-content/uploads/2025/09/14.2025NE000953-RENATO-DE-PAULA-APRESENTACOES-INTELIGENTES-LTDA-PPTPLAY.pdf" TargetMode="External"/><Relationship Id="rId74" Type="http://schemas.openxmlformats.org/officeDocument/2006/relationships/hyperlink" Target="https://www.telebras.com.br/wp-content/uploads/2025/02/71.2024NE001081-INSTITUTO-BRASILEIRO-DE-GOVERNANCA-CORPORATIV_1.pdf" TargetMode="External"/><Relationship Id="rId128" Type="http://schemas.openxmlformats.org/officeDocument/2006/relationships/hyperlink" Target="https://www.telebras.com.br/wp-content/uploads/2026/06/94_RAT_INSTITUTO-DOS-AUDITORES-INTERNOS-DO-BRASIL.pdf" TargetMode="External"/><Relationship Id="rId5" Type="http://schemas.openxmlformats.org/officeDocument/2006/relationships/hyperlink" Target="https://www.telebras.com.br/wp-content/uploads/2026/03/1.TLB-AUT-202600714-SERPRO-SERVICO-FEDERAL-DE-PROCESSAMENTO-DE-DADOS-Tipo-do-objeto-Servicos.pdf" TargetMode="External"/><Relationship Id="rId181" Type="http://schemas.openxmlformats.org/officeDocument/2006/relationships/hyperlink" Target="https://www.telebras.com.br/wp-content/uploads/2026/06/112_JUST_INSTITUTO-DOS-AUDITORES-INTERNOS-DO-BRASIL.pdf" TargetMode="External"/><Relationship Id="rId237" Type="http://schemas.openxmlformats.org/officeDocument/2006/relationships/hyperlink" Target="https://www.telebras.com.br/wp-content/uploads/2026/06/16_JUST_Integracao-Escola-de-Negocios-Ltda.pdf" TargetMode="External"/><Relationship Id="rId279" Type="http://schemas.openxmlformats.org/officeDocument/2006/relationships/hyperlink" Target="https://www.telebras.com.br/wp-content/uploads/2026/06/30_JUST_NP-Tecnologia-e-Gestao-de-Dados-Ltda.pdf" TargetMode="External"/><Relationship Id="rId43" Type="http://schemas.openxmlformats.org/officeDocument/2006/relationships/hyperlink" Target="https://www.telebras.com.br/wp-content/uploads/2025/12/25.TLB-ORC-2025.00008-Instituto-Brasileiro-de-Governanca-Corporativa.pdf" TargetMode="External"/><Relationship Id="rId139" Type="http://schemas.openxmlformats.org/officeDocument/2006/relationships/hyperlink" Target="https://www.telebras.com.br/wp-content/uploads/2026/06/98_JUST_BIOSEG-BRASILIA-SOLUCOES-EM-SEGURANCA-E-MEDICINA-DO-TRABALHO-LTDA.pdf" TargetMode="External"/><Relationship Id="rId290" Type="http://schemas.openxmlformats.org/officeDocument/2006/relationships/hyperlink" Target="https://www.telebras.com.br/wp-content/uploads/2026/06/33_TR_INSTITUTO-BRASILEIRO-DE-GOVERNANCA-CORPORATIVA.pdf" TargetMode="External"/><Relationship Id="rId85" Type="http://schemas.openxmlformats.org/officeDocument/2006/relationships/hyperlink" Target="https://www.telebras.com.br/wp-content/uploads/2025/02/82.2024NE001109-ABTD-ASSOCIACAO-BRASILEIRA-DE-TREINAMENTO_6.pdf" TargetMode="External"/><Relationship Id="rId150" Type="http://schemas.openxmlformats.org/officeDocument/2006/relationships/hyperlink" Target="https://www.telebras.com.br/wp-content/uploads/2026/06/101_TR_-Access-Intelligence-LLC.pdf" TargetMode="External"/><Relationship Id="rId192" Type="http://schemas.openxmlformats.org/officeDocument/2006/relationships/hyperlink" Target="https://www.telebras.com.br/wp-content/uploads/2026/06/115_TR_PADTEC-S.A-.pdf" TargetMode="External"/><Relationship Id="rId206" Type="http://schemas.openxmlformats.org/officeDocument/2006/relationships/hyperlink" Target="https://www.telebras.com.br/wp-content/uploads/2026/06/4_TR_Teracom-Telematica-S.A.pdf" TargetMode="External"/><Relationship Id="rId248" Type="http://schemas.openxmlformats.org/officeDocument/2006/relationships/hyperlink" Target="https://www.telebras.com.br/wp-content/uploads/2026/06/19_TR_Space-Data-Association.pdf" TargetMode="External"/><Relationship Id="rId12" Type="http://schemas.openxmlformats.org/officeDocument/2006/relationships/hyperlink" Target="https://www.telebras.com.br/wp-content/uploads/2026/03/8.-TLB-ORC-202600008-SUPREME-CAPACITACAO-E-TREINAMENTO-LTDA-Tipo-do-objeto-Servicos.pdf" TargetMode="External"/><Relationship Id="rId108" Type="http://schemas.openxmlformats.org/officeDocument/2006/relationships/hyperlink" Target="https://www.telebras.com.br/wp-content/uploads/2026/05/TLBORC202600024A_ESPM-Associacao-Escola-Superior-de-Propaganda-e-Marketing.pdf" TargetMode="External"/><Relationship Id="rId54" Type="http://schemas.openxmlformats.org/officeDocument/2006/relationships/hyperlink" Target="https://www.telebras.com.br/wp-content/uploads/2025/08/18.TLB-CTR-2025.00048-ASSOCIACAO-BRASILEIRA-DE-ENTIDADES-ESTADUAIS-E-PUBLICAS-DE-TECNOLOGIA-DA-INFORMACAO-E-COMUNICACAO-&#8211;-ABEP-TIC.pdf" TargetMode="External"/><Relationship Id="rId75" Type="http://schemas.openxmlformats.org/officeDocument/2006/relationships/hyperlink" Target="https://www.telebras.com.br/wp-content/uploads/2025/02/72.2024NE001084-FUNDACAO-INSTITUTO-NACIONAL-DE-TELECOMUNICACO_2.pdf" TargetMode="External"/><Relationship Id="rId96" Type="http://schemas.openxmlformats.org/officeDocument/2006/relationships/hyperlink" Target="https://www.telebras.com.br/wp-content/uploads/2026/04/7.-2024NE000711-INTEG-ESCOLA-DE-NEGOCIOS-LTDA-1.pdf" TargetMode="External"/><Relationship Id="rId140" Type="http://schemas.openxmlformats.org/officeDocument/2006/relationships/hyperlink" Target="https://www.telebras.com.br/wp-content/uploads/2026/06/98_RAT_BIOSEG-BRASILIA-SOLUCOES-EM-SEGURANCA-E-MEDICINA-DO-TRABALHO-LTDA.pdf" TargetMode="External"/><Relationship Id="rId161" Type="http://schemas.openxmlformats.org/officeDocument/2006/relationships/hyperlink" Target="https://www.telebras.com.br/wp-content/uploads/2026/06/105_RAT_RUTE-ARANTES-DE-AZEVEDO-ME.pdf" TargetMode="External"/><Relationship Id="rId182" Type="http://schemas.openxmlformats.org/officeDocument/2006/relationships/hyperlink" Target="https://www.telebras.com.br/wp-content/uploads/2026/06/112_RAT_INSTITUTO-DOS-AUDITORES-INTERNOS-DO-BRASIL.pdf" TargetMode="External"/><Relationship Id="rId217" Type="http://schemas.openxmlformats.org/officeDocument/2006/relationships/hyperlink" Target="https://www.telebras.com.br/wp-content/uploads/2026/06/8_RAT_Zenite-Informacao-e-Consultoria-SA.pdf" TargetMode="External"/><Relationship Id="rId6" Type="http://schemas.openxmlformats.org/officeDocument/2006/relationships/hyperlink" Target="https://www.telebras.com.br/wp-content/uploads/2026/03/2.TLB-ORC-202600002-G2-AR-CONDICIONADO-LTDA-Tipo-do-objeto-Compras.pdf" TargetMode="External"/><Relationship Id="rId238" Type="http://schemas.openxmlformats.org/officeDocument/2006/relationships/hyperlink" Target="https://www.telebras.com.br/wp-content/uploads/2026/06/16_RAT_Integracao-Escola-de-Negocios-Ltda.pdf" TargetMode="External"/><Relationship Id="rId259" Type="http://schemas.openxmlformats.org/officeDocument/2006/relationships/hyperlink" Target="https://www.telebras.com.br/wp-content/uploads/2026/06/23_RAT_-Associacao-Brasileira-de-Recursos-Humanos.pdf" TargetMode="External"/><Relationship Id="rId23" Type="http://schemas.openxmlformats.org/officeDocument/2006/relationships/hyperlink" Target="https://www.telebras.com.br/wp-content/uploads/2025/05/5.TA-no-04720000_2025NE000613-ABRINT.pdf" TargetMode="External"/><Relationship Id="rId119" Type="http://schemas.openxmlformats.org/officeDocument/2006/relationships/hyperlink" Target="https://www.telebras.com.br/wp-content/uploads/2026/06/88_JUST_G2-AR-CONDICIONADO-LTDA.pdf" TargetMode="External"/><Relationship Id="rId270" Type="http://schemas.openxmlformats.org/officeDocument/2006/relationships/hyperlink" Target="https://www.telebras.com.br/wp-content/uploads/2026/06/27_JUST_Fundacao-Getulio-Vargas.pdf" TargetMode="External"/><Relationship Id="rId291" Type="http://schemas.openxmlformats.org/officeDocument/2006/relationships/hyperlink" Target="https://www.telebras.com.br/wp-content/uploads/2026/06/34_JUST_Fundacao-Instituto-Nacional-de-Telecomunicacoes.pdf" TargetMode="External"/><Relationship Id="rId44" Type="http://schemas.openxmlformats.org/officeDocument/2006/relationships/hyperlink" Target="https://www.telebras.com.br/wp-content/uploads/2025/12/26.-TLB-ORC-2025.00010-Ibmec-Educacional-Ltda.pdf" TargetMode="External"/><Relationship Id="rId65" Type="http://schemas.openxmlformats.org/officeDocument/2006/relationships/hyperlink" Target="https://www.telebras.com.br/wp-content/uploads/2024/12/41.2024NE000896-ASSOCIACAO-BRASILEIRA-DE-ENTIDADES-ESTADUAIS.pdf" TargetMode="External"/><Relationship Id="rId86" Type="http://schemas.openxmlformats.org/officeDocument/2006/relationships/hyperlink" Target="https://www.telebras.com.br/wp-content/uploads/2025/02/83.2024NE001137-KA-SOLUTION-INFORMATICA-LTDA_7.pdf" TargetMode="External"/><Relationship Id="rId130" Type="http://schemas.openxmlformats.org/officeDocument/2006/relationships/hyperlink" Target="https://www.telebras.com.br/wp-content/uploads/2026/06/95_JUST_-QSP-Centro-da-Qualidade-Seguranca-e-Produtividade-para-o-Brasil-e-America-Latina.pdf" TargetMode="External"/><Relationship Id="rId151" Type="http://schemas.openxmlformats.org/officeDocument/2006/relationships/hyperlink" Target="https://www.telebras.com.br/wp-content/uploads/2026/06/102_JUST_Neurobox-Tecnologia-em-Informatica-Ltda.pdf" TargetMode="External"/><Relationship Id="rId172" Type="http://schemas.openxmlformats.org/officeDocument/2006/relationships/hyperlink" Target="https://www.telebras.com.br/wp-content/uploads/2026/06/109_JUST_ABRH-Associacao-Brasileira-de-Recursos-Humanos.pdf" TargetMode="External"/><Relationship Id="rId193" Type="http://schemas.openxmlformats.org/officeDocument/2006/relationships/hyperlink" Target="https://www.telebras.com.br/wp-content/uploads/2026/06/116_JUST_NOBRE-BRINDES-LTDA.pdf" TargetMode="External"/><Relationship Id="rId207" Type="http://schemas.openxmlformats.org/officeDocument/2006/relationships/hyperlink" Target="https://www.telebras.com.br/wp-content/uploads/2026/06/5_JUST_Inlabs-Capacitacao-Profissional-Ltda.pdf" TargetMode="External"/><Relationship Id="rId228" Type="http://schemas.openxmlformats.org/officeDocument/2006/relationships/hyperlink" Target="https://www.telebras.com.br/wp-content/uploads/2026/06/12_JUST_IBET-Instituto-Brasileiro-de-Estudos-Tributarios.pdf" TargetMode="External"/><Relationship Id="rId249" Type="http://schemas.openxmlformats.org/officeDocument/2006/relationships/hyperlink" Target="https://www.telebras.com.br/wp-content/uploads/2026/06/20_JUST_Associacao-Brasileira-de-Entidades-Estaduais-e-Publicas-de-tecnologia-da-Infrmcao-e-comunicacao-ES-ABEP.pdf" TargetMode="External"/><Relationship Id="rId13" Type="http://schemas.openxmlformats.org/officeDocument/2006/relationships/hyperlink" Target="https://www.telebras.com.br/wp-content/uploads/2026/03/10.TLB-ORC-202600010-BIOSEG-BRASILIA-SOLUCOES-EM-SEGURANCA-E-MEDICINA-DO-TRABALHO-LTDA-Tipo-do-objeto-Servicos.pdf" TargetMode="External"/><Relationship Id="rId109" Type="http://schemas.openxmlformats.org/officeDocument/2006/relationships/hyperlink" Target="https://www.telebras.com.br/wp-content/uploads/2026/05/TLBORC202600021A_AABC-Organizacao-de-Eventos-Ltda.pdf" TargetMode="External"/><Relationship Id="rId260" Type="http://schemas.openxmlformats.org/officeDocument/2006/relationships/hyperlink" Target="https://www.telebras.com.br/wp-content/uploads/2026/06/23_TR_-Associacao-Brasileira-de-Recursos-Humanos.pdf" TargetMode="External"/><Relationship Id="rId281" Type="http://schemas.openxmlformats.org/officeDocument/2006/relationships/hyperlink" Target="https://www.telebras.com.br/wp-content/uploads/2026/06/30_TR_NP-Tecnologia-e-Gestao-de-Dados-Ltda.pdf" TargetMode="External"/><Relationship Id="rId34" Type="http://schemas.openxmlformats.org/officeDocument/2006/relationships/hyperlink" Target="https://www.telebras.com.br/wp-content/uploads/2025/08/15.2025NE001047-Ibmec-Educacional-Ltda.pdf" TargetMode="External"/><Relationship Id="rId55" Type="http://schemas.openxmlformats.org/officeDocument/2006/relationships/hyperlink" Target="https://www.telebras.com.br/wp-content/uploads/2026/01/39.TLB-CTR-2025.00090-VERTIV-TECNOLOGIA-DO-BRASIL-LTDA.pdf" TargetMode="External"/><Relationship Id="rId76" Type="http://schemas.openxmlformats.org/officeDocument/2006/relationships/hyperlink" Target="https://www.telebras.com.br/wp-content/uploads/2025/02/73.2024NE001085-AKADEMIA-DE-TRANSFORMACAO-ORGANIZACIONAL-LTDA.pdf" TargetMode="External"/><Relationship Id="rId97" Type="http://schemas.openxmlformats.org/officeDocument/2006/relationships/hyperlink" Target="https://www.telebras.com.br/wp-content/uploads/2026/04/6.-2024NE000820-ASSOC-BRAS-PROVEDORES-DE-INTERNET-ABRINT-1.pdf" TargetMode="External"/><Relationship Id="rId120" Type="http://schemas.openxmlformats.org/officeDocument/2006/relationships/hyperlink" Target="https://www.telebras.com.br/wp-content/uploads/2026/06/88_APR_G2-AR-CONDICIONADO-LTDA.pdf" TargetMode="External"/><Relationship Id="rId141" Type="http://schemas.openxmlformats.org/officeDocument/2006/relationships/hyperlink" Target="https://www.telebras.com.br/wp-content/uploads/2026/06/98_TR_BIOSEG-BRASILIA-SOLUCOES-EM-SEGURANCA-E-MEDICINA-DO-TRABALHO-LTDA.pdf" TargetMode="External"/><Relationship Id="rId7" Type="http://schemas.openxmlformats.org/officeDocument/2006/relationships/hyperlink" Target="https://www.telebras.com.br/wp-content/uploads/2026/03/3.TLB-AUT-202600688-Empresa-Brasileira-de-Correios-e-Telegrafos-Tipo-do-objeto-Servicos.pdf" TargetMode="External"/><Relationship Id="rId162" Type="http://schemas.openxmlformats.org/officeDocument/2006/relationships/hyperlink" Target="https://www.telebras.com.br/wp-content/uploads/2026/06/105_TR_RUTE-ARANTES-DE-AZEVEDO-ME.pdf" TargetMode="External"/><Relationship Id="rId183" Type="http://schemas.openxmlformats.org/officeDocument/2006/relationships/hyperlink" Target="https://www.telebras.com.br/wp-content/uploads/2026/06/112_TR_INSTITUTO-DOS-AUDITORES-INTERNOS-DO-BRASIL.pdf" TargetMode="External"/><Relationship Id="rId218" Type="http://schemas.openxmlformats.org/officeDocument/2006/relationships/hyperlink" Target="https://www.telebras.com.br/wp-content/uploads/2026/06/8_TR_Zenite-Informacao-e-Consultoria-SA.pdf" TargetMode="External"/><Relationship Id="rId239" Type="http://schemas.openxmlformats.org/officeDocument/2006/relationships/hyperlink" Target="https://www.telebras.com.br/wp-content/uploads/2026/06/16_TR_Integracao-Escola-de-Negocios-Ltda.pdf" TargetMode="External"/><Relationship Id="rId250" Type="http://schemas.openxmlformats.org/officeDocument/2006/relationships/hyperlink" Target="https://www.telebras.com.br/wp-content/uploads/2026/06/20_RAT_Associacao-Brasileira-de-Entidades-Estaduais-e-Publicas-de-tecnologia-da-Infrmcao-e-comunicacao-ES-ABEP.pdf" TargetMode="External"/><Relationship Id="rId271" Type="http://schemas.openxmlformats.org/officeDocument/2006/relationships/hyperlink" Target="https://www.telebras.com.br/wp-content/uploads/2026/06/27_RAT_Fundacao-Getulio-Vargas.pdf" TargetMode="External"/><Relationship Id="rId292" Type="http://schemas.openxmlformats.org/officeDocument/2006/relationships/hyperlink" Target="https://www.telebras.com.br/wp-content/uploads/2026/06/34_RAT_Fundacao-Instituto-Nacional-de-Telecomunicacoes.pdf" TargetMode="External"/><Relationship Id="rId24" Type="http://schemas.openxmlformats.org/officeDocument/2006/relationships/hyperlink" Target="https://www.telebras.com.br/wp-content/uploads/2025/05/6.2025NE000608-KPMG-Business-School-Treinamentos-Corporativos.pdf" TargetMode="External"/><Relationship Id="rId45" Type="http://schemas.openxmlformats.org/officeDocument/2006/relationships/hyperlink" Target="https://www.telebras.com.br/wp-content/uploads/2025/12/27.TLB-ORC-2025.00004-MARFAP-COMERCIAL-LTDA.pdf" TargetMode="External"/><Relationship Id="rId66" Type="http://schemas.openxmlformats.org/officeDocument/2006/relationships/hyperlink" Target="https://www.telebras.com.br/wp-content/uploads/2024/12/39.2024NE000909-Bioseg-Brasilia-Solucoes-em-Seguranca-e-Medicina-do-Trabalho-Ltda.pdf" TargetMode="External"/><Relationship Id="rId87" Type="http://schemas.openxmlformats.org/officeDocument/2006/relationships/hyperlink" Target="https://www.telebras.com.br/wp-content/uploads/2024/12/14.2024NE000601-INLABS-CAPACITACAO-PROFISSIONAL-LTDA.pdf" TargetMode="External"/><Relationship Id="rId110" Type="http://schemas.openxmlformats.org/officeDocument/2006/relationships/hyperlink" Target="https://www.telebras.com.br/wp-content/uploads/2026/06/TLBORC202600031A_Instituto-dos-Auditores-Internos-do-Brasil.pdf" TargetMode="External"/><Relationship Id="rId131" Type="http://schemas.openxmlformats.org/officeDocument/2006/relationships/hyperlink" Target="https://www.telebras.com.br/wp-content/uploads/2026/06/95_RAT_-QSP-Centro-da-Qualidade-Seguranca-e-Produtividade-para-o-Brasil-e-America-Latina.pdf" TargetMode="External"/><Relationship Id="rId152" Type="http://schemas.openxmlformats.org/officeDocument/2006/relationships/hyperlink" Target="https://www.telebras.com.br/wp-content/uploads/2026/06/102_RAT_Neurobox-Tecnologia-em-Informatica-Ltda.pdf" TargetMode="External"/><Relationship Id="rId173" Type="http://schemas.openxmlformats.org/officeDocument/2006/relationships/hyperlink" Target="https://www.telebras.com.br/wp-content/uploads/2026/06/109_RAT_ABRH-Associacao-Brasileira-de-Recursos-Humanos.pdf" TargetMode="External"/><Relationship Id="rId194" Type="http://schemas.openxmlformats.org/officeDocument/2006/relationships/hyperlink" Target="https://www.telebras.com.br/wp-content/uploads/2026/06/116_RAT_NOBRE-BRINDES-LTDA.pdf" TargetMode="External"/><Relationship Id="rId208" Type="http://schemas.openxmlformats.org/officeDocument/2006/relationships/hyperlink" Target="https://www.telebras.com.br/wp-content/uploads/2026/06/5_RAT_Inlabs-Capacitacao-Profissional-Ltda.pdf" TargetMode="External"/><Relationship Id="rId229" Type="http://schemas.openxmlformats.org/officeDocument/2006/relationships/hyperlink" Target="https://www.telebras.com.br/wp-content/uploads/2026/06/12_RAT_IBET-Instituto-Brasileiro-de-Estudos-Tributarios.pdf" TargetMode="External"/><Relationship Id="rId240" Type="http://schemas.openxmlformats.org/officeDocument/2006/relationships/hyperlink" Target="https://www.telebras.com.br/wp-content/uploads/2026/06/17_JUST_LEC-EDUCACAO-E-PESQUISA-LTDA.pdf" TargetMode="External"/><Relationship Id="rId261" Type="http://schemas.openxmlformats.org/officeDocument/2006/relationships/hyperlink" Target="https://www.telebras.com.br/wp-content/uploads/2026/06/24_JUST_Associacao-Brasileira-de-Gestao-do-Conhecimento-SBGC.pdf" TargetMode="External"/><Relationship Id="rId14" Type="http://schemas.openxmlformats.org/officeDocument/2006/relationships/hyperlink" Target="https://www.telebras.com.br/wp-content/uploads/2026/03/9.-TLB-ORC-202600011-Instituto-dos-Auditores-Internos-do-Brasil-Tipo-do-objeto-Servicos.pdf" TargetMode="External"/><Relationship Id="rId35" Type="http://schemas.openxmlformats.org/officeDocument/2006/relationships/hyperlink" Target="https://www.telebras.com.br/wp-content/uploads/2025/10/17.2025NE001089-Instituto-Brasileiro-de-Governanca-Corporativa.pdf" TargetMode="External"/><Relationship Id="rId56" Type="http://schemas.openxmlformats.org/officeDocument/2006/relationships/hyperlink" Target="https://www.telebras.com.br/wp-content/uploads/2025/12/29.TLB-CTR-2025.00089-IMPAKT-CONSULTORIA-SS-LIMITADA.pdf" TargetMode="External"/><Relationship Id="rId77" Type="http://schemas.openxmlformats.org/officeDocument/2006/relationships/hyperlink" Target="https://www.telebras.com.br/wp-content/uploads/2025/02/74.2024NE001082-MARIANA-RODRIGUES-DE-LIMA_3.pdf" TargetMode="External"/><Relationship Id="rId100" Type="http://schemas.openxmlformats.org/officeDocument/2006/relationships/hyperlink" Target="https://www.telebras.com.br/wp-content/uploads/2026/04/12.-2024NE000891-FUNDACAO-NACIONAL-DE-QUALIDADE-FNQ-1.pdf" TargetMode="External"/><Relationship Id="rId282" Type="http://schemas.openxmlformats.org/officeDocument/2006/relationships/hyperlink" Target="https://www.telebras.com.br/wp-content/uploads/2026/06/31_JUST_Zenite-Informacao-e-Consultoria-SA.pdf" TargetMode="External"/><Relationship Id="rId8" Type="http://schemas.openxmlformats.org/officeDocument/2006/relationships/hyperlink" Target="https://www.telebras.com.br/wp-content/uploads/2026/03/4.TLB-ORC-202600003-TOSTAO-FURADO-LTDA-Tipo-do-objeto-Servicos.pdf" TargetMode="External"/><Relationship Id="rId98" Type="http://schemas.openxmlformats.org/officeDocument/2006/relationships/hyperlink" Target="https://www.telebras.com.br/wp-content/uploads/2026/04/5.-2024NE000693-LEC-EDUC-E-PESQUISA-LTDA-1.pdf" TargetMode="External"/><Relationship Id="rId121" Type="http://schemas.openxmlformats.org/officeDocument/2006/relationships/hyperlink" Target="https://www.telebras.com.br/wp-content/uploads/2026/06/89_RAT_Empresa-Brasileira-de-Correios-e-Telegrafos.pdf" TargetMode="External"/><Relationship Id="rId142" Type="http://schemas.openxmlformats.org/officeDocument/2006/relationships/hyperlink" Target="https://www.telebras.com.br/wp-content/uploads/2026/06/99_JUST_BIOSEG-BRASILIA-SOLUCOES-EM-SEGURANCA-E-MEDICINA-DO-TRABALHO-LTDA.pdf" TargetMode="External"/><Relationship Id="rId163" Type="http://schemas.openxmlformats.org/officeDocument/2006/relationships/hyperlink" Target="https://www.telebras.com.br/wp-content/uploads/2026/06/106_JUST_ASSOCIACAO-BRASILEIRA-DE-PROVEDORES-DE-INTERNET-E-TELECOMUNICACOES.pdf" TargetMode="External"/><Relationship Id="rId184" Type="http://schemas.openxmlformats.org/officeDocument/2006/relationships/hyperlink" Target="https://www.telebras.com.br/wp-content/uploads/2026/06/113_JUST_INSTITUTO-DOS-AUDITORES-INTERNOS-DO-BRASIL.pdf" TargetMode="External"/><Relationship Id="rId219" Type="http://schemas.openxmlformats.org/officeDocument/2006/relationships/hyperlink" Target="https://www.telebras.com.br/wp-content/uploads/2026/06/9_JUST_ATP-Specials-BV.pdf" TargetMode="External"/><Relationship Id="rId230" Type="http://schemas.openxmlformats.org/officeDocument/2006/relationships/hyperlink" Target="https://www.telebras.com.br/wp-content/uploads/2026/06/12_TR_IBET-Instituto-Brasileiro-de-Estudos-Tributarios.pdf" TargetMode="External"/><Relationship Id="rId251" Type="http://schemas.openxmlformats.org/officeDocument/2006/relationships/hyperlink" Target="https://www.telebras.com.br/wp-content/uploads/2026/06/20_TR_Associacao-Brasileira-de-Entidades-Estaduais-e-Publicas-de-tecnologia-da-Infrmcao-e-comunicacao-ES-ABEP.pdf" TargetMode="External"/><Relationship Id="rId25" Type="http://schemas.openxmlformats.org/officeDocument/2006/relationships/hyperlink" Target="https://www.telebras.com.br/wp-content/uploads/2025/05/7.2025NE000607-MODERNPMO-GESTAO-E-TECNOLOGIA-LTDA-GESTAO-E-TECNOLOGIA-LTDA.pdf" TargetMode="External"/><Relationship Id="rId46" Type="http://schemas.openxmlformats.org/officeDocument/2006/relationships/hyperlink" Target="https://www.telebras.com.br/wp-content/uploads/2025/12/28.TLB-ORC-2025.00011-SOUL-DISTRIBUIDORA-DE-PRODUTOS-E-EQUIPAMENTOS-INDUSTRIAIS-LTDA.pdf" TargetMode="External"/><Relationship Id="rId67" Type="http://schemas.openxmlformats.org/officeDocument/2006/relationships/hyperlink" Target="https://www.telebras.com.br/wp-content/uploads/2024/12/42.2024NE000895-ASSOCIACAO-BRASILEIRA-DE-RECURSOS-HUMANOS.pdf" TargetMode="External"/><Relationship Id="rId272" Type="http://schemas.openxmlformats.org/officeDocument/2006/relationships/hyperlink" Target="https://www.telebras.com.br/wp-content/uploads/2026/06/27_TR_Fundacao-Getulio-Vargas.pdf" TargetMode="External"/><Relationship Id="rId293" Type="http://schemas.openxmlformats.org/officeDocument/2006/relationships/hyperlink" Target="https://www.telebras.com.br/wp-content/uploads/2026/06/34_TR_Fundacao-Instituto-Nacional-de-Telecomunicacoes.pdf" TargetMode="External"/><Relationship Id="rId88" Type="http://schemas.openxmlformats.org/officeDocument/2006/relationships/hyperlink" Target="https://www.telebras.com.br/wp-content/uploads/2024/12/29.-TLB-CTR-2024-00045-INSTITUTO-BRASILEIRO-DE-GOVERNANCA-CORPORATIVA-IBGC.pdf" TargetMode="External"/><Relationship Id="rId111" Type="http://schemas.openxmlformats.org/officeDocument/2006/relationships/hyperlink" Target="https://www.telebras.com.br/wp-content/uploads/2026/06/TLBORC202600033A_Instituto-dos-Auditores-Internos-do-Brasil.pdf" TargetMode="External"/><Relationship Id="rId132" Type="http://schemas.openxmlformats.org/officeDocument/2006/relationships/hyperlink" Target="https://www.telebras.com.br/wp-content/uploads/2026/06/95_TR_-QSP-Centro-da-Qualidade-Seguranca-e-Produtividade-para-o-Brasil-e-America-Latina.pdf" TargetMode="External"/><Relationship Id="rId153" Type="http://schemas.openxmlformats.org/officeDocument/2006/relationships/hyperlink" Target="https://www.telebras.com.br/wp-content/uploads/2026/06/102_TR_Neurobox-Tecnologia-em-Informatica-Ltda.pdf" TargetMode="External"/><Relationship Id="rId174" Type="http://schemas.openxmlformats.org/officeDocument/2006/relationships/hyperlink" Target="https://www.telebras.com.br/wp-content/uploads/2026/06/109_TR_ABRH-Associacao-Brasileira-de-Recursos-Humanos.pdf" TargetMode="External"/><Relationship Id="rId195" Type="http://schemas.openxmlformats.org/officeDocument/2006/relationships/hyperlink" Target="https://www.telebras.com.br/wp-content/uploads/2026/06/116_TR_NOBRE-BRINDES-LTDA.pdf" TargetMode="External"/><Relationship Id="rId209" Type="http://schemas.openxmlformats.org/officeDocument/2006/relationships/hyperlink" Target="https://www.telebras.com.br/wp-content/uploads/2026/06/5_TR_Inlabs-Capacitacao-Profissional-Ltda.pdf" TargetMode="External"/><Relationship Id="rId220" Type="http://schemas.openxmlformats.org/officeDocument/2006/relationships/hyperlink" Target="https://www.telebras.com.br/wp-content/uploads/2026/06/9_RAT_ATP-Specials-BV.pdf" TargetMode="External"/><Relationship Id="rId241" Type="http://schemas.openxmlformats.org/officeDocument/2006/relationships/hyperlink" Target="https://www.telebras.com.br/wp-content/uploads/2026/06/17_RAT_LEC-EDUCACAO-E-PESQUISA-LTDA.pdf" TargetMode="External"/><Relationship Id="rId15" Type="http://schemas.openxmlformats.org/officeDocument/2006/relationships/hyperlink" Target="https://www.telebras.com.br/wp-content/uploads/2026/03/11.-TLB-ORC-202600012-BIOSEG-BRASILIA-SOLUCOES-EM-SEGURANCA-E-MEDICINA-DO-TRABALHO-LTDA-Tipo-do-objeto-Servicos.pdf" TargetMode="External"/><Relationship Id="rId36" Type="http://schemas.openxmlformats.org/officeDocument/2006/relationships/hyperlink" Target="https://www.telebras.com.br/wp-content/uploads/2025/10/18.2025NE001096-Congresso-Brasileiro-de-Auditoria-Interna.pdf" TargetMode="External"/><Relationship Id="rId57" Type="http://schemas.openxmlformats.org/officeDocument/2006/relationships/hyperlink" Target="https://www.telebras.com.br/wp-content/uploads/2025/10/25.TLB-CTR-2025.00061-FONNET-COMERCIO-DE-EQUIPAMENTOS-DE-TELECOMUNICACOES-LTDA.pdf" TargetMode="External"/><Relationship Id="rId262" Type="http://schemas.openxmlformats.org/officeDocument/2006/relationships/hyperlink" Target="https://www.telebras.com.br/wp-content/uploads/2026/06/24_RAT_Associacao-Brasileira-de-Gestao-do-Conhecimento-SBGC.pdf" TargetMode="External"/><Relationship Id="rId283" Type="http://schemas.openxmlformats.org/officeDocument/2006/relationships/hyperlink" Target="https://www.telebras.com.br/wp-content/uploads/2026/06/31_RAT_Zenite-Informacao-e-Consultoria-SA.pdf" TargetMode="External"/><Relationship Id="rId78" Type="http://schemas.openxmlformats.org/officeDocument/2006/relationships/hyperlink" Target="https://www.telebras.com.br/wp-content/uploads/2025/02/75.2024NE001088-BMEC-EDUCACIONAL-LTDA_4.pdf" TargetMode="External"/><Relationship Id="rId99" Type="http://schemas.openxmlformats.org/officeDocument/2006/relationships/hyperlink" Target="https://www.telebras.com.br/wp-content/uploads/2026/04/4.-2024NE000824-IMPAKT-CONSULTORIA-1.pdf" TargetMode="External"/><Relationship Id="rId101" Type="http://schemas.openxmlformats.org/officeDocument/2006/relationships/hyperlink" Target="https://www.telebras.com.br/wp-content/uploads/2026/04/15.-TLBORC202600018-Agencia-Espacial-Francesa-Tipo-do-objeto-servico.pdf" TargetMode="External"/><Relationship Id="rId122" Type="http://schemas.openxmlformats.org/officeDocument/2006/relationships/hyperlink" Target="https://www.telebras.com.br/wp-content/uploads/2026/06/89_JUST_Empresa-Brasileira-de-Correios-e-Telegrafos.pdf" TargetMode="External"/><Relationship Id="rId143" Type="http://schemas.openxmlformats.org/officeDocument/2006/relationships/hyperlink" Target="https://www.telebras.com.br/wp-content/uploads/2026/06/99_RAT_BIOSEG-BRASILIA-SOLUCOES-EM-SEGURANCA-E-MEDICINA-DO-TRABALHO-LTDA.pdf" TargetMode="External"/><Relationship Id="rId164" Type="http://schemas.openxmlformats.org/officeDocument/2006/relationships/hyperlink" Target="https://www.telebras.com.br/wp-content/uploads/2026/06/106_RAT_ASSOCIACAO-BRASILEIRA-DE-PROVEDORES-DE-INTERNET-E-TELECOMUNICACOES.pdf" TargetMode="External"/><Relationship Id="rId185" Type="http://schemas.openxmlformats.org/officeDocument/2006/relationships/hyperlink" Target="https://www.telebras.com.br/wp-content/uploads/2026/06/113_RAT_INSTITUTO-DOS-AUDITORES-INTERNOS-DO-BRASIL.pdf" TargetMode="External"/><Relationship Id="rId9" Type="http://schemas.openxmlformats.org/officeDocument/2006/relationships/hyperlink" Target="https://www.telebras.com.br/wp-content/uploads/2026/03/5.TLB-ORC-202600006-Ibmec-Educacional-Ltda-Tipo-do-objeto-Servicos.pdf" TargetMode="External"/><Relationship Id="rId210" Type="http://schemas.openxmlformats.org/officeDocument/2006/relationships/hyperlink" Target="https://www.telebras.com.br/wp-content/uploads/2026/06/6_JUST_ACCESS-INTELLIGENCE-LLC.pdf" TargetMode="External"/><Relationship Id="rId26" Type="http://schemas.openxmlformats.org/officeDocument/2006/relationships/hyperlink" Target="https://www.telebras.com.br/wp-content/uploads/2025/05/8.2025NE000610-FK-PARTNERS.pdf" TargetMode="External"/><Relationship Id="rId231" Type="http://schemas.openxmlformats.org/officeDocument/2006/relationships/hyperlink" Target="https://www.telebras.com.br/wp-content/uploads/2026/06/13_JUST_Cenofisco-Centro-de-Capacitacao-Profissional-Ltda.pdf" TargetMode="External"/><Relationship Id="rId252" Type="http://schemas.openxmlformats.org/officeDocument/2006/relationships/hyperlink" Target="https://www.telebras.com.br/wp-content/uploads/2026/06/21_JUST_Bioseg-Brasilia-Solucoes-em-Seguranca-e-Medicina-do-Trabalho-Ltda.pdf" TargetMode="External"/><Relationship Id="rId273" Type="http://schemas.openxmlformats.org/officeDocument/2006/relationships/hyperlink" Target="https://www.telebras.com.br/wp-content/uploads/2026/06/28_JUST_Instituto-Brasileiro-de-Governanca-Corporativa.pdf" TargetMode="External"/><Relationship Id="rId294" Type="http://schemas.openxmlformats.org/officeDocument/2006/relationships/hyperlink" Target="https://www.telebras.com.br/wp-content/uploads/2026/06/35_TR_Akademia-de-Transformacao-Organizacional-LTDA.pdf" TargetMode="External"/><Relationship Id="rId47" Type="http://schemas.openxmlformats.org/officeDocument/2006/relationships/hyperlink" Target="https://www.telebras.com.br/wp-content/uploads/2026/01/29.2025NE000855-M-J-REFRIGERACAO-LTDA.pdf" TargetMode="External"/><Relationship Id="rId68" Type="http://schemas.openxmlformats.org/officeDocument/2006/relationships/hyperlink" Target="https://www.telebras.com.br/wp-content/uploads/2025/02/68.2024NE000946-Fundacao-Getulio-Vargas.pdf" TargetMode="External"/><Relationship Id="rId89" Type="http://schemas.openxmlformats.org/officeDocument/2006/relationships/hyperlink" Target="https://www.telebras.com.br/wp-content/uploads/2026/04/15.-2024NE001135-FUNDACAO-GETULIO-VARGAS-1.pdf" TargetMode="External"/><Relationship Id="rId112" Type="http://schemas.openxmlformats.org/officeDocument/2006/relationships/hyperlink" Target="https://www.telebras.com.br/wp-content/uploads/2026/06/78_JUST_ROLLS-ROYCE-SOLUTIONS-BRASIL-LTDA.pdf" TargetMode="External"/><Relationship Id="rId133" Type="http://schemas.openxmlformats.org/officeDocument/2006/relationships/hyperlink" Target="https://www.telebras.com.br/wp-content/uploads/2026/06/96_JUST_-SUPREME-CAPACITACAO-E-TREINAMENTO-LTDA.pdf" TargetMode="External"/><Relationship Id="rId154" Type="http://schemas.openxmlformats.org/officeDocument/2006/relationships/hyperlink" Target="https://www.telebras.com.br/wp-content/uploads/2026/06/103_JUST_-French-Space-Agency.pdf" TargetMode="External"/><Relationship Id="rId175" Type="http://schemas.openxmlformats.org/officeDocument/2006/relationships/hyperlink" Target="https://www.telebras.com.br/wp-content/uploads/2026/06/110_JUST_ABTD-ASSOCIACAO-BRASILEIRA-DE-TREINAMENTO.pdf" TargetMode="External"/><Relationship Id="rId196" Type="http://schemas.openxmlformats.org/officeDocument/2006/relationships/hyperlink" Target="https://www.telebras.com.br/wp-content/uploads/2026/06/120_RAT_HMD-BAR-E-LANCHONETE-LTDA.pdf" TargetMode="External"/><Relationship Id="rId200" Type="http://schemas.openxmlformats.org/officeDocument/2006/relationships/hyperlink" Target="https://www.telebras.com.br/wp-content/uploads/2026/06/1_TR_MARCIA-GONCALVES-FARIA-ROSA.pdf" TargetMode="External"/><Relationship Id="rId16" Type="http://schemas.openxmlformats.org/officeDocument/2006/relationships/hyperlink" Target="https://www.telebras.com.br/wp-content/uploads/2026/03/12.TLB-ORC-202600015-SAVE-PRODUCOES-EDITORIAIS-LTDA-Tipo-do-objeto-Servicos.pdf" TargetMode="External"/><Relationship Id="rId221" Type="http://schemas.openxmlformats.org/officeDocument/2006/relationships/hyperlink" Target="https://www.telebras.com.br/wp-content/uploads/2026/06/9_TR_ATP-Specials-BV.pdf" TargetMode="External"/><Relationship Id="rId242" Type="http://schemas.openxmlformats.org/officeDocument/2006/relationships/hyperlink" Target="https://www.telebras.com.br/wp-content/uploads/2026/06/17_TR_LEC-EDUCACAO-E-PESQUISA-LTDA.pdf" TargetMode="External"/><Relationship Id="rId263" Type="http://schemas.openxmlformats.org/officeDocument/2006/relationships/hyperlink" Target="https://www.telebras.com.br/wp-content/uploads/2026/06/24_TR_Associacao-Brasileira-de-Gestao-do-Conhecimento-SBGC.pdf" TargetMode="External"/><Relationship Id="rId284" Type="http://schemas.openxmlformats.org/officeDocument/2006/relationships/hyperlink" Target="https://www.telebras.com.br/wp-content/uploads/2026/06/31_TR_Zenite-Informacao-e-Consultoria-SA.pdf" TargetMode="External"/><Relationship Id="rId37" Type="http://schemas.openxmlformats.org/officeDocument/2006/relationships/hyperlink" Target="https://www.telebras.com.br/wp-content/uploads/2025/10/19.2025NE001103-Informa-Markets-Ltda.pdf" TargetMode="External"/><Relationship Id="rId58" Type="http://schemas.openxmlformats.org/officeDocument/2006/relationships/hyperlink" Target="https://www.telebras.com.br/wp-content/uploads/2025/12/33.TLB-CTR-2025.00103-CENTRO-BRASILEIRO-DE-PESQUISA-EM-AVALIACAO-E-SELECAO-E-DE-PROMOCAO-DE-EVENTOS-CEBRASPE.pdf" TargetMode="External"/><Relationship Id="rId79" Type="http://schemas.openxmlformats.org/officeDocument/2006/relationships/hyperlink" Target="https://www.telebras.com.br/wp-content/uploads/2025/02/76.2024NE001105-SINGULARES-TECNOLOGIA-DA-INFORMACAO-LTDA.pdf" TargetMode="External"/><Relationship Id="rId102" Type="http://schemas.openxmlformats.org/officeDocument/2006/relationships/hyperlink" Target="https://www.telebras.com.br/wp-content/uploads/2026/05/TLBORC202600022A_RUTE-ARANTES-DE-AZEVEDO-ME.pdf" TargetMode="External"/><Relationship Id="rId123" Type="http://schemas.openxmlformats.org/officeDocument/2006/relationships/hyperlink" Target="https://www.telebras.com.br/wp-content/uploads/2026/06/89_RAT_Empresa-Brasileira-de-Correios-e-Telegrafos.pdf" TargetMode="External"/><Relationship Id="rId144" Type="http://schemas.openxmlformats.org/officeDocument/2006/relationships/hyperlink" Target="https://www.telebras.com.br/wp-content/uploads/2026/06/99_TR_BIOSEG-BRASILIA-SOLUCOES-EM-SEGURANCA-E-MEDICINA-DO-TRABALHO-LTDA.pdf" TargetMode="External"/><Relationship Id="rId90" Type="http://schemas.openxmlformats.org/officeDocument/2006/relationships/hyperlink" Target="https://www.telebras.com.br/wp-content/uploads/2026/04/14.-2024NE000915-INST-BRAS-DE-GOVERNANCA-CORPORATIVA-1.pdf" TargetMode="External"/><Relationship Id="rId165" Type="http://schemas.openxmlformats.org/officeDocument/2006/relationships/hyperlink" Target="https://www.telebras.com.br/wp-content/uploads/2026/06/106_TR_ASSOCIACAO-BRASILEIRA-DE-PROVEDORES-DE-INTERNET-E-TELECOMUNICACOES.pdf" TargetMode="External"/><Relationship Id="rId186" Type="http://schemas.openxmlformats.org/officeDocument/2006/relationships/hyperlink" Target="https://www.telebras.com.br/wp-content/uploads/2026/06/113_TR_INSTITUTO-DOS-AUDITORES-INTERNOS-DO-BRASIL.pdf" TargetMode="External"/><Relationship Id="rId211" Type="http://schemas.openxmlformats.org/officeDocument/2006/relationships/hyperlink" Target="https://www.telebras.com.br/wp-content/uploads/2026/06/6_RAT_ACCESS-INTELLIGENCE-LLC.pdf" TargetMode="External"/><Relationship Id="rId232" Type="http://schemas.openxmlformats.org/officeDocument/2006/relationships/hyperlink" Target="https://www.telebras.com.br/wp-content/uploads/2026/06/13_RAT_Cenofisco-Centro-de-Capacitacao-Profissional-Ltda.pdf" TargetMode="External"/><Relationship Id="rId253" Type="http://schemas.openxmlformats.org/officeDocument/2006/relationships/hyperlink" Target="https://www.telebras.com.br/wp-content/uploads/2026/06/21_RAT_Bioseg-Brasilia-Solucoes-em-Seguranca-e-Medicina-do-Trabalho-Ltda.pdf" TargetMode="External"/><Relationship Id="rId274" Type="http://schemas.openxmlformats.org/officeDocument/2006/relationships/hyperlink" Target="https://www.telebras.com.br/wp-content/uploads/2026/06/28_RAT_Instituto-Brasileiro-de-Governanca-Corporativa.pdf" TargetMode="External"/><Relationship Id="rId295" Type="http://schemas.openxmlformats.org/officeDocument/2006/relationships/hyperlink" Target="https://www.telebras.com.br/wp-content/uploads/2026/06/35_JUST_Akademia-de-Transformacao-Organizacional-LTDA.pdf" TargetMode="External"/><Relationship Id="rId27" Type="http://schemas.openxmlformats.org/officeDocument/2006/relationships/hyperlink" Target="https://www.telebras.com.br/wp-content/uploads/2025/06/9.2025NE000690-A.-F.-Comercio-de-Livros-e-Cursos-Especializados-Ltda.pdf" TargetMode="External"/><Relationship Id="rId48" Type="http://schemas.openxmlformats.org/officeDocument/2006/relationships/hyperlink" Target="https://www.telebras.com.br/wp-content/uploads/2026/03/2025NE001037_Badia-e-Quartim-Advogados-&#8211;-BQA.pdf" TargetMode="External"/><Relationship Id="rId69" Type="http://schemas.openxmlformats.org/officeDocument/2006/relationships/hyperlink" Target="https://www.telebras.com.br/wp-content/uploads/2024/12/56.2024NE000972-INSTITUTO-BRASILEIRO-DE-GOVERNANCA-CORPORATIVA.pdf" TargetMode="External"/><Relationship Id="rId113" Type="http://schemas.openxmlformats.org/officeDocument/2006/relationships/hyperlink" Target="https://www.telebras.com.br/wp-content/uploads/2026/06/78_RAT_ROLLS-ROYCE-SOLUTIONS-BRASIL-LTDA.pdf" TargetMode="External"/><Relationship Id="rId134" Type="http://schemas.openxmlformats.org/officeDocument/2006/relationships/hyperlink" Target="https://www.telebras.com.br/wp-content/uploads/2026/06/96_RAT_-SUPREME-CAPACITACAO-E-TREINAMENTO-LTDA.pdf" TargetMode="External"/><Relationship Id="rId80" Type="http://schemas.openxmlformats.org/officeDocument/2006/relationships/hyperlink" Target="https://www.telebras.com.br/wp-content/uploads/2025/02/77.2024NE001098-MINDWORKS-TECNOLOGIA-E-TREINAMENTO-LTDA_5.pdf" TargetMode="External"/><Relationship Id="rId155" Type="http://schemas.openxmlformats.org/officeDocument/2006/relationships/hyperlink" Target="https://www.telebras.com.br/wp-content/uploads/2026/06/103_RAT_-French-Space-Agency.pdf" TargetMode="External"/><Relationship Id="rId176" Type="http://schemas.openxmlformats.org/officeDocument/2006/relationships/hyperlink" Target="https://www.telebras.com.br/wp-content/uploads/2026/06/110_RAT_ABTD-ASSOCIACAO-BRASILEIRA-DE-TREINAMENTO.pdf" TargetMode="External"/><Relationship Id="rId197" Type="http://schemas.openxmlformats.org/officeDocument/2006/relationships/hyperlink" Target="https://www.telebras.com.br/wp-content/uploads/2026/06/120_TR_HMD-BAR-E-LANCHONETE-LTDA.pdf" TargetMode="External"/><Relationship Id="rId201" Type="http://schemas.openxmlformats.org/officeDocument/2006/relationships/hyperlink" Target="https://www.telebras.com.br/wp-content/uploads/2026/06/2_JUST_NW-SHOP-COMERCIO-LTDA.pdf" TargetMode="External"/><Relationship Id="rId222" Type="http://schemas.openxmlformats.org/officeDocument/2006/relationships/hyperlink" Target="https://www.telebras.com.br/wp-content/uploads/2026/06/10_JUST_-Instituto-Brasileiro-de-Governanca-Corporativa-IBGC.pdf" TargetMode="External"/><Relationship Id="rId243" Type="http://schemas.openxmlformats.org/officeDocument/2006/relationships/hyperlink" Target="https://www.telebras.com.br/wp-content/uploads/2026/06/18_JUST_PS-Treinamento-Profissional-e-Consultoria-Empresarial-Ltda.pdf" TargetMode="External"/><Relationship Id="rId264" Type="http://schemas.openxmlformats.org/officeDocument/2006/relationships/hyperlink" Target="https://www.telebras.com.br/wp-content/uploads/2026/06/25_JUST_Instituto-Brasileiro-de-Governanca-Corporativa.pdf" TargetMode="External"/><Relationship Id="rId285" Type="http://schemas.openxmlformats.org/officeDocument/2006/relationships/hyperlink" Target="https://www.telebras.com.br/wp-content/uploads/2026/06/32_JUST_KPMG-Consultoria-Ltda.pdf" TargetMode="External"/><Relationship Id="rId17" Type="http://schemas.openxmlformats.org/officeDocument/2006/relationships/hyperlink" Target="https://www.telebras.com.br/wp-content/uploads/2026/03/13.TLB-ORC-202600016-Access-Intelligence-LLC-Tipo-do-objeto-Servicos.pdf" TargetMode="External"/><Relationship Id="rId38" Type="http://schemas.openxmlformats.org/officeDocument/2006/relationships/hyperlink" Target="https://www.telebras.com.br/wp-content/uploads/2025/10/20.2025NE001105-DLR-Deutsches-Zentrum-fur-Luft-und-Raumfahrt.pdf" TargetMode="External"/><Relationship Id="rId59" Type="http://schemas.openxmlformats.org/officeDocument/2006/relationships/hyperlink" Target="https://www.telebras.com.br/wp-content/uploads/2026/01/41.TLB-CTR-2025.00115-MPV-SERVICOS-DE-CLINICA-MEDICA-CARDIOLOGIA-E-CIRURGIA-GERAL-LTDA.pdf" TargetMode="External"/><Relationship Id="rId103" Type="http://schemas.openxmlformats.org/officeDocument/2006/relationships/hyperlink" Target="https://www.telebras.com.br/wp-content/uploads/2026/05/TLBAUT202607283A_ABRINT-1.pdf" TargetMode="External"/><Relationship Id="rId124" Type="http://schemas.openxmlformats.org/officeDocument/2006/relationships/hyperlink" Target="https://www.telebras.com.br/wp-content/uploads/2026/06/93_RAT_IBMEC-EDUCACIONAL-LTDA.pdf" TargetMode="External"/><Relationship Id="rId70" Type="http://schemas.openxmlformats.org/officeDocument/2006/relationships/hyperlink" Target="https://www.telebras.com.br/wp-content/uploads/2024/12/58.2024NE000985-Bioseg-Brasilia-Solucoes-em-Seguranca-e-Medicina-do-Trabalho-Ltda.pdf" TargetMode="External"/><Relationship Id="rId91" Type="http://schemas.openxmlformats.org/officeDocument/2006/relationships/hyperlink" Target="https://www.telebras.com.br/wp-content/uploads/2026/04/13.-2024NE000948-ASSOC-BRAS-DE-GESTAO-CONHECIMENTO-SBGC-1.pdf" TargetMode="External"/><Relationship Id="rId145" Type="http://schemas.openxmlformats.org/officeDocument/2006/relationships/hyperlink" Target="https://www.telebras.com.br/wp-content/uploads/2026/06/100_JUST_SAVE-PRODUCOES-EDITORIAIS-LTDA.pdf" TargetMode="External"/><Relationship Id="rId166" Type="http://schemas.openxmlformats.org/officeDocument/2006/relationships/hyperlink" Target="https://www.telebras.com.br/wp-content/uploads/2026/06/107_JUST_Eleva-Solucoes-Publicas-Ltda.pdf" TargetMode="External"/><Relationship Id="rId187" Type="http://schemas.openxmlformats.org/officeDocument/2006/relationships/hyperlink" Target="https://www.telebras.com.br/wp-content/uploads/2026/06/TLB-CTR-202600033_PADTEC-S.A-.pdf" TargetMode="External"/><Relationship Id="rId1" Type="http://schemas.openxmlformats.org/officeDocument/2006/relationships/hyperlink" Target="https://intranet2.telebras.com.br/sigaex/app/expediente/doc/exibir?sigla=TLB-ASS-2024/06974-A&amp;" TargetMode="External"/><Relationship Id="rId212" Type="http://schemas.openxmlformats.org/officeDocument/2006/relationships/hyperlink" Target="https://www.telebras.com.br/wp-content/uploads/2026/06/6_TR_ACCESS-INTELLIGENCE-LLC.pdf" TargetMode="External"/><Relationship Id="rId233" Type="http://schemas.openxmlformats.org/officeDocument/2006/relationships/hyperlink" Target="https://www.telebras.com.br/wp-content/uploads/2026/06/13_TR_Cenofisco-Centro-de-Capacitacao-Profissional-Ltda.pdf" TargetMode="External"/><Relationship Id="rId254" Type="http://schemas.openxmlformats.org/officeDocument/2006/relationships/hyperlink" Target="https://www.telebras.com.br/wp-content/uploads/2026/06/21_TR_Bioseg-Brasilia-Solucoes-em-Seguranca-e-Medicina-do-Trabalho-Ltda.pdf" TargetMode="External"/><Relationship Id="rId28" Type="http://schemas.openxmlformats.org/officeDocument/2006/relationships/hyperlink" Target="https://www.telebras.com.br/wp-content/uploads/2025/06/10.2025NE000716-3R-CAPACITA-COMERCIO-DE-MATERIAIS-DIDATICOS-E-SERVICOS-EDUCACIONAIS-LTDA.pdf" TargetMode="External"/><Relationship Id="rId49" Type="http://schemas.openxmlformats.org/officeDocument/2006/relationships/hyperlink" Target="https://www.telebras.com.br/wp-content/uploads/2025/04/4.TLB-CTR-2025.00023-DELL-COMPUTADORES-DO-BRASIL-LTDA.pdf" TargetMode="External"/><Relationship Id="rId114" Type="http://schemas.openxmlformats.org/officeDocument/2006/relationships/hyperlink" Target="https://www.telebras.com.br/wp-content/uploads/2026/06/78_TR_ROLLS-ROYCE-SOLUTIONS-BRASIL-LTDA.pdf" TargetMode="External"/><Relationship Id="rId275" Type="http://schemas.openxmlformats.org/officeDocument/2006/relationships/hyperlink" Target="https://www.telebras.com.br/wp-content/uploads/2026/06/28_TR_Instituto-Brasileiro-de-Governanca-Corporativa.pdf" TargetMode="External"/><Relationship Id="rId296" Type="http://schemas.openxmlformats.org/officeDocument/2006/relationships/hyperlink" Target="https://www.telebras.com.br/wp-content/uploads/2026/06/35_RAT_Akademia-de-Transformacao-Organizacional-LTDA.pdf" TargetMode="External"/><Relationship Id="rId60" Type="http://schemas.openxmlformats.org/officeDocument/2006/relationships/hyperlink" Target="https://www.telebras.com.br/wp-content/uploads/2025/02/69.2024NE001059-MARCIA-GONCALVES-FARIA-ROSA.pdf" TargetMode="External"/><Relationship Id="rId81" Type="http://schemas.openxmlformats.org/officeDocument/2006/relationships/hyperlink" Target="https://www.telebras.com.br/wp-content/uploads/2025/02/78.2024NE001103-FUNDACAO-INSTITUTO-DE-PESQUISAS-CONTABEIS-AT.pdf" TargetMode="External"/><Relationship Id="rId135" Type="http://schemas.openxmlformats.org/officeDocument/2006/relationships/hyperlink" Target="https://www.telebras.com.br/wp-content/uploads/2026/06/96_TR_-SUPREME-CAPACITACAO-E-TREINAMENTO-LTDA.pdf" TargetMode="External"/><Relationship Id="rId156" Type="http://schemas.openxmlformats.org/officeDocument/2006/relationships/hyperlink" Target="https://www.telebras.com.br/wp-content/uploads/2026/06/103_TR_-French-Space-Agency.pdf" TargetMode="External"/><Relationship Id="rId177" Type="http://schemas.openxmlformats.org/officeDocument/2006/relationships/hyperlink" Target="https://www.telebras.com.br/wp-content/uploads/2026/06/110_TR_ABTD-ASSOCIACAO-BRASILEIRA-DE-TREINAMENTO.pdf" TargetMode="External"/><Relationship Id="rId198" Type="http://schemas.openxmlformats.org/officeDocument/2006/relationships/hyperlink" Target="https://www.telebras.com.br/wp-content/uploads/2026/06/120_JUST_HMD-BAR-E-LANCHONETE-LTDA.pdf" TargetMode="External"/><Relationship Id="rId202" Type="http://schemas.openxmlformats.org/officeDocument/2006/relationships/hyperlink" Target="https://www.telebras.com.br/wp-content/uploads/2026/06/2_TR_NW-SHOP-COMERCIO-LTDA.pdf" TargetMode="External"/><Relationship Id="rId223" Type="http://schemas.openxmlformats.org/officeDocument/2006/relationships/hyperlink" Target="https://www.telebras.com.br/wp-content/uploads/2026/06/10_RAT_-Instituto-Brasileiro-de-Governanca-Corporativa-IBGC.pdf" TargetMode="External"/><Relationship Id="rId244" Type="http://schemas.openxmlformats.org/officeDocument/2006/relationships/hyperlink" Target="https://www.telebras.com.br/wp-content/uploads/2026/06/18_RAT_PS-Treinamento-Profissional-e-Consultoria-Empresarial-Ltda.pdf" TargetMode="External"/><Relationship Id="rId18" Type="http://schemas.openxmlformats.org/officeDocument/2006/relationships/hyperlink" Target="https://www.telebras.com.br/wp-content/uploads/2026/03/TLB-CTR-202600010.pdf" TargetMode="External"/><Relationship Id="rId39" Type="http://schemas.openxmlformats.org/officeDocument/2006/relationships/hyperlink" Target="https://www.telebras.com.br/wp-content/uploads/2025/10/21.-TLB-ORC-2025-00003-GLASBERG-COMUNICACOES-LTDA.pdf" TargetMode="External"/><Relationship Id="rId265" Type="http://schemas.openxmlformats.org/officeDocument/2006/relationships/hyperlink" Target="https://www.telebras.com.br/wp-content/uploads/2026/06/25_RAT_Instituto-Brasileiro-de-Governanca-Corporativa.pdf" TargetMode="External"/><Relationship Id="rId286" Type="http://schemas.openxmlformats.org/officeDocument/2006/relationships/hyperlink" Target="https://www.telebras.com.br/wp-content/uploads/2026/06/32_RAT_KPMG-Consultoria-Ltda.pdf" TargetMode="External"/><Relationship Id="rId50" Type="http://schemas.openxmlformats.org/officeDocument/2006/relationships/hyperlink" Target="https://www.telebras.com.br/wp-content/uploads/2025/04/5.TLB-CTR-2025.00022-DELL-COMPUTADORES-DO-BRASIL-LTDA.pdf" TargetMode="External"/><Relationship Id="rId104" Type="http://schemas.openxmlformats.org/officeDocument/2006/relationships/hyperlink" Target="https://www.telebras.com.br/wp-content/uploads/2026/05/TLBORC202600027A_ABRH-Associacao-Brasileira-de-Recursos-Humanos.pdf" TargetMode="External"/><Relationship Id="rId125" Type="http://schemas.openxmlformats.org/officeDocument/2006/relationships/hyperlink" Target="https://www.telebras.com.br/wp-content/uploads/2026/06/93_TR_IBMEC-EDUCACIONAL-LTDA.pdf" TargetMode="External"/><Relationship Id="rId146" Type="http://schemas.openxmlformats.org/officeDocument/2006/relationships/hyperlink" Target="https://www.telebras.com.br/wp-content/uploads/2026/06/100_RAT_SAVE-PRODUCOES-EDITORIAIS-LTDA.pdf" TargetMode="External"/><Relationship Id="rId167" Type="http://schemas.openxmlformats.org/officeDocument/2006/relationships/hyperlink" Target="https://www.telebras.com.br/wp-content/uploads/2026/06/107_RAT_Eleva-Solucoes-Publicas-Ltda.pdf" TargetMode="External"/><Relationship Id="rId188" Type="http://schemas.openxmlformats.org/officeDocument/2006/relationships/hyperlink" Target="https://www.telebras.com.br/wp-content/uploads/2026/06/TLBORC202600035A_HMD-BAR-E-LANCHONETE-LTDA.pdf" TargetMode="External"/><Relationship Id="rId71" Type="http://schemas.openxmlformats.org/officeDocument/2006/relationships/hyperlink" Target="https://www.telebras.com.br/wp-content/uploads/2024/12/59.2024NE001046-NP-Tecnologia-e-Gestao-de-Dados-Ltda.pdf" TargetMode="External"/><Relationship Id="rId92" Type="http://schemas.openxmlformats.org/officeDocument/2006/relationships/hyperlink" Target="https://www.telebras.com.br/wp-content/uploads/2026/04/11.-2024NE000920-INSTITUTO-DOS-AUDITORES-INTERNOS-DO-BRASIL-1.pdf" TargetMode="External"/><Relationship Id="rId213" Type="http://schemas.openxmlformats.org/officeDocument/2006/relationships/hyperlink" Target="https://www.telebras.com.br/wp-content/uploads/2026/06/7_JUST_Fundacao-Nacional-de-Qualidade-FNQ.pdf" TargetMode="External"/><Relationship Id="rId234" Type="http://schemas.openxmlformats.org/officeDocument/2006/relationships/hyperlink" Target="https://www.telebras.com.br/wp-content/uploads/2026/06/14_JUST_LEC-Educacao-e-Pesquisa-Ltda.pdf" TargetMode="External"/><Relationship Id="rId2" Type="http://schemas.openxmlformats.org/officeDocument/2006/relationships/hyperlink" Target="https://intranet2.telebras.com.br/sigaex/app/expediente/doc/exibir?sigla=TLB-ASS-2024/11013-A&amp;" TargetMode="External"/><Relationship Id="rId29" Type="http://schemas.openxmlformats.org/officeDocument/2006/relationships/hyperlink" Target="https://www.telebras.com.br/wp-content/uploads/2025/07/11.2025NE761-QSP-CENTRO-DA-QUALIDADE-SEGURANCA-E-PRODUTIVIDADE-PARA-O-BRASIL-E-AMERICA-LATINA.pdf" TargetMode="External"/><Relationship Id="rId255" Type="http://schemas.openxmlformats.org/officeDocument/2006/relationships/hyperlink" Target="https://www.telebras.com.br/wp-content/uploads/2026/06/22_JUST_Instituto-dos-Auditores-Internos-do-Brasil.pdf" TargetMode="External"/><Relationship Id="rId276" Type="http://schemas.openxmlformats.org/officeDocument/2006/relationships/hyperlink" Target="https://www.telebras.com.br/wp-content/uploads/2026/06/29_JUST_Bioseg-Brasilia-Solucoes-em-Seguranca-e-Medicina-do-Trabalho-Ltda.pdf" TargetMode="External"/><Relationship Id="rId297" Type="http://schemas.openxmlformats.org/officeDocument/2006/relationships/hyperlink" Target="https://www.telebras.com.br/wp-content/uploads/2026/06/TLBORC202500005A_NP-TECNOLOGIA-E-GESTAO-DE-DADOS-LTDA.pdf" TargetMode="External"/><Relationship Id="rId40" Type="http://schemas.openxmlformats.org/officeDocument/2006/relationships/hyperlink" Target="https://www.telebras.com.br/wp-content/uploads/2025/10/22.TLB-ORC-2025-00002-INSTITUTO-BRASILEIRO-DE-DIREITO-ADMINISTRATIVO-IBDA.pdf" TargetMode="External"/><Relationship Id="rId115" Type="http://schemas.openxmlformats.org/officeDocument/2006/relationships/hyperlink" Target="https://www.telebras.com.br/wp-content/uploads/2026/06/83_JUST_SERPRO-SERVICO-FEDERAL-DE-PROCESSAMENTO-DE-DADOS.pdf" TargetMode="External"/><Relationship Id="rId136" Type="http://schemas.openxmlformats.org/officeDocument/2006/relationships/hyperlink" Target="https://www.telebras.com.br/wp-content/uploads/2026/06/97_JUST_INSTITUTO-DOS-AUDITORES-INTERNOS-DO-BRASIL.pdf" TargetMode="External"/><Relationship Id="rId157" Type="http://schemas.openxmlformats.org/officeDocument/2006/relationships/hyperlink" Target="https://www.telebras.com.br/wp-content/uploads/2026/06/104_JUST_AABC-Organizacao-de-Eventos-Ltda.pdf" TargetMode="External"/><Relationship Id="rId178" Type="http://schemas.openxmlformats.org/officeDocument/2006/relationships/hyperlink" Target="https://www.telebras.com.br/wp-content/uploads/2026/06/111_JUST_ESPM-Associacao-Escola-Superior-de-Propaganda-e-Marketing.pdf" TargetMode="External"/><Relationship Id="rId61" Type="http://schemas.openxmlformats.org/officeDocument/2006/relationships/hyperlink" Target="https://www.telebras.com.br/wp-content/uploads/2024/12/16.2024NE000632-ZENITE-INFORMACAO-E-CONSULTORIA-SA.pdf" TargetMode="External"/><Relationship Id="rId82" Type="http://schemas.openxmlformats.org/officeDocument/2006/relationships/hyperlink" Target="https://www.telebras.com.br/wp-content/uploads/2025/02/79.2024NE001108-MINDWORKS-TECNOLOGIA-E-TREINAMENTO-LTDA.pdf" TargetMode="External"/><Relationship Id="rId199" Type="http://schemas.openxmlformats.org/officeDocument/2006/relationships/hyperlink" Target="https://www.telebras.com.br/wp-content/uploads/2026/06/1_JUST_MARCIA-GONCALVES-FARIA-ROSA.pdf" TargetMode="External"/><Relationship Id="rId203" Type="http://schemas.openxmlformats.org/officeDocument/2006/relationships/hyperlink" Target="https://www.telebras.com.br/wp-content/uploads/2026/06/3_JUST_GS-SERVICOS-LTDA.pdf" TargetMode="External"/><Relationship Id="rId19" Type="http://schemas.openxmlformats.org/officeDocument/2006/relationships/hyperlink" Target="https://www.telebras.com.br/wp-content/uploads/2025/04/1.2025NE000538-Instituto-Brasileiro-de-Governanca-Corporativa-IBGC.pdf" TargetMode="External"/><Relationship Id="rId224" Type="http://schemas.openxmlformats.org/officeDocument/2006/relationships/hyperlink" Target="https://www.telebras.com.br/wp-content/uploads/2026/06/10_TR_-Instituto-Brasileiro-de-Governanca-Corporativa-IBGC.pdf" TargetMode="External"/><Relationship Id="rId245" Type="http://schemas.openxmlformats.org/officeDocument/2006/relationships/hyperlink" Target="https://www.telebras.com.br/wp-content/uploads/2026/06/18_TR_PS-Treinamento-Profissional-e-Consultoria-Empresarial-Ltda.pdf" TargetMode="External"/><Relationship Id="rId266" Type="http://schemas.openxmlformats.org/officeDocument/2006/relationships/hyperlink" Target="https://www.telebras.com.br/wp-content/uploads/2026/06/25_TR_Instituto-Brasileiro-de-Governanca-Corporativa.pdf" TargetMode="External"/><Relationship Id="rId287" Type="http://schemas.openxmlformats.org/officeDocument/2006/relationships/hyperlink" Target="https://www.telebras.com.br/wp-content/uploads/2026/06/32_TR_KPMG-Consultoria-Ltda.pdf" TargetMode="External"/><Relationship Id="rId30" Type="http://schemas.openxmlformats.org/officeDocument/2006/relationships/hyperlink" Target="https://www.telebras.com.br/wp-content/uploads/2025/07/12.2025NE774-ABRH-Associacao-Brasileira-de-Recursos-Humanos.pdf" TargetMode="External"/><Relationship Id="rId105" Type="http://schemas.openxmlformats.org/officeDocument/2006/relationships/hyperlink" Target="https://www.telebras.com.br/wp-content/uploads/2026/05/TLBORC202600025A_ABTD-ASSOCIACAO-BRASILEIRA-DE-TREINAMENTO.pdf" TargetMode="External"/><Relationship Id="rId126" Type="http://schemas.openxmlformats.org/officeDocument/2006/relationships/hyperlink" Target="https://www.telebras.com.br/wp-content/uploads/2026/06/93_JUST_IBMEC-EDUCACIONAL-LTDA.pdf" TargetMode="External"/><Relationship Id="rId147" Type="http://schemas.openxmlformats.org/officeDocument/2006/relationships/hyperlink" Target="https://www.telebras.com.br/wp-content/uploads/2026/06/100_TR_SAVE-PRODUCOES-EDITORIAIS-LTDA.pdf" TargetMode="External"/><Relationship Id="rId168" Type="http://schemas.openxmlformats.org/officeDocument/2006/relationships/hyperlink" Target="https://www.telebras.com.br/wp-content/uploads/2026/06/107_TR_Eleva-Solucoes-Publicas-Ltda.pdf" TargetMode="External"/><Relationship Id="rId51" Type="http://schemas.openxmlformats.org/officeDocument/2006/relationships/hyperlink" Target="https://www.telebras.com.br/wp-content/uploads/2025/04/11.TLB-CTR-2025.00024-SC-BRASIL-GROUP-SOLUCOES-TECNOLOGICAS-LTDA.pdf" TargetMode="External"/><Relationship Id="rId72" Type="http://schemas.openxmlformats.org/officeDocument/2006/relationships/hyperlink" Target="https://www.telebras.com.br/wp-content/uploads/2025/02/70.2024NE001078-ZENITE-INFORMACAO-E-CONSULTORIA-SA.pdf" TargetMode="External"/><Relationship Id="rId93" Type="http://schemas.openxmlformats.org/officeDocument/2006/relationships/hyperlink" Target="https://www.telebras.com.br/wp-content/uploads/2026/04/10.-2024NE000940-SPACE-DATA-ASSOCIATION-1.pdf" TargetMode="External"/><Relationship Id="rId189" Type="http://schemas.openxmlformats.org/officeDocument/2006/relationships/hyperlink" Target="https://www.telebras.com.br/wp-content/uploads/2026/06/TLBORC202600029A_NOBRE-BRINDES-LTDA.pdf" TargetMode="External"/><Relationship Id="rId3" Type="http://schemas.openxmlformats.org/officeDocument/2006/relationships/hyperlink" Target="https://intranet2.telebras.com.br/sigaex/app/expediente/doc/exibir?sigla=TLB-ASS-2024/16583-A&amp;" TargetMode="External"/><Relationship Id="rId214" Type="http://schemas.openxmlformats.org/officeDocument/2006/relationships/hyperlink" Target="https://www.telebras.com.br/wp-content/uploads/2026/06/7_RAT_Fundacao-Nacional-de-Qualidade-FNQ.pdf" TargetMode="External"/><Relationship Id="rId235" Type="http://schemas.openxmlformats.org/officeDocument/2006/relationships/hyperlink" Target="https://www.telebras.com.br/wp-content/uploads/2026/06/14_RAT_LEC-Educacao-e-Pesquisa-Ltda.pdf" TargetMode="External"/><Relationship Id="rId256" Type="http://schemas.openxmlformats.org/officeDocument/2006/relationships/hyperlink" Target="https://www.telebras.com.br/wp-content/uploads/2026/06/22_RAT_Instituto-dos-Auditores-Internos-do-Brasil.pdf" TargetMode="External"/><Relationship Id="rId277" Type="http://schemas.openxmlformats.org/officeDocument/2006/relationships/hyperlink" Target="https://www.telebras.com.br/wp-content/uploads/2026/06/29_RAT_Bioseg-Brasilia-Solucoes-em-Seguranca-e-Medicina-do-Trabalho-Ltda.pdf" TargetMode="External"/><Relationship Id="rId298" Type="http://schemas.openxmlformats.org/officeDocument/2006/relationships/printerSettings" Target="../printerSettings/printerSettings1.bin"/><Relationship Id="rId116" Type="http://schemas.openxmlformats.org/officeDocument/2006/relationships/hyperlink" Target="https://www.telebras.com.br/wp-content/uploads/2026/06/83_RAT_SERPRO-SERVICO-FEDERAL-DE-PROCESSAMENTO-DE-DADOS.pdf" TargetMode="External"/><Relationship Id="rId137" Type="http://schemas.openxmlformats.org/officeDocument/2006/relationships/hyperlink" Target="https://www.telebras.com.br/wp-content/uploads/2026/06/97_RAT_INSTITUTO-DOS-AUDITORES-INTERNOS-DO-BRASIL.pdf" TargetMode="External"/><Relationship Id="rId158" Type="http://schemas.openxmlformats.org/officeDocument/2006/relationships/hyperlink" Target="https://www.telebras.com.br/wp-content/uploads/2026/06/104_RAT_AABC-Organizacao-de-Eventos-Ltda.pdf" TargetMode="External"/><Relationship Id="rId20" Type="http://schemas.openxmlformats.org/officeDocument/2006/relationships/hyperlink" Target="https://www.telebras.com.br/wp-content/uploads/2025/04/2.2025NE000539-Zenite-Informacao-e-Consultoria.A.pdf" TargetMode="External"/><Relationship Id="rId41" Type="http://schemas.openxmlformats.org/officeDocument/2006/relationships/hyperlink" Target="https://www.telebras.com.br/wp-content/uploads/2025/12/23.-TLB-ORC-2025.00006-Instituto-dos-Auditores-Internos-do-Brasil.pdf" TargetMode="External"/><Relationship Id="rId62" Type="http://schemas.openxmlformats.org/officeDocument/2006/relationships/hyperlink" Target="https://www.telebras.com.br/wp-content/uploads/2024/12/13.2024NE000628-ATP-SPECIALS-BV.pdf" TargetMode="External"/><Relationship Id="rId83" Type="http://schemas.openxmlformats.org/officeDocument/2006/relationships/hyperlink" Target="https://www.telebras.com.br/wp-content/uploads/2025/02/80.2024NE001104-MINDWORKS-TECNOLOGIA-E-TREINAMENTO-LTDA.pdf" TargetMode="External"/><Relationship Id="rId179" Type="http://schemas.openxmlformats.org/officeDocument/2006/relationships/hyperlink" Target="https://www.telebras.com.br/wp-content/uploads/2026/06/111_RAT_ESPM-Associacao-Escola-Superior-de-Propaganda-e-Marketing.pdf" TargetMode="External"/><Relationship Id="rId190" Type="http://schemas.openxmlformats.org/officeDocument/2006/relationships/hyperlink" Target="https://www.telebras.com.br/wp-content/uploads/2026/06/115_JUST_PADTEC-S.A-.pdf" TargetMode="External"/><Relationship Id="rId204" Type="http://schemas.openxmlformats.org/officeDocument/2006/relationships/hyperlink" Target="https://www.telebras.com.br/wp-content/uploads/2026/06/3_TR_GS-SERVICOS-LTDA.pdf" TargetMode="External"/><Relationship Id="rId225" Type="http://schemas.openxmlformats.org/officeDocument/2006/relationships/hyperlink" Target="https://www.telebras.com.br/wp-content/uploads/2026/06/11_JUST_IMPAKT-CONSULTORIA-SS-LIMITADA.pdf" TargetMode="External"/><Relationship Id="rId246" Type="http://schemas.openxmlformats.org/officeDocument/2006/relationships/hyperlink" Target="https://www.telebras.com.br/wp-content/uploads/2026/06/19_JUST_Space-Data-Association.pdf" TargetMode="External"/><Relationship Id="rId267" Type="http://schemas.openxmlformats.org/officeDocument/2006/relationships/hyperlink" Target="https://www.telebras.com.br/wp-content/uploads/2026/06/26_JUST_Fundacao-Getulio-Vargas.pdf" TargetMode="External"/><Relationship Id="rId288" Type="http://schemas.openxmlformats.org/officeDocument/2006/relationships/hyperlink" Target="https://www.telebras.com.br/wp-content/uploads/2026/06/33_JUST_INSTITUTO-BRASILEIRO-DE-GOVERNANCA-CORPORATIVA.pdf" TargetMode="External"/><Relationship Id="rId106" Type="http://schemas.openxmlformats.org/officeDocument/2006/relationships/hyperlink" Target="https://www.telebras.com.br/wp-content/uploads/2026/05/TLBORC202600023A_IEEE_Institute-of-Electrical-and-Electronics.pdf" TargetMode="External"/><Relationship Id="rId127" Type="http://schemas.openxmlformats.org/officeDocument/2006/relationships/hyperlink" Target="https://www.telebras.com.br/wp-content/uploads/2026/06/94_JUST_INSTITUTO-DOS-AUDITORES-INTERNOS-DO-BRASIL.pdf" TargetMode="External"/><Relationship Id="rId10" Type="http://schemas.openxmlformats.org/officeDocument/2006/relationships/hyperlink" Target="https://www.telebras.com.br/wp-content/uploads/2026/03/6.TLB-ORC-202600004-Instituto-dos-Auditores-Internos-do-Brasil-Tipo-do-objeto-Servicos.pdf" TargetMode="External"/><Relationship Id="rId31" Type="http://schemas.openxmlformats.org/officeDocument/2006/relationships/hyperlink" Target="https://www.telebras.com.br/wp-content/uploads/2025/07/13.2025NE846-CONSELHO-REGIONAL-DE-CONTABILIDADE-DO-DISTRITO-FEDERAL.pdf" TargetMode="External"/><Relationship Id="rId52" Type="http://schemas.openxmlformats.org/officeDocument/2006/relationships/hyperlink" Target="https://www.telebras.com.br/wp-content/uploads/2025/04/9.TLB-CTR-2025.00017-LEGIS-JET-LTDA.pdf" TargetMode="External"/><Relationship Id="rId73" Type="http://schemas.openxmlformats.org/officeDocument/2006/relationships/hyperlink" Target="https://www.telebras.com.br/wp-content/uploads/2025/02/71.2024NE001081-INSTITUTO-BRASILEIRO-DE-GOVERNANCA-CORPORATIV_1.pdf" TargetMode="External"/><Relationship Id="rId94" Type="http://schemas.openxmlformats.org/officeDocument/2006/relationships/hyperlink" Target="https://www.telebras.com.br/wp-content/uploads/2026/04/10.-2024NE000940-SPACE-DATA-ASSOCIATION-1.pdf" TargetMode="External"/><Relationship Id="rId148" Type="http://schemas.openxmlformats.org/officeDocument/2006/relationships/hyperlink" Target="https://www.telebras.com.br/wp-content/uploads/2026/06/101_JUST_-Access-Intelligence-LLC.pdf" TargetMode="External"/><Relationship Id="rId169" Type="http://schemas.openxmlformats.org/officeDocument/2006/relationships/hyperlink" Target="https://www.telebras.com.br/wp-content/uploads/2026/06/108_JUST_IEEE-International-Conference-on-Communications.pdf" TargetMode="External"/><Relationship Id="rId4" Type="http://schemas.openxmlformats.org/officeDocument/2006/relationships/hyperlink" Target="https://www.telebras.com.br/wp-content/uploads/2026/03/14.-TLBORC202600017-Neurobox-Tecnologia-em-Informatica-Ltda-Tipo-do-objeto-Servicos.pdf" TargetMode="External"/><Relationship Id="rId180" Type="http://schemas.openxmlformats.org/officeDocument/2006/relationships/hyperlink" Target="https://www.telebras.com.br/wp-content/uploads/2026/06/111_TR_ESPM-Associacao-Escola-Superior-de-Propaganda-e-Marketing.pdf" TargetMode="External"/><Relationship Id="rId215" Type="http://schemas.openxmlformats.org/officeDocument/2006/relationships/hyperlink" Target="https://www.telebras.com.br/wp-content/uploads/2026/06/7_TR_Fundacao-Nacional-de-Qualidade-FNQ.pdf" TargetMode="External"/><Relationship Id="rId236" Type="http://schemas.openxmlformats.org/officeDocument/2006/relationships/hyperlink" Target="https://www.telebras.com.br/wp-content/uploads/2026/06/14_TR_LEC-Educacao-e-Pesquisa-Ltda.pdf" TargetMode="External"/><Relationship Id="rId257" Type="http://schemas.openxmlformats.org/officeDocument/2006/relationships/hyperlink" Target="https://www.telebras.com.br/wp-content/uploads/2026/06/22_TR_Instituto-dos-Auditores-Internos-do-Brasil.pdf" TargetMode="External"/><Relationship Id="rId278" Type="http://schemas.openxmlformats.org/officeDocument/2006/relationships/hyperlink" Target="https://www.telebras.com.br/wp-content/uploads/2026/06/29_TR_Bioseg-Brasilia-Solucoes-em-Seguranca-e-Medicina-do-Trabalho-Ltda.pdf" TargetMode="External"/><Relationship Id="rId42" Type="http://schemas.openxmlformats.org/officeDocument/2006/relationships/hyperlink" Target="https://www.telebras.com.br/wp-content/uploads/2025/12/24.TLB-ORC-2025.00007-MCI-BRASIL-LTDA.pdf" TargetMode="External"/><Relationship Id="rId84" Type="http://schemas.openxmlformats.org/officeDocument/2006/relationships/hyperlink" Target="https://www.telebras.com.br/wp-content/uploads/2025/02/81.2024NE001110-KPMG-ASSURANCE-SERVICES-LTDA.pdf" TargetMode="External"/><Relationship Id="rId138" Type="http://schemas.openxmlformats.org/officeDocument/2006/relationships/hyperlink" Target="https://www.telebras.com.br/wp-content/uploads/2026/06/97_TR_INSTITUTO-DOS-AUDITORES-INTERNOS-DO-BRASIL.pdf" TargetMode="External"/><Relationship Id="rId191" Type="http://schemas.openxmlformats.org/officeDocument/2006/relationships/hyperlink" Target="https://www.telebras.com.br/wp-content/uploads/2026/06/115_RAT_PADTEC-S.A-.pdf" TargetMode="External"/><Relationship Id="rId205" Type="http://schemas.openxmlformats.org/officeDocument/2006/relationships/hyperlink" Target="https://www.telebras.com.br/wp-content/uploads/2026/06/4_RAT_Teracom-Telematica-S.A.pdf" TargetMode="External"/><Relationship Id="rId247" Type="http://schemas.openxmlformats.org/officeDocument/2006/relationships/hyperlink" Target="https://www.telebras.com.br/wp-content/uploads/2026/06/19_RAT_Space-Data-Association.pdf" TargetMode="External"/><Relationship Id="rId107" Type="http://schemas.openxmlformats.org/officeDocument/2006/relationships/hyperlink" Target="https://www.telebras.com.br/wp-content/uploads/2026/05/TLBORC202600020A_ELEVA-SOLUCOES.pdf" TargetMode="External"/><Relationship Id="rId289" Type="http://schemas.openxmlformats.org/officeDocument/2006/relationships/hyperlink" Target="https://www.telebras.com.br/wp-content/uploads/2026/06/33_RAT_INSTITUTO-BRASILEIRO-DE-GOVERNANCA-CORPORATIVA.pdf" TargetMode="External"/><Relationship Id="rId11" Type="http://schemas.openxmlformats.org/officeDocument/2006/relationships/hyperlink" Target="https://www.telebras.com.br/wp-content/uploads/2026/03/7.TLB-ORC-202600007-QSP-Centro-da-Qualidade-Seguranca-e-Produtividade-para-o-Brasil-e-America-Latina-Tipo-do-objeto-Servicos.pdf" TargetMode="External"/><Relationship Id="rId53" Type="http://schemas.openxmlformats.org/officeDocument/2006/relationships/hyperlink" Target="https://www.telebras.com.br/wp-content/uploads/2025/05/12.TLB-CTR-2025.00026-SACHA-CALMON-MISABEL-DERZI-CONSULTORES-E-ADVOGADOS.pdf" TargetMode="External"/><Relationship Id="rId149" Type="http://schemas.openxmlformats.org/officeDocument/2006/relationships/hyperlink" Target="https://www.telebras.com.br/wp-content/uploads/2026/06/101_RAT_-Access-Intelligence-LLC.pdf" TargetMode="External"/><Relationship Id="rId95" Type="http://schemas.openxmlformats.org/officeDocument/2006/relationships/hyperlink" Target="https://www.telebras.com.br/wp-content/uploads/2026/04/8.-2024NE000822-LEC-EDUCACAO-E-PESQUISA-LTDA-1.pdf" TargetMode="External"/><Relationship Id="rId160" Type="http://schemas.openxmlformats.org/officeDocument/2006/relationships/hyperlink" Target="https://www.telebras.com.br/wp-content/uploads/2026/06/105_JUST_RUTE-ARANTES-DE-AZEVEDO-ME.pdf" TargetMode="External"/><Relationship Id="rId216" Type="http://schemas.openxmlformats.org/officeDocument/2006/relationships/hyperlink" Target="https://www.telebras.com.br/wp-content/uploads/2026/06/8_JUST_Zenite-Informacao-e-Consultoria-SA.pdf" TargetMode="External"/><Relationship Id="rId258" Type="http://schemas.openxmlformats.org/officeDocument/2006/relationships/hyperlink" Target="https://www.telebras.com.br/wp-content/uploads/2026/06/23_JUST_-Associacao-Brasileira-de-Recursos-Humanos.pdf" TargetMode="External"/><Relationship Id="rId22" Type="http://schemas.openxmlformats.org/officeDocument/2006/relationships/hyperlink" Target="https://www.telebras.com.br/wp-content/uploads/2025/04/4.2025NE000588-Zenite-Informacao-e-Consultoria-SA.pdf" TargetMode="External"/><Relationship Id="rId64" Type="http://schemas.openxmlformats.org/officeDocument/2006/relationships/hyperlink" Target="https://www.telebras.com.br/wp-content/uploads/2024/12/17.2024NE000653-CENOFISCO-CENTRO-DE-CAPACITACAO-PROFISSIONAL-LTDA.pdf" TargetMode="External"/><Relationship Id="rId118" Type="http://schemas.openxmlformats.org/officeDocument/2006/relationships/hyperlink" Target="https://www.telebras.com.br/wp-content/uploads/2026/06/88_TR_G2-AR-CONDICIONADO-LTDA.pdf" TargetMode="External"/><Relationship Id="rId171" Type="http://schemas.openxmlformats.org/officeDocument/2006/relationships/hyperlink" Target="https://www.telebras.com.br/wp-content/uploads/2026/06/108_TR_IEEE-International-Conference-on-Communications.pdf" TargetMode="External"/><Relationship Id="rId227" Type="http://schemas.openxmlformats.org/officeDocument/2006/relationships/hyperlink" Target="https://www.telebras.com.br/wp-content/uploads/2026/06/11_TR_IMPAKT-CONSULTORIA-SS-LIMITADA.pdf" TargetMode="External"/><Relationship Id="rId269" Type="http://schemas.openxmlformats.org/officeDocument/2006/relationships/hyperlink" Target="https://www.telebras.com.br/wp-content/uploads/2026/06/26_TR_Fundacao-Getulio-Vargas.pdf" TargetMode="External"/><Relationship Id="rId33" Type="http://schemas.openxmlformats.org/officeDocument/2006/relationships/hyperlink" Target="https://www.telebras.com.br/wp-content/uploads/2025/08/14.2025NE001029-Neurobox-Tecnologia-em-Informatica-Ltda.pdf" TargetMode="External"/><Relationship Id="rId129" Type="http://schemas.openxmlformats.org/officeDocument/2006/relationships/hyperlink" Target="https://www.telebras.com.br/wp-content/uploads/2026/06/94_TR_INSTITUTO-DOS-AUDITORES-INTERNOS-DO-BRASIL.pdf" TargetMode="External"/><Relationship Id="rId280" Type="http://schemas.openxmlformats.org/officeDocument/2006/relationships/hyperlink" Target="https://www.telebras.com.br/wp-content/uploads/2026/06/30_RAT_NP-Tecnologia-e-Gestao-de-Dados-Ltda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6600"/>
  </sheetPr>
  <dimension ref="A2:AT150"/>
  <sheetViews>
    <sheetView showGridLines="0" tabSelected="1" zoomScale="80" zoomScaleNormal="80" workbookViewId="0">
      <pane xSplit="1" ySplit="4" topLeftCell="AD81" activePane="bottomRight" state="frozen"/>
      <selection pane="topRight" activeCell="B1" sqref="B1"/>
      <selection pane="bottomLeft" activeCell="A5" sqref="A5"/>
      <selection pane="bottomRight" activeCell="J125" sqref="J125"/>
    </sheetView>
  </sheetViews>
  <sheetFormatPr defaultRowHeight="15" x14ac:dyDescent="0.25"/>
  <cols>
    <col min="1" max="1" width="2.7109375" style="1" customWidth="1"/>
    <col min="2" max="2" width="16.28515625" style="1" customWidth="1"/>
    <col min="3" max="3" width="14" style="1" customWidth="1"/>
    <col min="4" max="4" width="23.42578125" style="1" customWidth="1"/>
    <col min="5" max="5" width="20" style="1" customWidth="1"/>
    <col min="6" max="6" width="13.85546875" style="1" customWidth="1"/>
    <col min="7" max="7" width="16.5703125" style="1" customWidth="1"/>
    <col min="8" max="8" width="21.140625" style="1" customWidth="1"/>
    <col min="9" max="9" width="38.140625" style="1" customWidth="1"/>
    <col min="10" max="10" width="43.28515625" style="1" customWidth="1"/>
    <col min="11" max="11" width="20.140625" style="1" customWidth="1"/>
    <col min="12" max="12" width="20.28515625" style="1" customWidth="1"/>
    <col min="13" max="13" width="21.7109375" style="1" customWidth="1"/>
    <col min="14" max="14" width="19" style="1" customWidth="1"/>
    <col min="15" max="15" width="16.42578125" style="1" customWidth="1"/>
    <col min="16" max="16" width="17.42578125" style="1" customWidth="1"/>
    <col min="17" max="17" width="20.5703125" style="1" customWidth="1"/>
    <col min="18" max="18" width="27.140625" style="1" customWidth="1"/>
    <col min="19" max="19" width="19" style="1" customWidth="1"/>
    <col min="20" max="20" width="16" style="50" customWidth="1"/>
    <col min="21" max="21" width="18.140625" style="148" customWidth="1" collapsed="1"/>
    <col min="22" max="22" width="17.85546875" style="1" customWidth="1"/>
    <col min="23" max="23" width="16.85546875" style="1" customWidth="1"/>
    <col min="24" max="24" width="14.85546875" style="1" customWidth="1"/>
    <col min="25" max="25" width="14.7109375" style="1" customWidth="1"/>
    <col min="26" max="26" width="16.28515625" style="1" customWidth="1"/>
    <col min="27" max="27" width="19.7109375" style="1" customWidth="1"/>
    <col min="28" max="28" width="15.5703125" style="1" customWidth="1"/>
    <col min="29" max="29" width="14.85546875" style="1" customWidth="1"/>
    <col min="30" max="30" width="17" style="1" customWidth="1"/>
    <col min="31" max="31" width="19.42578125" style="1" customWidth="1"/>
    <col min="32" max="32" width="17.7109375" style="1" customWidth="1"/>
    <col min="33" max="33" width="18.5703125" style="1" customWidth="1"/>
    <col min="34" max="34" width="13.28515625" style="1" customWidth="1"/>
    <col min="35" max="35" width="30.7109375" style="1" customWidth="1"/>
    <col min="36" max="36" width="23.28515625" style="200" customWidth="1"/>
    <col min="37" max="39" width="17.5703125" style="1" customWidth="1"/>
    <col min="40" max="40" width="5.140625" style="1" customWidth="1"/>
    <col min="41" max="41" width="4.140625" style="1" customWidth="1"/>
    <col min="42" max="42" width="10.5703125" style="1" customWidth="1"/>
    <col min="43" max="43" width="15.5703125" style="1" customWidth="1"/>
    <col min="44" max="44" width="15.42578125" style="1" customWidth="1"/>
    <col min="45" max="45" width="17.140625" style="1" customWidth="1"/>
    <col min="46" max="46" width="26.28515625" style="1" customWidth="1"/>
    <col min="47" max="16384" width="9.140625" style="1"/>
  </cols>
  <sheetData>
    <row r="2" spans="2:45" ht="11.25" customHeight="1" x14ac:dyDescent="0.25"/>
    <row r="3" spans="2:45" ht="30" x14ac:dyDescent="0.35">
      <c r="B3" s="10" t="s">
        <v>54</v>
      </c>
      <c r="C3" s="2"/>
      <c r="D3" s="2"/>
      <c r="E3" s="182"/>
      <c r="F3" s="2"/>
      <c r="G3" s="2"/>
      <c r="H3" s="2"/>
      <c r="I3" s="2"/>
      <c r="J3" s="2"/>
      <c r="K3" s="18" t="s">
        <v>73</v>
      </c>
      <c r="L3" s="2"/>
      <c r="M3" s="18"/>
      <c r="N3" s="2"/>
      <c r="O3" s="2"/>
      <c r="P3" s="2"/>
      <c r="Q3" s="2"/>
      <c r="R3" s="2"/>
      <c r="S3" s="181" t="s">
        <v>934</v>
      </c>
      <c r="T3" s="51"/>
      <c r="U3" s="149"/>
      <c r="V3" s="2"/>
      <c r="W3" s="2"/>
      <c r="X3" s="2"/>
      <c r="Y3" s="2"/>
      <c r="Z3" s="15"/>
      <c r="AA3" s="15"/>
      <c r="AB3" s="15"/>
      <c r="AC3" s="15"/>
      <c r="AD3" s="15"/>
      <c r="AE3" s="15"/>
      <c r="AF3" s="15"/>
      <c r="AG3" s="251" t="s">
        <v>498</v>
      </c>
      <c r="AH3" s="251"/>
      <c r="AI3" s="251"/>
      <c r="AJ3" s="201" t="s">
        <v>1041</v>
      </c>
      <c r="AP3" s="210" t="s">
        <v>1075</v>
      </c>
      <c r="AQ3" s="8"/>
      <c r="AR3" s="8"/>
      <c r="AS3" s="8"/>
    </row>
    <row r="4" spans="2:45" s="6" customFormat="1" ht="45.75" thickBot="1" x14ac:dyDescent="0.3">
      <c r="B4" s="3" t="s">
        <v>5</v>
      </c>
      <c r="C4" s="3" t="s">
        <v>11</v>
      </c>
      <c r="D4" s="13" t="s">
        <v>1</v>
      </c>
      <c r="E4" s="13" t="s">
        <v>937</v>
      </c>
      <c r="F4" s="3" t="s">
        <v>0</v>
      </c>
      <c r="G4" s="4" t="s">
        <v>33</v>
      </c>
      <c r="H4" s="5" t="s">
        <v>929</v>
      </c>
      <c r="I4" s="4" t="s">
        <v>20</v>
      </c>
      <c r="J4" s="3" t="s">
        <v>6</v>
      </c>
      <c r="K4" s="4" t="s">
        <v>2</v>
      </c>
      <c r="L4" s="4" t="s">
        <v>67</v>
      </c>
      <c r="M4" s="3" t="s">
        <v>7</v>
      </c>
      <c r="N4" s="4" t="s">
        <v>62</v>
      </c>
      <c r="O4" s="4" t="s">
        <v>435</v>
      </c>
      <c r="P4" s="4" t="s">
        <v>49</v>
      </c>
      <c r="Q4" s="3" t="s">
        <v>436</v>
      </c>
      <c r="R4" s="3" t="s">
        <v>35</v>
      </c>
      <c r="S4" s="3" t="s">
        <v>19</v>
      </c>
      <c r="T4" s="3" t="s">
        <v>8</v>
      </c>
      <c r="U4" s="3" t="s">
        <v>530</v>
      </c>
      <c r="V4" s="150" t="s">
        <v>9</v>
      </c>
      <c r="W4" s="3" t="s">
        <v>10</v>
      </c>
      <c r="X4" s="3" t="s">
        <v>930</v>
      </c>
      <c r="Y4" s="3" t="s">
        <v>13</v>
      </c>
      <c r="Z4" s="3" t="s">
        <v>50</v>
      </c>
      <c r="AA4" s="3" t="s">
        <v>469</v>
      </c>
      <c r="AB4" s="3" t="s">
        <v>12</v>
      </c>
      <c r="AC4" s="85" t="s">
        <v>189</v>
      </c>
      <c r="AD4" s="86" t="s">
        <v>51</v>
      </c>
      <c r="AE4" s="86" t="s">
        <v>74</v>
      </c>
      <c r="AF4" s="4" t="s">
        <v>58</v>
      </c>
      <c r="AG4" s="194" t="s">
        <v>992</v>
      </c>
      <c r="AH4" s="194" t="s">
        <v>915</v>
      </c>
      <c r="AI4" s="194" t="s">
        <v>511</v>
      </c>
      <c r="AJ4" s="202" t="s">
        <v>896</v>
      </c>
      <c r="AK4" s="195" t="s">
        <v>1040</v>
      </c>
      <c r="AL4" s="195" t="s">
        <v>1042</v>
      </c>
      <c r="AM4" s="195" t="s">
        <v>1043</v>
      </c>
      <c r="AP4" s="211" t="s">
        <v>1076</v>
      </c>
      <c r="AQ4" s="211" t="s">
        <v>1040</v>
      </c>
      <c r="AR4" s="211" t="s">
        <v>1042</v>
      </c>
      <c r="AS4" s="211" t="s">
        <v>1043</v>
      </c>
    </row>
    <row r="5" spans="2:45" s="8" customFormat="1" ht="113.25" customHeight="1" x14ac:dyDescent="0.25">
      <c r="B5" s="11">
        <v>45600</v>
      </c>
      <c r="C5" s="7" t="s">
        <v>56</v>
      </c>
      <c r="D5" s="7" t="s">
        <v>53</v>
      </c>
      <c r="E5" s="7" t="s">
        <v>53</v>
      </c>
      <c r="F5" s="7" t="s">
        <v>60</v>
      </c>
      <c r="G5" s="7" t="s">
        <v>45</v>
      </c>
      <c r="H5" s="7" t="s">
        <v>59</v>
      </c>
      <c r="I5" s="7" t="s">
        <v>28</v>
      </c>
      <c r="J5" s="7" t="s">
        <v>557</v>
      </c>
      <c r="K5" s="7" t="s">
        <v>845</v>
      </c>
      <c r="L5" s="7" t="s">
        <v>68</v>
      </c>
      <c r="M5" s="16" t="s">
        <v>61</v>
      </c>
      <c r="N5" s="16" t="s">
        <v>63</v>
      </c>
      <c r="O5" s="17" t="s">
        <v>449</v>
      </c>
      <c r="P5" s="17" t="s">
        <v>64</v>
      </c>
      <c r="Q5" s="17" t="s">
        <v>64</v>
      </c>
      <c r="R5" s="17" t="s">
        <v>64</v>
      </c>
      <c r="S5" s="19">
        <v>45604</v>
      </c>
      <c r="T5" s="19">
        <v>45604</v>
      </c>
      <c r="U5" s="19">
        <v>45657</v>
      </c>
      <c r="V5" s="151">
        <v>29500</v>
      </c>
      <c r="W5" s="17" t="s">
        <v>623</v>
      </c>
      <c r="X5" s="17" t="s">
        <v>624</v>
      </c>
      <c r="Y5" s="17" t="s">
        <v>15</v>
      </c>
      <c r="Z5" s="45">
        <v>10015000</v>
      </c>
      <c r="AA5" s="45">
        <v>10003761</v>
      </c>
      <c r="AB5" s="45" t="s">
        <v>64</v>
      </c>
      <c r="AC5" s="11">
        <v>45600</v>
      </c>
      <c r="AD5" s="87">
        <f>NETWORKDAYS.INTL(Tab_4.DISP_INEX[[#This Row],[DATA RECEBIDO]],Tab_4.DISP_INEX[[#This Row],[DATA 
FINALIZADO]],1,Lista!$U$3:$U$15)</f>
        <v>1</v>
      </c>
      <c r="AE5" s="88"/>
      <c r="AF5" s="7"/>
      <c r="AG5" s="26"/>
      <c r="AH5" s="26"/>
      <c r="AI5" s="7"/>
      <c r="AJ5" s="203" t="s">
        <v>1011</v>
      </c>
      <c r="AK5" s="247" t="s">
        <v>1258</v>
      </c>
      <c r="AL5" s="247" t="s">
        <v>1257</v>
      </c>
      <c r="AM5" s="8" t="s">
        <v>65</v>
      </c>
      <c r="AP5" s="212">
        <v>1</v>
      </c>
      <c r="AQ5" s="213" t="str">
        <f>_xlfn.CONCAT(AP5,"_","TR","_",Tab_4.DISP_INEX[[#This Row],[FORNECEDOR]])</f>
        <v>1_TR_MARCIA GONCALVES FARIA ROSA</v>
      </c>
      <c r="AR5" s="213" t="str">
        <f>_xlfn.CONCAT(AP5,"_","JUST","_",Tab_4.DISP_INEX[[#This Row],[FORNECEDOR]])</f>
        <v>1_JUST_MARCIA GONCALVES FARIA ROSA</v>
      </c>
      <c r="AS5" s="213" t="str">
        <f>_xlfn.CONCAT(AP5,"_","RAT","_",Tab_4.DISP_INEX[[#This Row],[FORNECEDOR]])</f>
        <v>1_RAT_MARCIA GONCALVES FARIA ROSA</v>
      </c>
    </row>
    <row r="6" spans="2:45" s="8" customFormat="1" ht="60" x14ac:dyDescent="0.25">
      <c r="B6" s="11">
        <v>45628</v>
      </c>
      <c r="C6" s="7" t="s">
        <v>57</v>
      </c>
      <c r="D6" s="7" t="s">
        <v>53</v>
      </c>
      <c r="E6" s="7" t="s">
        <v>53</v>
      </c>
      <c r="F6" s="7" t="s">
        <v>77</v>
      </c>
      <c r="G6" s="7" t="s">
        <v>45</v>
      </c>
      <c r="H6" s="7" t="s">
        <v>78</v>
      </c>
      <c r="I6" s="7" t="s">
        <v>23</v>
      </c>
      <c r="J6" s="7" t="s">
        <v>79</v>
      </c>
      <c r="K6" s="7" t="s">
        <v>845</v>
      </c>
      <c r="L6" s="7" t="s">
        <v>68</v>
      </c>
      <c r="M6" s="16" t="s">
        <v>80</v>
      </c>
      <c r="N6" s="16" t="s">
        <v>81</v>
      </c>
      <c r="O6" s="17" t="s">
        <v>449</v>
      </c>
      <c r="P6" s="16" t="s">
        <v>82</v>
      </c>
      <c r="Q6" s="17" t="s">
        <v>82</v>
      </c>
      <c r="R6" s="17" t="s">
        <v>83</v>
      </c>
      <c r="S6" s="19">
        <v>45632</v>
      </c>
      <c r="T6" s="19">
        <v>45632</v>
      </c>
      <c r="U6" s="19">
        <v>45657</v>
      </c>
      <c r="V6" s="151">
        <v>9495</v>
      </c>
      <c r="W6" s="16" t="s">
        <v>84</v>
      </c>
      <c r="X6" s="16" t="s">
        <v>85</v>
      </c>
      <c r="Y6" s="16" t="s">
        <v>15</v>
      </c>
      <c r="Z6" s="45">
        <v>10014689</v>
      </c>
      <c r="AA6" s="45"/>
      <c r="AB6" s="45" t="s">
        <v>82</v>
      </c>
      <c r="AC6" s="14">
        <v>45646</v>
      </c>
      <c r="AD6" s="89">
        <f>NETWORKDAYS.INTL(Tab_4.DISP_INEX[[#This Row],[DATA RECEBIDO]],Tab_4.DISP_INEX[[#This Row],[DATA 
FINALIZADO]],1,Lista!$U$3:$U$15)</f>
        <v>15</v>
      </c>
      <c r="AE6" s="90"/>
      <c r="AF6" s="7"/>
      <c r="AG6" s="26"/>
      <c r="AH6" s="26"/>
      <c r="AI6" s="7"/>
      <c r="AJ6" s="203" t="s">
        <v>1065</v>
      </c>
      <c r="AK6" s="247" t="s">
        <v>1260</v>
      </c>
      <c r="AL6" s="247" t="s">
        <v>1259</v>
      </c>
      <c r="AM6" s="8" t="s">
        <v>65</v>
      </c>
      <c r="AP6" s="212">
        <v>2</v>
      </c>
      <c r="AQ6" s="213" t="str">
        <f>_xlfn.CONCAT(AP6,"_","TR","_",Tab_4.DISP_INEX[[#This Row],[FORNECEDOR]])</f>
        <v>2_TR_NW SHOP COMÉRCIO LTDA</v>
      </c>
      <c r="AR6" s="213" t="str">
        <f>_xlfn.CONCAT(AP6,"_","JUST","_",Tab_4.DISP_INEX[[#This Row],[FORNECEDOR]])</f>
        <v>2_JUST_NW SHOP COMÉRCIO LTDA</v>
      </c>
      <c r="AS6" s="213" t="str">
        <f>_xlfn.CONCAT(AP6,"_","RAT","_",Tab_4.DISP_INEX[[#This Row],[FORNECEDOR]])</f>
        <v>2_RAT_NW SHOP COMÉRCIO LTDA</v>
      </c>
    </row>
    <row r="7" spans="2:45" s="8" customFormat="1" ht="30" x14ac:dyDescent="0.25">
      <c r="B7" s="11">
        <v>45618</v>
      </c>
      <c r="C7" s="7" t="s">
        <v>57</v>
      </c>
      <c r="D7" s="7" t="s">
        <v>53</v>
      </c>
      <c r="E7" s="7" t="s">
        <v>53</v>
      </c>
      <c r="F7" s="7" t="s">
        <v>86</v>
      </c>
      <c r="G7" s="7" t="s">
        <v>46</v>
      </c>
      <c r="H7" s="7" t="s">
        <v>87</v>
      </c>
      <c r="I7" s="7" t="s">
        <v>28</v>
      </c>
      <c r="J7" s="7" t="s">
        <v>88</v>
      </c>
      <c r="K7" s="7" t="s">
        <v>845</v>
      </c>
      <c r="L7" s="7" t="s">
        <v>68</v>
      </c>
      <c r="M7" s="16" t="s">
        <v>89</v>
      </c>
      <c r="N7" s="16" t="s">
        <v>90</v>
      </c>
      <c r="O7" s="17" t="s">
        <v>449</v>
      </c>
      <c r="P7" s="16" t="s">
        <v>91</v>
      </c>
      <c r="Q7" s="17" t="s">
        <v>91</v>
      </c>
      <c r="R7" s="17" t="s">
        <v>92</v>
      </c>
      <c r="S7" s="19">
        <v>45632</v>
      </c>
      <c r="T7" s="19">
        <v>45632</v>
      </c>
      <c r="U7" s="19">
        <v>45657</v>
      </c>
      <c r="V7" s="151">
        <v>4909.9799999999996</v>
      </c>
      <c r="W7" s="16" t="s">
        <v>93</v>
      </c>
      <c r="X7" s="16" t="s">
        <v>94</v>
      </c>
      <c r="Y7" s="16" t="s">
        <v>15</v>
      </c>
      <c r="Z7" s="45">
        <v>10014940</v>
      </c>
      <c r="AA7" s="45"/>
      <c r="AB7" s="45" t="s">
        <v>65</v>
      </c>
      <c r="AC7" s="14"/>
      <c r="AD7" s="91">
        <f>NETWORKDAYS.INTL(Tab_4.DISP_INEX[[#This Row],[DATA RECEBIDO]],Tab_4.DISP_INEX[[#This Row],[DATA 
FINALIZADO]],1,Lista!$U$3:$U$15)</f>
        <v>-32577</v>
      </c>
      <c r="AE7" s="92"/>
      <c r="AF7" s="7"/>
      <c r="AG7" s="26"/>
      <c r="AH7" s="26"/>
      <c r="AI7" s="7"/>
      <c r="AJ7" s="203" t="s">
        <v>1066</v>
      </c>
      <c r="AK7" s="247" t="s">
        <v>1262</v>
      </c>
      <c r="AL7" s="247" t="s">
        <v>1261</v>
      </c>
      <c r="AM7" s="8" t="s">
        <v>65</v>
      </c>
      <c r="AP7" s="212">
        <v>3</v>
      </c>
      <c r="AQ7" s="213" t="str">
        <f>_xlfn.CONCAT(AP7,"_","TR","_",Tab_4.DISP_INEX[[#This Row],[FORNECEDOR]])</f>
        <v>3_TR_GS SERVICOS LTDA</v>
      </c>
      <c r="AR7" s="213" t="str">
        <f>_xlfn.CONCAT(AP7,"_","JUST","_",Tab_4.DISP_INEX[[#This Row],[FORNECEDOR]])</f>
        <v>3_JUST_GS SERVICOS LTDA</v>
      </c>
      <c r="AS7" s="213" t="str">
        <f>_xlfn.CONCAT(AP7,"_","RAT","_",Tab_4.DISP_INEX[[#This Row],[FORNECEDOR]])</f>
        <v>3_RAT_GS SERVICOS LTDA</v>
      </c>
    </row>
    <row r="8" spans="2:45" ht="96.75" customHeight="1" x14ac:dyDescent="0.25">
      <c r="B8" s="11">
        <v>45632</v>
      </c>
      <c r="C8" s="11" t="s">
        <v>57</v>
      </c>
      <c r="D8" s="7" t="s">
        <v>53</v>
      </c>
      <c r="E8" s="7" t="s">
        <v>53</v>
      </c>
      <c r="F8" s="7" t="s">
        <v>95</v>
      </c>
      <c r="G8" s="7" t="s">
        <v>46</v>
      </c>
      <c r="H8" s="7" t="s">
        <v>96</v>
      </c>
      <c r="I8" s="7" t="s">
        <v>24</v>
      </c>
      <c r="J8" s="7" t="s">
        <v>107</v>
      </c>
      <c r="K8" s="7" t="s">
        <v>840</v>
      </c>
      <c r="L8" s="7" t="s">
        <v>68</v>
      </c>
      <c r="M8" s="17" t="s">
        <v>97</v>
      </c>
      <c r="N8" s="17" t="s">
        <v>98</v>
      </c>
      <c r="O8" s="17" t="s">
        <v>449</v>
      </c>
      <c r="P8" s="17" t="s">
        <v>99</v>
      </c>
      <c r="Q8" s="17" t="s">
        <v>99</v>
      </c>
      <c r="R8" s="17" t="s">
        <v>100</v>
      </c>
      <c r="S8" s="19">
        <v>45632</v>
      </c>
      <c r="T8" s="19">
        <v>45632</v>
      </c>
      <c r="U8" s="19">
        <v>45657</v>
      </c>
      <c r="V8" s="151">
        <v>56350.5</v>
      </c>
      <c r="W8" s="17" t="s">
        <v>101</v>
      </c>
      <c r="X8" s="17" t="s">
        <v>102</v>
      </c>
      <c r="Y8" s="17" t="s">
        <v>15</v>
      </c>
      <c r="Z8" s="45"/>
      <c r="AA8" s="45"/>
      <c r="AB8" s="45" t="s">
        <v>65</v>
      </c>
      <c r="AC8" s="11">
        <f ca="1">TODAY()</f>
        <v>46190</v>
      </c>
      <c r="AD8" s="7">
        <f ca="1">NETWORKDAYS.INTL(Tab_4.DISP_INEX[[#This Row],[DATA RECEBIDO]],Tab_4.DISP_INEX[[#This Row],[DATA 
FINALIZADO]],1,Lista!$U$3:$U$15)</f>
        <v>398</v>
      </c>
      <c r="AF8" s="7"/>
      <c r="AG8" s="26"/>
      <c r="AH8" s="26"/>
      <c r="AI8" s="7"/>
      <c r="AJ8" s="203" t="s">
        <v>1068</v>
      </c>
      <c r="AK8" s="247" t="s">
        <v>1264</v>
      </c>
      <c r="AL8" s="8" t="s">
        <v>65</v>
      </c>
      <c r="AM8" s="247" t="s">
        <v>1263</v>
      </c>
      <c r="AP8" s="212">
        <v>4</v>
      </c>
      <c r="AQ8" s="213" t="str">
        <f>_xlfn.CONCAT(AP8,"_","TR","_",Tab_4.DISP_INEX[[#This Row],[FORNECEDOR]])</f>
        <v>4_TR_Teracom Telemática S.A</v>
      </c>
      <c r="AR8" s="213" t="str">
        <f>_xlfn.CONCAT(AP8,"_","JUST","_",Tab_4.DISP_INEX[[#This Row],[FORNECEDOR]])</f>
        <v>4_JUST_Teracom Telemática S.A</v>
      </c>
      <c r="AS8" s="213" t="str">
        <f>_xlfn.CONCAT(AP8,"_","RAT","_",Tab_4.DISP_INEX[[#This Row],[FORNECEDOR]])</f>
        <v>4_RAT_Teracom Telemática S.A</v>
      </c>
    </row>
    <row r="9" spans="2:45" ht="60" x14ac:dyDescent="0.25">
      <c r="B9" s="21">
        <v>45342</v>
      </c>
      <c r="C9" s="11" t="s">
        <v>56</v>
      </c>
      <c r="D9" s="7" t="s">
        <v>53</v>
      </c>
      <c r="E9" s="7" t="s">
        <v>53</v>
      </c>
      <c r="F9" s="7" t="s">
        <v>103</v>
      </c>
      <c r="G9" s="22" t="s">
        <v>45</v>
      </c>
      <c r="H9" s="22" t="s">
        <v>185</v>
      </c>
      <c r="I9" s="22" t="s">
        <v>28</v>
      </c>
      <c r="J9" s="22" t="s">
        <v>104</v>
      </c>
      <c r="K9" s="22" t="s">
        <v>840</v>
      </c>
      <c r="L9" s="7" t="s">
        <v>68</v>
      </c>
      <c r="M9" s="17" t="s">
        <v>321</v>
      </c>
      <c r="N9" s="17" t="s">
        <v>322</v>
      </c>
      <c r="O9" s="17" t="s">
        <v>449</v>
      </c>
      <c r="P9" s="17" t="s">
        <v>188</v>
      </c>
      <c r="Q9" s="17" t="s">
        <v>188</v>
      </c>
      <c r="R9" s="17" t="s">
        <v>188</v>
      </c>
      <c r="S9" s="24">
        <v>45350</v>
      </c>
      <c r="T9" s="24">
        <v>45350</v>
      </c>
      <c r="U9" s="19">
        <v>45350</v>
      </c>
      <c r="V9" s="152">
        <v>32500</v>
      </c>
      <c r="W9" s="23" t="s">
        <v>186</v>
      </c>
      <c r="X9" s="23" t="s">
        <v>187</v>
      </c>
      <c r="Y9" s="23" t="s">
        <v>15</v>
      </c>
      <c r="Z9" s="46">
        <v>10014463</v>
      </c>
      <c r="AA9" s="46">
        <v>10004001</v>
      </c>
      <c r="AB9" s="46" t="s">
        <v>188</v>
      </c>
      <c r="AC9" s="21">
        <v>45342</v>
      </c>
      <c r="AD9" s="22">
        <f>NETWORKDAYS.INTL(Tab_4.DISP_INEX[[#This Row],[DATA RECEBIDO]],Tab_4.DISP_INEX[[#This Row],[DATA 
FINALIZADO]],1,Lista!$U$3:$U$15)</f>
        <v>1</v>
      </c>
      <c r="AE9" s="1" t="s">
        <v>56</v>
      </c>
      <c r="AF9" s="7" t="s">
        <v>216</v>
      </c>
      <c r="AG9" s="26"/>
      <c r="AH9" s="26"/>
      <c r="AI9" s="7"/>
      <c r="AJ9" s="203" t="s">
        <v>1038</v>
      </c>
      <c r="AK9" s="247" t="s">
        <v>1267</v>
      </c>
      <c r="AL9" s="247" t="s">
        <v>1265</v>
      </c>
      <c r="AM9" s="247" t="s">
        <v>1266</v>
      </c>
      <c r="AP9" s="212">
        <v>5</v>
      </c>
      <c r="AQ9" s="213" t="str">
        <f>_xlfn.CONCAT(AP9,"_","TR","_",Tab_4.DISP_INEX[[#This Row],[FORNECEDOR]])</f>
        <v>5_TR_Inlabs Capacitação Profissional Ltda</v>
      </c>
      <c r="AR9" s="213" t="str">
        <f>_xlfn.CONCAT(AP9,"_","JUST","_",Tab_4.DISP_INEX[[#This Row],[FORNECEDOR]])</f>
        <v>5_JUST_Inlabs Capacitação Profissional Ltda</v>
      </c>
      <c r="AS9" s="213" t="str">
        <f>_xlfn.CONCAT(AP9,"_","RAT","_",Tab_4.DISP_INEX[[#This Row],[FORNECEDOR]])</f>
        <v>5_RAT_Inlabs Capacitação Profissional Ltda</v>
      </c>
    </row>
    <row r="10" spans="2:45" ht="45" x14ac:dyDescent="0.25">
      <c r="B10" s="21">
        <v>45342</v>
      </c>
      <c r="C10" s="11" t="s">
        <v>56</v>
      </c>
      <c r="D10" s="7" t="s">
        <v>53</v>
      </c>
      <c r="E10" s="7" t="s">
        <v>53</v>
      </c>
      <c r="F10" s="7" t="s">
        <v>105</v>
      </c>
      <c r="G10" s="22" t="s">
        <v>45</v>
      </c>
      <c r="H10" s="22" t="s">
        <v>185</v>
      </c>
      <c r="I10" s="22" t="s">
        <v>28</v>
      </c>
      <c r="J10" s="22" t="s">
        <v>106</v>
      </c>
      <c r="K10" s="22" t="s">
        <v>840</v>
      </c>
      <c r="L10" s="7" t="s">
        <v>68</v>
      </c>
      <c r="M10" s="17" t="s">
        <v>323</v>
      </c>
      <c r="N10" s="17" t="s">
        <v>432</v>
      </c>
      <c r="O10" s="17" t="s">
        <v>449</v>
      </c>
      <c r="P10" s="17" t="s">
        <v>191</v>
      </c>
      <c r="Q10" s="17" t="s">
        <v>191</v>
      </c>
      <c r="R10" s="17" t="s">
        <v>191</v>
      </c>
      <c r="S10" s="24">
        <v>45345</v>
      </c>
      <c r="T10" s="24">
        <v>45345</v>
      </c>
      <c r="U10" s="19">
        <v>45345</v>
      </c>
      <c r="V10" s="152">
        <v>22586.6</v>
      </c>
      <c r="W10" s="23" t="s">
        <v>190</v>
      </c>
      <c r="X10" s="23" t="s">
        <v>187</v>
      </c>
      <c r="Y10" s="23" t="s">
        <v>15</v>
      </c>
      <c r="Z10" s="46">
        <v>10014468</v>
      </c>
      <c r="AA10" s="46"/>
      <c r="AB10" s="46" t="s">
        <v>191</v>
      </c>
      <c r="AC10" s="21">
        <v>45343</v>
      </c>
      <c r="AD10" s="22">
        <f>NETWORKDAYS.INTL(Tab_4.DISP_INEX[[#This Row],[DATA RECEBIDO]],Tab_4.DISP_INEX[[#This Row],[DATA 
FINALIZADO]],1,Lista!$U$3:$U$15)</f>
        <v>2</v>
      </c>
      <c r="AE10" s="1" t="s">
        <v>56</v>
      </c>
      <c r="AF10" s="7" t="s">
        <v>628</v>
      </c>
      <c r="AG10" s="26"/>
      <c r="AH10" s="26"/>
      <c r="AI10" s="7"/>
      <c r="AJ10" s="203" t="s">
        <v>1012</v>
      </c>
      <c r="AK10" s="247" t="s">
        <v>1270</v>
      </c>
      <c r="AL10" s="247" t="s">
        <v>1268</v>
      </c>
      <c r="AM10" s="247" t="s">
        <v>1269</v>
      </c>
      <c r="AP10" s="212">
        <v>6</v>
      </c>
      <c r="AQ10" s="213" t="str">
        <f>_xlfn.CONCAT(AP10,"_","TR","_",Tab_4.DISP_INEX[[#This Row],[FORNECEDOR]])</f>
        <v>6_TR_ACCESS INTELLIGENCE, LLC</v>
      </c>
      <c r="AR10" s="213" t="str">
        <f>_xlfn.CONCAT(AP10,"_","JUST","_",Tab_4.DISP_INEX[[#This Row],[FORNECEDOR]])</f>
        <v>6_JUST_ACCESS INTELLIGENCE, LLC</v>
      </c>
      <c r="AS10" s="213" t="str">
        <f>_xlfn.CONCAT(AP10,"_","RAT","_",Tab_4.DISP_INEX[[#This Row],[FORNECEDOR]])</f>
        <v>6_RAT_ACCESS INTELLIGENCE, LLC</v>
      </c>
    </row>
    <row r="11" spans="2:45" ht="60" x14ac:dyDescent="0.25">
      <c r="B11" s="20">
        <v>45351</v>
      </c>
      <c r="C11" s="11" t="s">
        <v>56</v>
      </c>
      <c r="D11" s="7" t="s">
        <v>53</v>
      </c>
      <c r="E11" s="7" t="s">
        <v>53</v>
      </c>
      <c r="F11" s="7" t="s">
        <v>108</v>
      </c>
      <c r="G11" s="22" t="s">
        <v>45</v>
      </c>
      <c r="H11" s="22" t="s">
        <v>195</v>
      </c>
      <c r="I11" s="22" t="s">
        <v>28</v>
      </c>
      <c r="J11" s="7" t="s">
        <v>148</v>
      </c>
      <c r="K11" s="22" t="s">
        <v>840</v>
      </c>
      <c r="L11" s="7" t="s">
        <v>68</v>
      </c>
      <c r="M11" s="17" t="s">
        <v>324</v>
      </c>
      <c r="N11" s="17" t="s">
        <v>325</v>
      </c>
      <c r="O11" s="17" t="s">
        <v>449</v>
      </c>
      <c r="P11" s="17" t="s">
        <v>194</v>
      </c>
      <c r="Q11" s="17" t="s">
        <v>194</v>
      </c>
      <c r="R11" s="17" t="s">
        <v>1054</v>
      </c>
      <c r="S11" s="19">
        <v>45488</v>
      </c>
      <c r="T11" s="24">
        <v>45524</v>
      </c>
      <c r="U11" s="19">
        <v>45889</v>
      </c>
      <c r="V11" s="152">
        <v>6615</v>
      </c>
      <c r="W11" s="23" t="s">
        <v>192</v>
      </c>
      <c r="X11" s="23" t="s">
        <v>193</v>
      </c>
      <c r="Y11" s="23" t="s">
        <v>15</v>
      </c>
      <c r="Z11" s="46">
        <v>10014428</v>
      </c>
      <c r="AA11" s="46">
        <v>10003997</v>
      </c>
      <c r="AB11" s="46" t="s">
        <v>194</v>
      </c>
      <c r="AC11" s="21">
        <v>45357</v>
      </c>
      <c r="AD11" s="22">
        <f>NETWORKDAYS.INTL(Tab_4.DISP_INEX[[#This Row],[DATA RECEBIDO]],Tab_4.DISP_INEX[[#This Row],[DATA 
FINALIZADO]],1,Lista!$U$3:$U$15)</f>
        <v>5</v>
      </c>
      <c r="AE11" s="1" t="s">
        <v>56</v>
      </c>
      <c r="AF11" s="7" t="s">
        <v>625</v>
      </c>
      <c r="AG11" s="26"/>
      <c r="AH11" s="26"/>
      <c r="AI11" s="7"/>
      <c r="AJ11" s="203" t="s">
        <v>1067</v>
      </c>
      <c r="AK11" s="247" t="s">
        <v>1273</v>
      </c>
      <c r="AL11" s="247" t="s">
        <v>1271</v>
      </c>
      <c r="AM11" s="247" t="s">
        <v>1272</v>
      </c>
      <c r="AP11" s="212">
        <v>7</v>
      </c>
      <c r="AQ11" s="213" t="str">
        <f>_xlfn.CONCAT(AP11,"_","TR","_",Tab_4.DISP_INEX[[#This Row],[FORNECEDOR]])</f>
        <v>7_TR_Fundação Nacional de Qualidade - FNQ</v>
      </c>
      <c r="AR11" s="213" t="str">
        <f>_xlfn.CONCAT(AP11,"_","JUST","_",Tab_4.DISP_INEX[[#This Row],[FORNECEDOR]])</f>
        <v>7_JUST_Fundação Nacional de Qualidade - FNQ</v>
      </c>
      <c r="AS11" s="213" t="str">
        <f>_xlfn.CONCAT(AP11,"_","RAT","_",Tab_4.DISP_INEX[[#This Row],[FORNECEDOR]])</f>
        <v>7_RAT_Fundação Nacional de Qualidade - FNQ</v>
      </c>
    </row>
    <row r="12" spans="2:45" ht="45" x14ac:dyDescent="0.25">
      <c r="B12" s="20">
        <v>45364</v>
      </c>
      <c r="C12" s="11" t="s">
        <v>55</v>
      </c>
      <c r="D12" s="7" t="s">
        <v>53</v>
      </c>
      <c r="E12" s="7" t="s">
        <v>53</v>
      </c>
      <c r="F12" s="7" t="s">
        <v>109</v>
      </c>
      <c r="G12" s="22" t="s">
        <v>45</v>
      </c>
      <c r="H12" s="22" t="s">
        <v>196</v>
      </c>
      <c r="I12" s="22" t="s">
        <v>28</v>
      </c>
      <c r="J12" s="7" t="s">
        <v>149</v>
      </c>
      <c r="K12" s="22" t="s">
        <v>840</v>
      </c>
      <c r="L12" s="7" t="s">
        <v>68</v>
      </c>
      <c r="M12" s="23" t="s">
        <v>297</v>
      </c>
      <c r="N12" s="23" t="s">
        <v>298</v>
      </c>
      <c r="O12" s="17" t="s">
        <v>449</v>
      </c>
      <c r="P12" s="23" t="s">
        <v>199</v>
      </c>
      <c r="Q12" s="17" t="s">
        <v>199</v>
      </c>
      <c r="R12" s="17" t="s">
        <v>326</v>
      </c>
      <c r="S12" s="24">
        <v>45373</v>
      </c>
      <c r="T12" s="24">
        <v>45373</v>
      </c>
      <c r="U12" s="19">
        <v>45738</v>
      </c>
      <c r="V12" s="152">
        <v>11670</v>
      </c>
      <c r="W12" s="23" t="s">
        <v>197</v>
      </c>
      <c r="X12" s="23" t="s">
        <v>198</v>
      </c>
      <c r="Y12" s="23" t="s">
        <v>15</v>
      </c>
      <c r="Z12" s="46">
        <v>10014530</v>
      </c>
      <c r="AA12" s="46"/>
      <c r="AB12" s="46" t="s">
        <v>199</v>
      </c>
      <c r="AC12" s="21">
        <v>45365</v>
      </c>
      <c r="AD12" s="22">
        <f>NETWORKDAYS.INTL(Tab_4.DISP_INEX[[#This Row],[DATA RECEBIDO]],Tab_4.DISP_INEX[[#This Row],[DATA 
FINALIZADO]],1,Lista!$U$3:$U$15)</f>
        <v>2</v>
      </c>
      <c r="AF12" s="22"/>
      <c r="AG12" s="26"/>
      <c r="AH12" s="26"/>
      <c r="AI12" s="7"/>
      <c r="AJ12" s="203" t="s">
        <v>1013</v>
      </c>
      <c r="AK12" s="247" t="s">
        <v>1276</v>
      </c>
      <c r="AL12" s="247" t="s">
        <v>1274</v>
      </c>
      <c r="AM12" s="247" t="s">
        <v>1275</v>
      </c>
      <c r="AP12" s="212">
        <v>8</v>
      </c>
      <c r="AQ12" s="213" t="str">
        <f>_xlfn.CONCAT(AP12,"_","TR","_",Tab_4.DISP_INEX[[#This Row],[FORNECEDOR]])</f>
        <v>8_TR_Zênite Informação e Consultoria S/A</v>
      </c>
      <c r="AR12" s="213" t="str">
        <f>_xlfn.CONCAT(AP12,"_","JUST","_",Tab_4.DISP_INEX[[#This Row],[FORNECEDOR]])</f>
        <v>8_JUST_Zênite Informação e Consultoria S/A</v>
      </c>
      <c r="AS12" s="213" t="str">
        <f>_xlfn.CONCAT(AP12,"_","RAT","_",Tab_4.DISP_INEX[[#This Row],[FORNECEDOR]])</f>
        <v>8_RAT_Zênite Informação e Consultoria S/A</v>
      </c>
    </row>
    <row r="13" spans="2:45" ht="60" x14ac:dyDescent="0.25">
      <c r="B13" s="20">
        <v>45370</v>
      </c>
      <c r="C13" s="11" t="s">
        <v>56</v>
      </c>
      <c r="D13" s="7" t="s">
        <v>53</v>
      </c>
      <c r="E13" s="7" t="s">
        <v>53</v>
      </c>
      <c r="F13" s="7" t="s">
        <v>110</v>
      </c>
      <c r="G13" s="22" t="s">
        <v>45</v>
      </c>
      <c r="H13" s="22" t="s">
        <v>202</v>
      </c>
      <c r="I13" s="22" t="s">
        <v>28</v>
      </c>
      <c r="J13" s="7" t="s">
        <v>150</v>
      </c>
      <c r="K13" s="22" t="s">
        <v>840</v>
      </c>
      <c r="L13" s="7" t="s">
        <v>68</v>
      </c>
      <c r="M13" s="23" t="s">
        <v>329</v>
      </c>
      <c r="N13" s="23"/>
      <c r="O13" s="17" t="s">
        <v>449</v>
      </c>
      <c r="P13" s="17" t="s">
        <v>203</v>
      </c>
      <c r="Q13" s="17" t="s">
        <v>203</v>
      </c>
      <c r="R13" s="17" t="s">
        <v>203</v>
      </c>
      <c r="S13" s="24">
        <v>45373</v>
      </c>
      <c r="T13" s="19">
        <v>45373</v>
      </c>
      <c r="U13" s="19">
        <v>45373</v>
      </c>
      <c r="V13" s="152">
        <v>6927.9</v>
      </c>
      <c r="W13" s="23" t="s">
        <v>200</v>
      </c>
      <c r="X13" s="23" t="s">
        <v>201</v>
      </c>
      <c r="Y13" s="23" t="s">
        <v>15</v>
      </c>
      <c r="Z13" s="46">
        <v>10014538</v>
      </c>
      <c r="AA13" s="46"/>
      <c r="AB13" s="46" t="s">
        <v>203</v>
      </c>
      <c r="AC13" s="21">
        <v>45370</v>
      </c>
      <c r="AD13" s="22">
        <f>NETWORKDAYS.INTL(Tab_4.DISP_INEX[[#This Row],[DATA RECEBIDO]],Tab_4.DISP_INEX[[#This Row],[DATA 
FINALIZADO]],1,Lista!$U$3:$U$15)</f>
        <v>1</v>
      </c>
      <c r="AE13" s="1" t="s">
        <v>56</v>
      </c>
      <c r="AF13" s="7" t="s">
        <v>628</v>
      </c>
      <c r="AG13" s="26"/>
      <c r="AH13" s="26"/>
      <c r="AI13" s="7"/>
      <c r="AJ13" s="203" t="s">
        <v>1014</v>
      </c>
      <c r="AK13" s="247" t="s">
        <v>1279</v>
      </c>
      <c r="AL13" s="247" t="s">
        <v>1277</v>
      </c>
      <c r="AM13" s="247" t="s">
        <v>1278</v>
      </c>
      <c r="AP13" s="212">
        <v>9</v>
      </c>
      <c r="AQ13" s="213" t="str">
        <f>_xlfn.CONCAT(AP13,"_","TR","_",Tab_4.DISP_INEX[[#This Row],[FORNECEDOR]])</f>
        <v>9_TR_ATP Specials BV</v>
      </c>
      <c r="AR13" s="213" t="str">
        <f>_xlfn.CONCAT(AP13,"_","JUST","_",Tab_4.DISP_INEX[[#This Row],[FORNECEDOR]])</f>
        <v>9_JUST_ATP Specials BV</v>
      </c>
      <c r="AS13" s="213" t="str">
        <f>_xlfn.CONCAT(AP13,"_","RAT","_",Tab_4.DISP_INEX[[#This Row],[FORNECEDOR]])</f>
        <v>9_RAT_ATP Specials BV</v>
      </c>
    </row>
    <row r="14" spans="2:45" ht="75" x14ac:dyDescent="0.25">
      <c r="B14" s="21">
        <v>45372</v>
      </c>
      <c r="C14" s="11" t="s">
        <v>56</v>
      </c>
      <c r="D14" s="7" t="s">
        <v>53</v>
      </c>
      <c r="E14" s="7" t="s">
        <v>53</v>
      </c>
      <c r="F14" s="7" t="s">
        <v>111</v>
      </c>
      <c r="G14" s="22" t="s">
        <v>45</v>
      </c>
      <c r="H14" s="22" t="s">
        <v>195</v>
      </c>
      <c r="I14" s="22" t="s">
        <v>28</v>
      </c>
      <c r="J14" s="7" t="s">
        <v>151</v>
      </c>
      <c r="K14" s="22" t="s">
        <v>840</v>
      </c>
      <c r="L14" s="7" t="s">
        <v>68</v>
      </c>
      <c r="M14" s="17" t="s">
        <v>330</v>
      </c>
      <c r="N14" s="17" t="s">
        <v>304</v>
      </c>
      <c r="O14" s="17" t="s">
        <v>442</v>
      </c>
      <c r="P14" s="17" t="s">
        <v>331</v>
      </c>
      <c r="Q14" s="17" t="s">
        <v>206</v>
      </c>
      <c r="R14" s="17" t="s">
        <v>627</v>
      </c>
      <c r="S14" s="24">
        <v>45463</v>
      </c>
      <c r="T14" s="24">
        <v>45463</v>
      </c>
      <c r="U14" s="19">
        <v>45657</v>
      </c>
      <c r="V14" s="152">
        <v>17289</v>
      </c>
      <c r="W14" s="23" t="s">
        <v>204</v>
      </c>
      <c r="X14" s="23" t="s">
        <v>205</v>
      </c>
      <c r="Y14" s="23" t="s">
        <v>15</v>
      </c>
      <c r="Z14" s="46">
        <v>10014520</v>
      </c>
      <c r="AA14" s="46">
        <v>10003951</v>
      </c>
      <c r="AB14" s="46" t="s">
        <v>206</v>
      </c>
      <c r="AC14" s="21">
        <v>45373</v>
      </c>
      <c r="AD14" s="22">
        <f>NETWORKDAYS.INTL(Tab_4.DISP_INEX[[#This Row],[DATA RECEBIDO]],Tab_4.DISP_INEX[[#This Row],[DATA 
FINALIZADO]],1,Lista!$U$3:$U$15)</f>
        <v>2</v>
      </c>
      <c r="AE14" s="1" t="s">
        <v>56</v>
      </c>
      <c r="AF14" s="7" t="s">
        <v>626</v>
      </c>
      <c r="AG14" s="26"/>
      <c r="AH14" s="26"/>
      <c r="AI14" s="7"/>
      <c r="AJ14" s="203" t="s">
        <v>1039</v>
      </c>
      <c r="AK14" s="247" t="s">
        <v>1282</v>
      </c>
      <c r="AL14" s="247" t="s">
        <v>1280</v>
      </c>
      <c r="AM14" s="247" t="s">
        <v>1281</v>
      </c>
      <c r="AP14" s="212">
        <v>10</v>
      </c>
      <c r="AQ14" s="213" t="str">
        <f>_xlfn.CONCAT(AP14,"_","TR","_",Tab_4.DISP_INEX[[#This Row],[FORNECEDOR]])</f>
        <v>10_TR_ Instituto Brasileiro de Governança Corporativa - IBGC</v>
      </c>
      <c r="AR14" s="213" t="str">
        <f>_xlfn.CONCAT(AP14,"_","JUST","_",Tab_4.DISP_INEX[[#This Row],[FORNECEDOR]])</f>
        <v>10_JUST_ Instituto Brasileiro de Governança Corporativa - IBGC</v>
      </c>
      <c r="AS14" s="213" t="str">
        <f>_xlfn.CONCAT(AP14,"_","RAT","_",Tab_4.DISP_INEX[[#This Row],[FORNECEDOR]])</f>
        <v>10_RAT_ Instituto Brasileiro de Governança Corporativa - IBGC</v>
      </c>
    </row>
    <row r="15" spans="2:45" ht="45" x14ac:dyDescent="0.25">
      <c r="B15" s="21">
        <v>45372</v>
      </c>
      <c r="C15" s="11" t="s">
        <v>55</v>
      </c>
      <c r="D15" s="7" t="s">
        <v>53</v>
      </c>
      <c r="E15" s="7" t="s">
        <v>53</v>
      </c>
      <c r="F15" s="7" t="s">
        <v>112</v>
      </c>
      <c r="G15" s="22" t="s">
        <v>45</v>
      </c>
      <c r="H15" s="7" t="s">
        <v>208</v>
      </c>
      <c r="I15" s="7" t="s">
        <v>28</v>
      </c>
      <c r="J15" s="7" t="s">
        <v>152</v>
      </c>
      <c r="K15" s="22" t="s">
        <v>840</v>
      </c>
      <c r="L15" s="7" t="s">
        <v>68</v>
      </c>
      <c r="M15" s="17" t="s">
        <v>427</v>
      </c>
      <c r="N15" s="17" t="s">
        <v>428</v>
      </c>
      <c r="O15" s="17" t="s">
        <v>449</v>
      </c>
      <c r="P15" s="17" t="s">
        <v>207</v>
      </c>
      <c r="Q15" s="17" t="s">
        <v>207</v>
      </c>
      <c r="R15" s="17" t="s">
        <v>429</v>
      </c>
      <c r="S15" s="24">
        <v>45628</v>
      </c>
      <c r="T15" s="24">
        <v>45628</v>
      </c>
      <c r="U15" s="19">
        <v>45811</v>
      </c>
      <c r="V15" s="152">
        <v>262200</v>
      </c>
      <c r="W15" s="23"/>
      <c r="X15" s="23"/>
      <c r="Y15" s="23" t="s">
        <v>15</v>
      </c>
      <c r="Z15" s="46">
        <v>10014500</v>
      </c>
      <c r="AA15" s="46"/>
      <c r="AB15" s="46" t="s">
        <v>207</v>
      </c>
      <c r="AC15" s="21">
        <v>45385</v>
      </c>
      <c r="AD15" s="22">
        <f>NETWORKDAYS.INTL(Tab_4.DISP_INEX[[#This Row],[DATA RECEBIDO]],Tab_4.DISP_INEX[[#This Row],[DATA 
FINALIZADO]],1,Lista!$U$3:$U$15)</f>
        <v>9</v>
      </c>
      <c r="AF15" s="22"/>
      <c r="AG15" s="26"/>
      <c r="AH15" s="26"/>
      <c r="AI15" s="7"/>
      <c r="AJ15" s="203" t="s">
        <v>1064</v>
      </c>
      <c r="AK15" s="247" t="s">
        <v>1285</v>
      </c>
      <c r="AL15" s="247" t="s">
        <v>1283</v>
      </c>
      <c r="AM15" s="247" t="s">
        <v>1284</v>
      </c>
      <c r="AP15" s="212">
        <v>11</v>
      </c>
      <c r="AQ15" s="213" t="str">
        <f>_xlfn.CONCAT(AP15,"_","TR","_",Tab_4.DISP_INEX[[#This Row],[FORNECEDOR]])</f>
        <v>11_TR_IMPAKT CONSULTORIA S/S LIMITADA</v>
      </c>
      <c r="AR15" s="213" t="str">
        <f>_xlfn.CONCAT(AP15,"_","JUST","_",Tab_4.DISP_INEX[[#This Row],[FORNECEDOR]])</f>
        <v>11_JUST_IMPAKT CONSULTORIA S/S LIMITADA</v>
      </c>
      <c r="AS15" s="213" t="str">
        <f>_xlfn.CONCAT(AP15,"_","RAT","_",Tab_4.DISP_INEX[[#This Row],[FORNECEDOR]])</f>
        <v>11_RAT_IMPAKT CONSULTORIA S/S LIMITADA</v>
      </c>
    </row>
    <row r="16" spans="2:45" ht="75" x14ac:dyDescent="0.25">
      <c r="B16" s="21">
        <v>45394</v>
      </c>
      <c r="C16" s="11" t="s">
        <v>55</v>
      </c>
      <c r="D16" s="7" t="s">
        <v>53</v>
      </c>
      <c r="E16" s="7" t="s">
        <v>53</v>
      </c>
      <c r="F16" s="7" t="s">
        <v>113</v>
      </c>
      <c r="G16" s="22" t="s">
        <v>45</v>
      </c>
      <c r="H16" s="7" t="s">
        <v>214</v>
      </c>
      <c r="I16" s="7" t="s">
        <v>28</v>
      </c>
      <c r="J16" s="7" t="s">
        <v>153</v>
      </c>
      <c r="K16" s="22" t="s">
        <v>840</v>
      </c>
      <c r="L16" s="7" t="s">
        <v>68</v>
      </c>
      <c r="M16" s="17" t="s">
        <v>424</v>
      </c>
      <c r="N16" s="17" t="s">
        <v>425</v>
      </c>
      <c r="O16" s="17" t="s">
        <v>449</v>
      </c>
      <c r="P16" s="17" t="s">
        <v>211</v>
      </c>
      <c r="Q16" s="17" t="s">
        <v>211</v>
      </c>
      <c r="R16" s="17" t="s">
        <v>426</v>
      </c>
      <c r="S16" s="24">
        <v>45407</v>
      </c>
      <c r="T16" s="24">
        <v>45414</v>
      </c>
      <c r="U16" s="19">
        <v>45414</v>
      </c>
      <c r="V16" s="152">
        <v>10500</v>
      </c>
      <c r="W16" s="17" t="s">
        <v>209</v>
      </c>
      <c r="X16" s="17" t="s">
        <v>210</v>
      </c>
      <c r="Y16" s="23" t="s">
        <v>15</v>
      </c>
      <c r="Z16" s="46">
        <v>10014610</v>
      </c>
      <c r="AA16" s="46"/>
      <c r="AB16" s="45" t="s">
        <v>211</v>
      </c>
      <c r="AC16" s="21">
        <v>45415</v>
      </c>
      <c r="AD16" s="22">
        <f>NETWORKDAYS.INTL(Tab_4.DISP_INEX[[#This Row],[DATA RECEBIDO]],Tab_4.DISP_INEX[[#This Row],[DATA 
FINALIZADO]],1,Lista!$U$3:$U$15)</f>
        <v>15</v>
      </c>
      <c r="AF16" s="7" t="s">
        <v>216</v>
      </c>
      <c r="AG16" s="26"/>
      <c r="AH16" s="26"/>
      <c r="AI16" s="7"/>
      <c r="AJ16" s="203" t="s">
        <v>1015</v>
      </c>
      <c r="AK16" s="247" t="s">
        <v>1288</v>
      </c>
      <c r="AL16" s="247" t="s">
        <v>1286</v>
      </c>
      <c r="AM16" s="247" t="s">
        <v>1287</v>
      </c>
      <c r="AP16" s="212">
        <v>12</v>
      </c>
      <c r="AQ16" s="213" t="str">
        <f>_xlfn.CONCAT(AP16,"_","TR","_",Tab_4.DISP_INEX[[#This Row],[FORNECEDOR]])</f>
        <v>12_TR_IBET Instituto Brasileiro de Estudos Tributários</v>
      </c>
      <c r="AR16" s="213" t="str">
        <f>_xlfn.CONCAT(AP16,"_","JUST","_",Tab_4.DISP_INEX[[#This Row],[FORNECEDOR]])</f>
        <v>12_JUST_IBET Instituto Brasileiro de Estudos Tributários</v>
      </c>
      <c r="AS16" s="213" t="str">
        <f>_xlfn.CONCAT(AP16,"_","RAT","_",Tab_4.DISP_INEX[[#This Row],[FORNECEDOR]])</f>
        <v>12_RAT_IBET Instituto Brasileiro de Estudos Tributários</v>
      </c>
    </row>
    <row r="17" spans="2:46" ht="75" x14ac:dyDescent="0.25">
      <c r="B17" s="21">
        <v>45384</v>
      </c>
      <c r="C17" s="11" t="s">
        <v>56</v>
      </c>
      <c r="D17" s="7" t="s">
        <v>53</v>
      </c>
      <c r="E17" s="7" t="s">
        <v>53</v>
      </c>
      <c r="F17" s="7" t="s">
        <v>114</v>
      </c>
      <c r="G17" s="22" t="s">
        <v>45</v>
      </c>
      <c r="H17" s="7" t="s">
        <v>214</v>
      </c>
      <c r="I17" s="7" t="s">
        <v>28</v>
      </c>
      <c r="J17" s="7" t="s">
        <v>154</v>
      </c>
      <c r="K17" s="22" t="s">
        <v>840</v>
      </c>
      <c r="L17" s="7" t="s">
        <v>68</v>
      </c>
      <c r="M17" s="17" t="s">
        <v>332</v>
      </c>
      <c r="N17" s="17" t="s">
        <v>333</v>
      </c>
      <c r="O17" s="17" t="s">
        <v>449</v>
      </c>
      <c r="P17" s="17" t="s">
        <v>215</v>
      </c>
      <c r="Q17" s="17" t="s">
        <v>215</v>
      </c>
      <c r="R17" s="17" t="s">
        <v>215</v>
      </c>
      <c r="S17" s="24">
        <v>45390</v>
      </c>
      <c r="T17" s="24">
        <v>45390</v>
      </c>
      <c r="U17" s="19">
        <v>45390</v>
      </c>
      <c r="V17" s="152">
        <v>1744</v>
      </c>
      <c r="W17" s="17" t="s">
        <v>212</v>
      </c>
      <c r="X17" s="17" t="s">
        <v>213</v>
      </c>
      <c r="Y17" s="23" t="s">
        <v>15</v>
      </c>
      <c r="Z17" s="46">
        <v>10014577</v>
      </c>
      <c r="AA17" s="46">
        <v>10003625</v>
      </c>
      <c r="AB17" s="45" t="s">
        <v>215</v>
      </c>
      <c r="AC17" s="21">
        <v>45385</v>
      </c>
      <c r="AD17" s="22">
        <f>NETWORKDAYS.INTL(Tab_4.DISP_INEX[[#This Row],[DATA RECEBIDO]],Tab_4.DISP_INEX[[#This Row],[DATA 
FINALIZADO]],1,Lista!$U$3:$U$15)</f>
        <v>2</v>
      </c>
      <c r="AE17" s="1" t="s">
        <v>55</v>
      </c>
      <c r="AF17" s="7" t="s">
        <v>216</v>
      </c>
      <c r="AG17" s="26"/>
      <c r="AH17" s="26"/>
      <c r="AI17" s="7"/>
      <c r="AJ17" s="203" t="s">
        <v>1016</v>
      </c>
      <c r="AK17" s="247" t="s">
        <v>1291</v>
      </c>
      <c r="AL17" s="247" t="s">
        <v>1289</v>
      </c>
      <c r="AM17" s="247" t="s">
        <v>1290</v>
      </c>
      <c r="AP17" s="212">
        <v>13</v>
      </c>
      <c r="AQ17" s="213" t="str">
        <f>_xlfn.CONCAT(AP17,"_","TR","_",Tab_4.DISP_INEX[[#This Row],[FORNECEDOR]])</f>
        <v>13_TR_Cenofisco Centro de Capacitação Profissional Ltda</v>
      </c>
      <c r="AR17" s="213" t="str">
        <f>_xlfn.CONCAT(AP17,"_","JUST","_",Tab_4.DISP_INEX[[#This Row],[FORNECEDOR]])</f>
        <v>13_JUST_Cenofisco Centro de Capacitação Profissional Ltda</v>
      </c>
      <c r="AS17" s="213" t="str">
        <f>_xlfn.CONCAT(AP17,"_","RAT","_",Tab_4.DISP_INEX[[#This Row],[FORNECEDOR]])</f>
        <v>13_RAT_Cenofisco Centro de Capacitação Profissional Ltda</v>
      </c>
    </row>
    <row r="18" spans="2:46" ht="45" x14ac:dyDescent="0.25">
      <c r="B18" s="21">
        <v>45405</v>
      </c>
      <c r="C18" s="11" t="s">
        <v>55</v>
      </c>
      <c r="D18" s="7" t="s">
        <v>53</v>
      </c>
      <c r="E18" s="7" t="s">
        <v>53</v>
      </c>
      <c r="F18" s="7" t="s">
        <v>115</v>
      </c>
      <c r="G18" s="22" t="s">
        <v>45</v>
      </c>
      <c r="H18" s="7" t="s">
        <v>195</v>
      </c>
      <c r="I18" s="7" t="s">
        <v>28</v>
      </c>
      <c r="J18" s="7" t="s">
        <v>155</v>
      </c>
      <c r="K18" s="22" t="s">
        <v>840</v>
      </c>
      <c r="L18" s="7" t="s">
        <v>68</v>
      </c>
      <c r="M18" s="17" t="s">
        <v>422</v>
      </c>
      <c r="N18" s="17" t="s">
        <v>342</v>
      </c>
      <c r="O18" s="17" t="s">
        <v>449</v>
      </c>
      <c r="P18" s="17" t="s">
        <v>219</v>
      </c>
      <c r="Q18" s="17" t="s">
        <v>219</v>
      </c>
      <c r="R18" s="17" t="s">
        <v>423</v>
      </c>
      <c r="S18" s="24">
        <v>45408</v>
      </c>
      <c r="T18" s="24">
        <v>45414</v>
      </c>
      <c r="U18" s="19">
        <v>45414</v>
      </c>
      <c r="V18" s="152">
        <v>18900</v>
      </c>
      <c r="W18" s="17" t="s">
        <v>217</v>
      </c>
      <c r="X18" s="17" t="s">
        <v>218</v>
      </c>
      <c r="Y18" s="23" t="s">
        <v>15</v>
      </c>
      <c r="Z18" s="46">
        <v>10014578</v>
      </c>
      <c r="AA18" s="46"/>
      <c r="AB18" s="45" t="s">
        <v>219</v>
      </c>
      <c r="AC18" s="21">
        <v>45414</v>
      </c>
      <c r="AD18" s="22">
        <f>NETWORKDAYS.INTL(Tab_4.DISP_INEX[[#This Row],[DATA RECEBIDO]],Tab_4.DISP_INEX[[#This Row],[DATA 
FINALIZADO]],1,Lista!$U$3:$U$15)</f>
        <v>7</v>
      </c>
      <c r="AF18" s="7" t="s">
        <v>216</v>
      </c>
      <c r="AG18" s="26"/>
      <c r="AH18" s="26"/>
      <c r="AI18" s="7"/>
      <c r="AJ18" s="203" t="s">
        <v>1063</v>
      </c>
      <c r="AK18" s="247" t="s">
        <v>1294</v>
      </c>
      <c r="AL18" s="247" t="s">
        <v>1292</v>
      </c>
      <c r="AM18" s="247" t="s">
        <v>1293</v>
      </c>
      <c r="AP18" s="212">
        <v>14</v>
      </c>
      <c r="AQ18" s="213" t="str">
        <f>_xlfn.CONCAT(AP18,"_","TR","_",Tab_4.DISP_INEX[[#This Row],[FORNECEDOR]])</f>
        <v>14_TR_LEC Educação e Pesquisa Ltda</v>
      </c>
      <c r="AR18" s="213" t="str">
        <f>_xlfn.CONCAT(AP18,"_","JUST","_",Tab_4.DISP_INEX[[#This Row],[FORNECEDOR]])</f>
        <v>14_JUST_LEC Educação e Pesquisa Ltda</v>
      </c>
      <c r="AS18" s="213" t="str">
        <f>_xlfn.CONCAT(AP18,"_","RAT","_",Tab_4.DISP_INEX[[#This Row],[FORNECEDOR]])</f>
        <v>14_RAT_LEC Educação e Pesquisa Ltda</v>
      </c>
    </row>
    <row r="19" spans="2:46" ht="75" x14ac:dyDescent="0.25">
      <c r="B19" s="21">
        <v>45406</v>
      </c>
      <c r="C19" s="11" t="s">
        <v>56</v>
      </c>
      <c r="D19" s="7" t="s">
        <v>53</v>
      </c>
      <c r="E19" s="7" t="s">
        <v>53</v>
      </c>
      <c r="F19" s="7" t="s">
        <v>116</v>
      </c>
      <c r="G19" s="22" t="s">
        <v>46</v>
      </c>
      <c r="H19" s="7" t="s">
        <v>221</v>
      </c>
      <c r="I19" s="7" t="s">
        <v>28</v>
      </c>
      <c r="J19" s="7" t="s">
        <v>156</v>
      </c>
      <c r="K19" s="22" t="s">
        <v>840</v>
      </c>
      <c r="L19" s="7" t="s">
        <v>68</v>
      </c>
      <c r="M19" s="17" t="s">
        <v>335</v>
      </c>
      <c r="N19" s="17" t="s">
        <v>336</v>
      </c>
      <c r="O19" s="17" t="s">
        <v>449</v>
      </c>
      <c r="P19" s="17" t="s">
        <v>223</v>
      </c>
      <c r="Q19" s="17" t="s">
        <v>223</v>
      </c>
      <c r="R19" s="17" t="s">
        <v>334</v>
      </c>
      <c r="S19" s="24">
        <v>45439</v>
      </c>
      <c r="T19" s="24">
        <v>45449</v>
      </c>
      <c r="U19" s="19">
        <v>45808</v>
      </c>
      <c r="V19" s="152">
        <v>3600</v>
      </c>
      <c r="W19" s="17" t="s">
        <v>220</v>
      </c>
      <c r="X19" s="17" t="s">
        <v>222</v>
      </c>
      <c r="Y19" s="23" t="s">
        <v>15</v>
      </c>
      <c r="Z19" s="46">
        <v>10014600</v>
      </c>
      <c r="AA19" s="46">
        <v>10001209</v>
      </c>
      <c r="AB19" s="45" t="s">
        <v>223</v>
      </c>
      <c r="AC19" s="21">
        <v>45414</v>
      </c>
      <c r="AD19" s="22">
        <f>NETWORKDAYS.INTL(Tab_4.DISP_INEX[[#This Row],[DATA RECEBIDO]],Tab_4.DISP_INEX[[#This Row],[DATA 
FINALIZADO]],1,Lista!$U$3:$U$15)</f>
        <v>6</v>
      </c>
      <c r="AF19" s="22"/>
      <c r="AG19" s="26"/>
      <c r="AH19" s="26"/>
      <c r="AI19" s="7"/>
      <c r="AJ19" s="203" t="s">
        <v>1062</v>
      </c>
      <c r="AK19" s="8" t="s">
        <v>65</v>
      </c>
      <c r="AL19" s="8" t="s">
        <v>65</v>
      </c>
      <c r="AM19" s="8" t="s">
        <v>65</v>
      </c>
      <c r="AP19" s="222">
        <v>15</v>
      </c>
      <c r="AQ19" s="223" t="str">
        <f>_xlfn.CONCAT(AP19,"_","TR","_",Tab_4.DISP_INEX[[#This Row],[FORNECEDOR]])</f>
        <v>15_TR_Associação Brasileira de Provedores de Internet - ABRINT</v>
      </c>
      <c r="AR19" s="223" t="str">
        <f>_xlfn.CONCAT(AP19,"_","JUST","_",Tab_4.DISP_INEX[[#This Row],[FORNECEDOR]])</f>
        <v>15_JUST_Associação Brasileira de Provedores de Internet - ABRINT</v>
      </c>
      <c r="AS19" s="223" t="str">
        <f>_xlfn.CONCAT(AP19,"_","RAT","_",Tab_4.DISP_INEX[[#This Row],[FORNECEDOR]])</f>
        <v>15_RAT_Associação Brasileira de Provedores de Internet - ABRINT</v>
      </c>
      <c r="AT19" s="6" t="s">
        <v>1114</v>
      </c>
    </row>
    <row r="20" spans="2:46" ht="45" x14ac:dyDescent="0.25">
      <c r="B20" s="21">
        <v>45411</v>
      </c>
      <c r="C20" s="11" t="s">
        <v>56</v>
      </c>
      <c r="D20" s="7" t="s">
        <v>53</v>
      </c>
      <c r="E20" s="7" t="s">
        <v>53</v>
      </c>
      <c r="F20" s="7" t="s">
        <v>117</v>
      </c>
      <c r="G20" s="22" t="s">
        <v>45</v>
      </c>
      <c r="H20" s="7" t="s">
        <v>185</v>
      </c>
      <c r="I20" s="7" t="s">
        <v>28</v>
      </c>
      <c r="J20" s="7" t="s">
        <v>157</v>
      </c>
      <c r="K20" s="22" t="s">
        <v>840</v>
      </c>
      <c r="L20" s="7" t="s">
        <v>68</v>
      </c>
      <c r="M20" s="17" t="s">
        <v>338</v>
      </c>
      <c r="N20" s="17" t="s">
        <v>339</v>
      </c>
      <c r="O20" s="17" t="s">
        <v>449</v>
      </c>
      <c r="P20" s="17" t="s">
        <v>225</v>
      </c>
      <c r="Q20" s="17" t="s">
        <v>225</v>
      </c>
      <c r="R20" s="17" t="s">
        <v>337</v>
      </c>
      <c r="S20" s="19">
        <v>45414</v>
      </c>
      <c r="T20" s="24">
        <v>45415</v>
      </c>
      <c r="U20" s="19">
        <v>45415</v>
      </c>
      <c r="V20" s="152">
        <v>5300</v>
      </c>
      <c r="W20" s="17" t="s">
        <v>224</v>
      </c>
      <c r="X20" s="17" t="s">
        <v>210</v>
      </c>
      <c r="Y20" s="23" t="s">
        <v>15</v>
      </c>
      <c r="Z20" s="46">
        <v>10014616</v>
      </c>
      <c r="AA20" s="46">
        <v>10002720</v>
      </c>
      <c r="AB20" s="45" t="s">
        <v>225</v>
      </c>
      <c r="AC20" s="21">
        <v>45411</v>
      </c>
      <c r="AD20" s="22">
        <f>NETWORKDAYS.INTL(Tab_4.DISP_INEX[[#This Row],[DATA RECEBIDO]],Tab_4.DISP_INEX[[#This Row],[DATA 
FINALIZADO]],1,Lista!$U$3:$U$15)</f>
        <v>1</v>
      </c>
      <c r="AE20" s="1" t="s">
        <v>56</v>
      </c>
      <c r="AF20" s="7" t="s">
        <v>216</v>
      </c>
      <c r="AG20" s="26"/>
      <c r="AH20" s="26"/>
      <c r="AI20" s="7"/>
      <c r="AJ20" s="203" t="s">
        <v>1061</v>
      </c>
      <c r="AK20" s="247" t="s">
        <v>1297</v>
      </c>
      <c r="AL20" s="247" t="s">
        <v>1295</v>
      </c>
      <c r="AM20" s="247" t="s">
        <v>1296</v>
      </c>
      <c r="AP20" s="212">
        <v>16</v>
      </c>
      <c r="AQ20" s="213" t="str">
        <f>_xlfn.CONCAT(AP20,"_","TR","_",Tab_4.DISP_INEX[[#This Row],[FORNECEDOR]])</f>
        <v>16_TR_Integração - Escola de Negócios Ltda</v>
      </c>
      <c r="AR20" s="213" t="str">
        <f>_xlfn.CONCAT(AP20,"_","JUST","_",Tab_4.DISP_INEX[[#This Row],[FORNECEDOR]])</f>
        <v>16_JUST_Integração - Escola de Negócios Ltda</v>
      </c>
      <c r="AS20" s="213" t="str">
        <f>_xlfn.CONCAT(AP20,"_","RAT","_",Tab_4.DISP_INEX[[#This Row],[FORNECEDOR]])</f>
        <v>16_RAT_Integração - Escola de Negócios Ltda</v>
      </c>
    </row>
    <row r="21" spans="2:46" ht="45" x14ac:dyDescent="0.25">
      <c r="B21" s="21">
        <v>45435</v>
      </c>
      <c r="C21" s="11" t="s">
        <v>56</v>
      </c>
      <c r="D21" s="7" t="s">
        <v>53</v>
      </c>
      <c r="E21" s="7" t="s">
        <v>53</v>
      </c>
      <c r="F21" s="7" t="s">
        <v>118</v>
      </c>
      <c r="G21" s="22" t="s">
        <v>45</v>
      </c>
      <c r="H21" s="7" t="s">
        <v>185</v>
      </c>
      <c r="I21" s="7" t="s">
        <v>28</v>
      </c>
      <c r="J21" s="7" t="s">
        <v>158</v>
      </c>
      <c r="K21" s="22" t="s">
        <v>840</v>
      </c>
      <c r="L21" s="7" t="s">
        <v>68</v>
      </c>
      <c r="M21" s="17" t="s">
        <v>341</v>
      </c>
      <c r="N21" s="17" t="s">
        <v>342</v>
      </c>
      <c r="O21" s="17" t="s">
        <v>449</v>
      </c>
      <c r="P21" s="17" t="s">
        <v>227</v>
      </c>
      <c r="Q21" s="17" t="s">
        <v>227</v>
      </c>
      <c r="R21" s="17" t="s">
        <v>340</v>
      </c>
      <c r="S21" s="19">
        <v>45440</v>
      </c>
      <c r="T21" s="24">
        <v>45440</v>
      </c>
      <c r="U21" s="19">
        <v>45440</v>
      </c>
      <c r="V21" s="152">
        <v>4905</v>
      </c>
      <c r="W21" s="17" t="s">
        <v>226</v>
      </c>
      <c r="X21" s="17" t="s">
        <v>210</v>
      </c>
      <c r="Y21" s="23" t="s">
        <v>15</v>
      </c>
      <c r="Z21" s="46">
        <v>10014684</v>
      </c>
      <c r="AA21" s="46">
        <v>10004029</v>
      </c>
      <c r="AB21" s="45" t="s">
        <v>227</v>
      </c>
      <c r="AC21" s="21">
        <v>45436</v>
      </c>
      <c r="AD21" s="22">
        <f>NETWORKDAYS.INTL(Tab_4.DISP_INEX[[#This Row],[DATA RECEBIDO]],Tab_4.DISP_INEX[[#This Row],[DATA 
FINALIZADO]],1,Lista!$U$3:$U$15)</f>
        <v>2</v>
      </c>
      <c r="AE21" s="1" t="s">
        <v>56</v>
      </c>
      <c r="AF21" s="7" t="s">
        <v>216</v>
      </c>
      <c r="AG21" s="26"/>
      <c r="AH21" s="26"/>
      <c r="AI21" s="7"/>
      <c r="AJ21" s="203" t="s">
        <v>1060</v>
      </c>
      <c r="AK21" s="247" t="s">
        <v>1300</v>
      </c>
      <c r="AL21" s="247" t="s">
        <v>1298</v>
      </c>
      <c r="AM21" s="247" t="s">
        <v>1299</v>
      </c>
      <c r="AP21" s="212">
        <v>17</v>
      </c>
      <c r="AQ21" s="213" t="str">
        <f>_xlfn.CONCAT(AP21,"_","TR","_",Tab_4.DISP_INEX[[#This Row],[FORNECEDOR]])</f>
        <v>17_TR_LEC EDUCACAO E PESQUISA LTDA</v>
      </c>
      <c r="AR21" s="213" t="str">
        <f>_xlfn.CONCAT(AP21,"_","JUST","_",Tab_4.DISP_INEX[[#This Row],[FORNECEDOR]])</f>
        <v>17_JUST_LEC EDUCACAO E PESQUISA LTDA</v>
      </c>
      <c r="AS21" s="213" t="str">
        <f>_xlfn.CONCAT(AP21,"_","RAT","_",Tab_4.DISP_INEX[[#This Row],[FORNECEDOR]])</f>
        <v>17_RAT_LEC EDUCACAO E PESQUISA LTDA</v>
      </c>
    </row>
    <row r="22" spans="2:46" ht="90" x14ac:dyDescent="0.25">
      <c r="B22" s="21">
        <v>45470</v>
      </c>
      <c r="C22" s="11" t="s">
        <v>56</v>
      </c>
      <c r="D22" s="7" t="s">
        <v>53</v>
      </c>
      <c r="E22" s="7" t="s">
        <v>53</v>
      </c>
      <c r="F22" s="7" t="s">
        <v>119</v>
      </c>
      <c r="G22" s="22" t="s">
        <v>45</v>
      </c>
      <c r="H22" s="7" t="s">
        <v>185</v>
      </c>
      <c r="I22" s="7" t="s">
        <v>28</v>
      </c>
      <c r="J22" s="7" t="s">
        <v>159</v>
      </c>
      <c r="K22" s="22" t="s">
        <v>840</v>
      </c>
      <c r="L22" s="7" t="s">
        <v>68</v>
      </c>
      <c r="M22" s="17" t="s">
        <v>343</v>
      </c>
      <c r="N22" s="17" t="s">
        <v>344</v>
      </c>
      <c r="O22" s="17" t="s">
        <v>449</v>
      </c>
      <c r="P22" s="17" t="s">
        <v>230</v>
      </c>
      <c r="Q22" s="17" t="s">
        <v>230</v>
      </c>
      <c r="R22" s="17" t="s">
        <v>348</v>
      </c>
      <c r="S22" s="24">
        <v>45474</v>
      </c>
      <c r="T22" s="24">
        <v>45474</v>
      </c>
      <c r="U22" s="19">
        <v>45474</v>
      </c>
      <c r="V22" s="152">
        <v>397</v>
      </c>
      <c r="W22" s="17" t="s">
        <v>228</v>
      </c>
      <c r="X22" s="17" t="s">
        <v>229</v>
      </c>
      <c r="Y22" s="23" t="s">
        <v>15</v>
      </c>
      <c r="Z22" s="46">
        <v>10014783</v>
      </c>
      <c r="AA22" s="46">
        <v>10004052</v>
      </c>
      <c r="AB22" s="45" t="s">
        <v>230</v>
      </c>
      <c r="AC22" s="21">
        <v>45470</v>
      </c>
      <c r="AD22" s="22">
        <f>NETWORKDAYS.INTL(Tab_4.DISP_INEX[[#This Row],[DATA RECEBIDO]],Tab_4.DISP_INEX[[#This Row],[DATA 
FINALIZADO]],1,Lista!$U$3:$U$15)</f>
        <v>1</v>
      </c>
      <c r="AE22" s="1" t="s">
        <v>56</v>
      </c>
      <c r="AF22" s="7" t="s">
        <v>216</v>
      </c>
      <c r="AG22" s="26"/>
      <c r="AH22" s="26"/>
      <c r="AI22" s="7"/>
      <c r="AJ22" s="203" t="s">
        <v>1059</v>
      </c>
      <c r="AK22" s="247" t="s">
        <v>1303</v>
      </c>
      <c r="AL22" s="247" t="s">
        <v>1301</v>
      </c>
      <c r="AM22" s="247" t="s">
        <v>1302</v>
      </c>
      <c r="AP22" s="212">
        <v>18</v>
      </c>
      <c r="AQ22" s="213" t="str">
        <f>_xlfn.CONCAT(AP22,"_","TR","_",Tab_4.DISP_INEX[[#This Row],[FORNECEDOR]])</f>
        <v>18_TR_PS Treinamento Profissional e Consultoria Empresarial Ltda</v>
      </c>
      <c r="AR22" s="213" t="str">
        <f>_xlfn.CONCAT(AP22,"_","JUST","_",Tab_4.DISP_INEX[[#This Row],[FORNECEDOR]])</f>
        <v>18_JUST_PS Treinamento Profissional e Consultoria Empresarial Ltda</v>
      </c>
      <c r="AS22" s="213" t="str">
        <f>_xlfn.CONCAT(AP22,"_","RAT","_",Tab_4.DISP_INEX[[#This Row],[FORNECEDOR]])</f>
        <v>18_RAT_PS Treinamento Profissional e Consultoria Empresarial Ltda</v>
      </c>
    </row>
    <row r="23" spans="2:46" ht="60" x14ac:dyDescent="0.25">
      <c r="B23" s="21">
        <v>45511</v>
      </c>
      <c r="C23" s="11" t="s">
        <v>56</v>
      </c>
      <c r="D23" s="7" t="s">
        <v>53</v>
      </c>
      <c r="E23" s="7" t="s">
        <v>53</v>
      </c>
      <c r="F23" s="7" t="s">
        <v>120</v>
      </c>
      <c r="G23" s="22" t="s">
        <v>46</v>
      </c>
      <c r="H23" s="7" t="s">
        <v>202</v>
      </c>
      <c r="I23" s="22" t="s">
        <v>28</v>
      </c>
      <c r="J23" s="7" t="s">
        <v>160</v>
      </c>
      <c r="K23" s="22" t="s">
        <v>840</v>
      </c>
      <c r="L23" s="7" t="s">
        <v>68</v>
      </c>
      <c r="M23" s="17" t="s">
        <v>350</v>
      </c>
      <c r="N23" s="23"/>
      <c r="O23" s="17" t="s">
        <v>449</v>
      </c>
      <c r="P23" s="17" t="s">
        <v>232</v>
      </c>
      <c r="Q23" s="17" t="s">
        <v>232</v>
      </c>
      <c r="R23" s="17" t="s">
        <v>349</v>
      </c>
      <c r="S23" s="24">
        <v>45530</v>
      </c>
      <c r="T23" s="24">
        <v>45533</v>
      </c>
      <c r="U23" s="19">
        <v>45898</v>
      </c>
      <c r="V23" s="152">
        <v>75948.05</v>
      </c>
      <c r="W23" s="23" t="s">
        <v>231</v>
      </c>
      <c r="X23" s="23" t="s">
        <v>201</v>
      </c>
      <c r="Y23" s="23" t="s">
        <v>15</v>
      </c>
      <c r="Z23" s="46">
        <v>10014763</v>
      </c>
      <c r="AA23" s="46"/>
      <c r="AB23" s="46" t="s">
        <v>232</v>
      </c>
      <c r="AC23" s="21">
        <v>45516</v>
      </c>
      <c r="AD23" s="22">
        <f>NETWORKDAYS.INTL(Tab_4.DISP_INEX[[#This Row],[DATA RECEBIDO]],Tab_4.DISP_INEX[[#This Row],[DATA 
FINALIZADO]],1,Lista!$U$3:$U$15)</f>
        <v>4</v>
      </c>
      <c r="AE23" s="1" t="s">
        <v>56</v>
      </c>
      <c r="AF23" s="7" t="s">
        <v>626</v>
      </c>
      <c r="AG23" s="26"/>
      <c r="AH23" s="26"/>
      <c r="AI23" s="7"/>
      <c r="AJ23" s="203" t="s">
        <v>1059</v>
      </c>
      <c r="AK23" s="247" t="s">
        <v>1306</v>
      </c>
      <c r="AL23" s="247" t="s">
        <v>1304</v>
      </c>
      <c r="AM23" s="247" t="s">
        <v>1305</v>
      </c>
      <c r="AP23" s="212">
        <v>19</v>
      </c>
      <c r="AQ23" s="213" t="str">
        <f>_xlfn.CONCAT(AP23,"_","TR","_",Tab_4.DISP_INEX[[#This Row],[FORNECEDOR]])</f>
        <v>19_TR_Space Data Association</v>
      </c>
      <c r="AR23" s="213" t="str">
        <f>_xlfn.CONCAT(AP23,"_","JUST","_",Tab_4.DISP_INEX[[#This Row],[FORNECEDOR]])</f>
        <v>19_JUST_Space Data Association</v>
      </c>
      <c r="AS23" s="213" t="str">
        <f>_xlfn.CONCAT(AP23,"_","RAT","_",Tab_4.DISP_INEX[[#This Row],[FORNECEDOR]])</f>
        <v>19_RAT_Space Data Association</v>
      </c>
    </row>
    <row r="24" spans="2:46" ht="135" x14ac:dyDescent="0.25">
      <c r="B24" s="21">
        <v>45476</v>
      </c>
      <c r="C24" s="11" t="s">
        <v>56</v>
      </c>
      <c r="D24" s="7" t="s">
        <v>53</v>
      </c>
      <c r="E24" s="7" t="s">
        <v>53</v>
      </c>
      <c r="F24" s="7" t="s">
        <v>121</v>
      </c>
      <c r="G24" s="22" t="s">
        <v>45</v>
      </c>
      <c r="H24" s="22" t="s">
        <v>221</v>
      </c>
      <c r="I24" s="22" t="s">
        <v>28</v>
      </c>
      <c r="J24" s="7" t="s">
        <v>537</v>
      </c>
      <c r="K24" s="22" t="s">
        <v>840</v>
      </c>
      <c r="L24" s="7" t="s">
        <v>68</v>
      </c>
      <c r="M24" s="17" t="s">
        <v>351</v>
      </c>
      <c r="N24" s="23" t="s">
        <v>352</v>
      </c>
      <c r="O24" s="17" t="s">
        <v>442</v>
      </c>
      <c r="P24" s="17" t="s">
        <v>353</v>
      </c>
      <c r="Q24" s="17" t="s">
        <v>234</v>
      </c>
      <c r="R24" s="17" t="s">
        <v>622</v>
      </c>
      <c r="S24" s="24">
        <v>45491</v>
      </c>
      <c r="T24" s="24">
        <v>45491</v>
      </c>
      <c r="U24" s="19">
        <v>45657</v>
      </c>
      <c r="V24" s="152">
        <v>59988</v>
      </c>
      <c r="W24" s="23" t="s">
        <v>233</v>
      </c>
      <c r="X24" s="23" t="s">
        <v>222</v>
      </c>
      <c r="Y24" s="23" t="s">
        <v>15</v>
      </c>
      <c r="Z24" s="46">
        <v>10014621</v>
      </c>
      <c r="AA24" s="46">
        <v>10001625</v>
      </c>
      <c r="AB24" s="46" t="s">
        <v>234</v>
      </c>
      <c r="AC24" s="21">
        <v>45476</v>
      </c>
      <c r="AD24" s="22">
        <f>NETWORKDAYS.INTL(Tab_4.DISP_INEX[[#This Row],[DATA RECEBIDO]],Tab_4.DISP_INEX[[#This Row],[DATA 
FINALIZADO]],1,Lista!$U$3:$U$15)</f>
        <v>1</v>
      </c>
      <c r="AE24" s="1" t="s">
        <v>56</v>
      </c>
      <c r="AF24" s="7" t="s">
        <v>628</v>
      </c>
      <c r="AG24" s="26"/>
      <c r="AH24" s="26"/>
      <c r="AI24" s="7"/>
      <c r="AJ24" s="203" t="s">
        <v>1018</v>
      </c>
      <c r="AK24" s="247" t="s">
        <v>1309</v>
      </c>
      <c r="AL24" s="247" t="s">
        <v>1307</v>
      </c>
      <c r="AM24" s="247" t="s">
        <v>1308</v>
      </c>
      <c r="AP24" s="212">
        <v>20</v>
      </c>
      <c r="AQ24" s="213" t="str">
        <f>_xlfn.CONCAT(AP24,"_","TR","_",Tab_4.DISP_INEX[[#This Row],[FORNECEDOR]])</f>
        <v>20_TR_Associação Brasileira de Entidades Estaduais e Públicas de tecnologia da Infrmção e comunicação ES - ABEP</v>
      </c>
      <c r="AR24" s="213" t="str">
        <f>_xlfn.CONCAT(AP24,"_","JUST","_",Tab_4.DISP_INEX[[#This Row],[FORNECEDOR]])</f>
        <v>20_JUST_Associação Brasileira de Entidades Estaduais e Públicas de tecnologia da Infrmção e comunicação ES - ABEP</v>
      </c>
      <c r="AS24" s="213" t="str">
        <f>_xlfn.CONCAT(AP24,"_","RAT","_",Tab_4.DISP_INEX[[#This Row],[FORNECEDOR]])</f>
        <v>20_RAT_Associação Brasileira de Entidades Estaduais e Públicas de tecnologia da Infrmção e comunicação ES - ABEP</v>
      </c>
    </row>
    <row r="25" spans="2:46" ht="90" x14ac:dyDescent="0.25">
      <c r="B25" s="21">
        <v>45490</v>
      </c>
      <c r="C25" s="11" t="s">
        <v>56</v>
      </c>
      <c r="D25" s="7" t="s">
        <v>53</v>
      </c>
      <c r="E25" s="7" t="s">
        <v>53</v>
      </c>
      <c r="F25" s="7" t="s">
        <v>122</v>
      </c>
      <c r="G25" s="22" t="s">
        <v>45</v>
      </c>
      <c r="H25" s="22" t="s">
        <v>235</v>
      </c>
      <c r="I25" s="22" t="s">
        <v>28</v>
      </c>
      <c r="J25" s="7" t="s">
        <v>161</v>
      </c>
      <c r="K25" s="22" t="s">
        <v>840</v>
      </c>
      <c r="L25" s="7" t="s">
        <v>68</v>
      </c>
      <c r="M25" s="17" t="s">
        <v>354</v>
      </c>
      <c r="N25" s="17" t="s">
        <v>355</v>
      </c>
      <c r="O25" s="17" t="s">
        <v>449</v>
      </c>
      <c r="P25" s="17" t="s">
        <v>238</v>
      </c>
      <c r="Q25" s="17" t="s">
        <v>238</v>
      </c>
      <c r="R25" s="17" t="s">
        <v>356</v>
      </c>
      <c r="S25" s="24">
        <v>45503</v>
      </c>
      <c r="T25" s="24">
        <v>45503</v>
      </c>
      <c r="U25" s="19">
        <v>45503</v>
      </c>
      <c r="V25" s="152">
        <v>1900</v>
      </c>
      <c r="W25" s="23" t="s">
        <v>236</v>
      </c>
      <c r="X25" s="23" t="s">
        <v>237</v>
      </c>
      <c r="Y25" s="23" t="s">
        <v>15</v>
      </c>
      <c r="Z25" s="46">
        <v>10014798</v>
      </c>
      <c r="AA25" s="46">
        <v>10003765</v>
      </c>
      <c r="AB25" s="46" t="s">
        <v>238</v>
      </c>
      <c r="AC25" s="21">
        <v>45491</v>
      </c>
      <c r="AD25" s="22">
        <f>NETWORKDAYS.INTL(Tab_4.DISP_INEX[[#This Row],[DATA RECEBIDO]],Tab_4.DISP_INEX[[#This Row],[DATA 
FINALIZADO]],1,Lista!$U$3:$U$15)</f>
        <v>2</v>
      </c>
      <c r="AE25" s="1" t="s">
        <v>56</v>
      </c>
      <c r="AF25" s="22" t="s">
        <v>216</v>
      </c>
      <c r="AG25" s="26"/>
      <c r="AH25" s="26"/>
      <c r="AI25" s="7"/>
      <c r="AJ25" s="203" t="s">
        <v>1017</v>
      </c>
      <c r="AK25" s="247" t="s">
        <v>1312</v>
      </c>
      <c r="AL25" s="247" t="s">
        <v>1310</v>
      </c>
      <c r="AM25" s="247" t="s">
        <v>1311</v>
      </c>
      <c r="AP25" s="212">
        <v>21</v>
      </c>
      <c r="AQ25" s="213" t="str">
        <f>_xlfn.CONCAT(AP25,"_","TR","_",Tab_4.DISP_INEX[[#This Row],[FORNECEDOR]])</f>
        <v>21_TR_Bioseg Brasília Soluções em Segurança e Medicina do Trabalho Ltda</v>
      </c>
      <c r="AR25" s="213" t="str">
        <f>_xlfn.CONCAT(AP25,"_","JUST","_",Tab_4.DISP_INEX[[#This Row],[FORNECEDOR]])</f>
        <v>21_JUST_Bioseg Brasília Soluções em Segurança e Medicina do Trabalho Ltda</v>
      </c>
      <c r="AS25" s="213" t="str">
        <f>_xlfn.CONCAT(AP25,"_","RAT","_",Tab_4.DISP_INEX[[#This Row],[FORNECEDOR]])</f>
        <v>21_RAT_Bioseg Brasília Soluções em Segurança e Medicina do Trabalho Ltda</v>
      </c>
    </row>
    <row r="26" spans="2:46" ht="75" x14ac:dyDescent="0.25">
      <c r="B26" s="21">
        <v>45504</v>
      </c>
      <c r="C26" s="11" t="s">
        <v>56</v>
      </c>
      <c r="D26" s="7" t="s">
        <v>53</v>
      </c>
      <c r="E26" s="7" t="s">
        <v>53</v>
      </c>
      <c r="F26" s="7" t="s">
        <v>123</v>
      </c>
      <c r="G26" s="22" t="s">
        <v>45</v>
      </c>
      <c r="H26" s="22" t="s">
        <v>185</v>
      </c>
      <c r="I26" s="22" t="s">
        <v>28</v>
      </c>
      <c r="J26" s="7" t="s">
        <v>162</v>
      </c>
      <c r="K26" s="22" t="s">
        <v>840</v>
      </c>
      <c r="L26" s="7" t="s">
        <v>68</v>
      </c>
      <c r="M26" s="17" t="s">
        <v>358</v>
      </c>
      <c r="N26" s="17" t="s">
        <v>359</v>
      </c>
      <c r="O26" s="17" t="s">
        <v>449</v>
      </c>
      <c r="P26" s="17" t="s">
        <v>240</v>
      </c>
      <c r="Q26" s="17" t="s">
        <v>240</v>
      </c>
      <c r="R26" s="17" t="s">
        <v>357</v>
      </c>
      <c r="S26" s="24">
        <v>45513</v>
      </c>
      <c r="T26" s="24">
        <v>45518</v>
      </c>
      <c r="U26" s="19">
        <v>45518</v>
      </c>
      <c r="V26" s="152">
        <v>8250</v>
      </c>
      <c r="W26" s="23" t="s">
        <v>239</v>
      </c>
      <c r="X26" s="23" t="s">
        <v>210</v>
      </c>
      <c r="Y26" s="23" t="s">
        <v>15</v>
      </c>
      <c r="Z26" s="46">
        <v>10014830</v>
      </c>
      <c r="AA26" s="46">
        <v>10004111</v>
      </c>
      <c r="AB26" s="45" t="s">
        <v>240</v>
      </c>
      <c r="AC26" s="21">
        <v>45509</v>
      </c>
      <c r="AD26" s="22">
        <f>NETWORKDAYS.INTL(Tab_4.DISP_INEX[[#This Row],[DATA RECEBIDO]],Tab_4.DISP_INEX[[#This Row],[DATA 
FINALIZADO]],1,Lista!$U$3:$U$15)</f>
        <v>4</v>
      </c>
      <c r="AE26" s="1" t="s">
        <v>56</v>
      </c>
      <c r="AF26" s="22" t="s">
        <v>216</v>
      </c>
      <c r="AG26" s="26"/>
      <c r="AH26" s="26"/>
      <c r="AI26" s="7"/>
      <c r="AJ26" s="203" t="s">
        <v>1058</v>
      </c>
      <c r="AK26" s="247" t="s">
        <v>1315</v>
      </c>
      <c r="AL26" s="247" t="s">
        <v>1313</v>
      </c>
      <c r="AM26" s="247" t="s">
        <v>1314</v>
      </c>
      <c r="AP26" s="212">
        <v>22</v>
      </c>
      <c r="AQ26" s="213" t="str">
        <f>_xlfn.CONCAT(AP26,"_","TR","_",Tab_4.DISP_INEX[[#This Row],[FORNECEDOR]])</f>
        <v>22_TR_Instituto dos Auditores Internos do Brasil</v>
      </c>
      <c r="AR26" s="213" t="str">
        <f>_xlfn.CONCAT(AP26,"_","JUST","_",Tab_4.DISP_INEX[[#This Row],[FORNECEDOR]])</f>
        <v>22_JUST_Instituto dos Auditores Internos do Brasil</v>
      </c>
      <c r="AS26" s="213" t="str">
        <f>_xlfn.CONCAT(AP26,"_","RAT","_",Tab_4.DISP_INEX[[#This Row],[FORNECEDOR]])</f>
        <v>22_RAT_Instituto dos Auditores Internos do Brasil</v>
      </c>
    </row>
    <row r="27" spans="2:46" ht="75" x14ac:dyDescent="0.25">
      <c r="B27" s="21">
        <v>45484</v>
      </c>
      <c r="C27" s="11" t="s">
        <v>55</v>
      </c>
      <c r="D27" s="7" t="s">
        <v>53</v>
      </c>
      <c r="E27" s="7" t="s">
        <v>53</v>
      </c>
      <c r="F27" s="7" t="s">
        <v>124</v>
      </c>
      <c r="G27" s="22" t="s">
        <v>45</v>
      </c>
      <c r="H27" s="22" t="s">
        <v>185</v>
      </c>
      <c r="I27" s="22" t="s">
        <v>28</v>
      </c>
      <c r="J27" s="7" t="s">
        <v>538</v>
      </c>
      <c r="K27" s="22" t="s">
        <v>840</v>
      </c>
      <c r="L27" s="7" t="s">
        <v>68</v>
      </c>
      <c r="M27" s="17" t="s">
        <v>360</v>
      </c>
      <c r="N27" s="17" t="s">
        <v>361</v>
      </c>
      <c r="O27" s="17" t="s">
        <v>449</v>
      </c>
      <c r="P27" s="17" t="s">
        <v>242</v>
      </c>
      <c r="Q27" s="17" t="s">
        <v>242</v>
      </c>
      <c r="R27" s="17" t="s">
        <v>362</v>
      </c>
      <c r="S27" s="24">
        <v>45490</v>
      </c>
      <c r="T27" s="24">
        <v>45490</v>
      </c>
      <c r="U27" s="19">
        <v>45490</v>
      </c>
      <c r="V27" s="152">
        <v>13760</v>
      </c>
      <c r="W27" s="23" t="s">
        <v>241</v>
      </c>
      <c r="X27" s="23" t="s">
        <v>210</v>
      </c>
      <c r="Y27" s="23" t="s">
        <v>15</v>
      </c>
      <c r="Z27" s="46">
        <v>10014768</v>
      </c>
      <c r="AA27" s="46"/>
      <c r="AB27" s="46" t="s">
        <v>242</v>
      </c>
      <c r="AC27" s="21">
        <v>45495</v>
      </c>
      <c r="AD27" s="22">
        <f>NETWORKDAYS.INTL(Tab_4.DISP_INEX[[#This Row],[DATA RECEBIDO]],Tab_4.DISP_INEX[[#This Row],[DATA 
FINALIZADO]],1,Lista!$U$3:$U$15)</f>
        <v>8</v>
      </c>
      <c r="AF27" s="22"/>
      <c r="AG27" s="26"/>
      <c r="AH27" s="26"/>
      <c r="AI27" s="7"/>
      <c r="AJ27" s="203" t="s">
        <v>1019</v>
      </c>
      <c r="AK27" s="247" t="s">
        <v>1318</v>
      </c>
      <c r="AL27" s="247" t="s">
        <v>1316</v>
      </c>
      <c r="AM27" s="247" t="s">
        <v>1317</v>
      </c>
      <c r="AP27" s="212">
        <v>23</v>
      </c>
      <c r="AQ27" s="213" t="str">
        <f>_xlfn.CONCAT(AP27,"_","TR","_",Tab_4.DISP_INEX[[#This Row],[FORNECEDOR]])</f>
        <v>23_TR_ Associação Brasileira de Recursos Humanos</v>
      </c>
      <c r="AR27" s="213" t="str">
        <f>_xlfn.CONCAT(AP27,"_","JUST","_",Tab_4.DISP_INEX[[#This Row],[FORNECEDOR]])</f>
        <v>23_JUST_ Associação Brasileira de Recursos Humanos</v>
      </c>
      <c r="AS27" s="213" t="str">
        <f>_xlfn.CONCAT(AP27,"_","RAT","_",Tab_4.DISP_INEX[[#This Row],[FORNECEDOR]])</f>
        <v>23_RAT_ Associação Brasileira de Recursos Humanos</v>
      </c>
    </row>
    <row r="28" spans="2:46" ht="75" x14ac:dyDescent="0.25">
      <c r="B28" s="21">
        <v>45504</v>
      </c>
      <c r="C28" s="11" t="s">
        <v>55</v>
      </c>
      <c r="D28" s="7" t="s">
        <v>53</v>
      </c>
      <c r="E28" s="7" t="s">
        <v>53</v>
      </c>
      <c r="F28" s="7" t="s">
        <v>125</v>
      </c>
      <c r="G28" s="7" t="s">
        <v>45</v>
      </c>
      <c r="H28" s="22" t="s">
        <v>185</v>
      </c>
      <c r="I28" s="22" t="s">
        <v>28</v>
      </c>
      <c r="J28" s="7" t="s">
        <v>163</v>
      </c>
      <c r="K28" s="22" t="s">
        <v>840</v>
      </c>
      <c r="L28" s="7" t="s">
        <v>68</v>
      </c>
      <c r="M28" s="17" t="s">
        <v>363</v>
      </c>
      <c r="N28" s="17" t="s">
        <v>364</v>
      </c>
      <c r="O28" s="17" t="s">
        <v>449</v>
      </c>
      <c r="P28" s="17" t="s">
        <v>365</v>
      </c>
      <c r="Q28" s="17" t="s">
        <v>365</v>
      </c>
      <c r="R28" s="17" t="s">
        <v>366</v>
      </c>
      <c r="S28" s="24">
        <v>45539</v>
      </c>
      <c r="T28" s="24">
        <v>45551</v>
      </c>
      <c r="U28" s="19">
        <v>45924</v>
      </c>
      <c r="V28" s="152">
        <v>6500</v>
      </c>
      <c r="W28" s="23" t="s">
        <v>243</v>
      </c>
      <c r="X28" s="23" t="s">
        <v>244</v>
      </c>
      <c r="Y28" s="23" t="s">
        <v>15</v>
      </c>
      <c r="Z28" s="46">
        <v>10014747</v>
      </c>
      <c r="AA28" s="46"/>
      <c r="AB28" s="45" t="s">
        <v>245</v>
      </c>
      <c r="AC28" s="21">
        <v>45565</v>
      </c>
      <c r="AD28" s="22">
        <f>NETWORKDAYS.INTL(Tab_4.DISP_INEX[[#This Row],[DATA RECEBIDO]],Tab_4.DISP_INEX[[#This Row],[DATA 
FINALIZADO]],1,Lista!$U$3:$U$15)</f>
        <v>44</v>
      </c>
      <c r="AF28" s="22"/>
      <c r="AG28" s="26"/>
      <c r="AH28" s="26"/>
      <c r="AI28" s="7"/>
      <c r="AJ28" s="203" t="s">
        <v>1057</v>
      </c>
      <c r="AK28" s="247" t="s">
        <v>1321</v>
      </c>
      <c r="AL28" s="247" t="s">
        <v>1319</v>
      </c>
      <c r="AM28" s="247" t="s">
        <v>1320</v>
      </c>
      <c r="AP28" s="212">
        <v>24</v>
      </c>
      <c r="AQ28" s="213" t="str">
        <f>_xlfn.CONCAT(AP28,"_","TR","_",Tab_4.DISP_INEX[[#This Row],[FORNECEDOR]])</f>
        <v>24_TR_Associação Brasileira de Gestão do Conhecimento - SBGC</v>
      </c>
      <c r="AR28" s="213" t="str">
        <f>_xlfn.CONCAT(AP28,"_","JUST","_",Tab_4.DISP_INEX[[#This Row],[FORNECEDOR]])</f>
        <v>24_JUST_Associação Brasileira de Gestão do Conhecimento - SBGC</v>
      </c>
      <c r="AS28" s="213" t="str">
        <f>_xlfn.CONCAT(AP28,"_","RAT","_",Tab_4.DISP_INEX[[#This Row],[FORNECEDOR]])</f>
        <v>24_RAT_Associação Brasileira de Gestão do Conhecimento - SBGC</v>
      </c>
    </row>
    <row r="29" spans="2:46" ht="60" x14ac:dyDescent="0.25">
      <c r="B29" s="21">
        <v>45506</v>
      </c>
      <c r="C29" s="11" t="s">
        <v>56</v>
      </c>
      <c r="D29" s="7" t="s">
        <v>53</v>
      </c>
      <c r="E29" s="7" t="s">
        <v>53</v>
      </c>
      <c r="F29" s="7" t="s">
        <v>126</v>
      </c>
      <c r="G29" s="22" t="s">
        <v>45</v>
      </c>
      <c r="H29" s="22" t="s">
        <v>185</v>
      </c>
      <c r="I29" s="22" t="s">
        <v>28</v>
      </c>
      <c r="J29" s="7" t="s">
        <v>164</v>
      </c>
      <c r="K29" s="22" t="s">
        <v>840</v>
      </c>
      <c r="L29" s="7" t="s">
        <v>68</v>
      </c>
      <c r="M29" s="17" t="s">
        <v>367</v>
      </c>
      <c r="N29" s="17" t="s">
        <v>304</v>
      </c>
      <c r="O29" s="17" t="s">
        <v>449</v>
      </c>
      <c r="P29" s="17" t="s">
        <v>248</v>
      </c>
      <c r="Q29" s="17" t="s">
        <v>248</v>
      </c>
      <c r="R29" s="17" t="s">
        <v>368</v>
      </c>
      <c r="S29" s="24">
        <v>45510</v>
      </c>
      <c r="T29" s="24">
        <v>45511</v>
      </c>
      <c r="U29" s="19">
        <v>45511</v>
      </c>
      <c r="V29" s="152">
        <v>16230</v>
      </c>
      <c r="W29" s="17" t="s">
        <v>246</v>
      </c>
      <c r="X29" s="23" t="s">
        <v>247</v>
      </c>
      <c r="Y29" s="23" t="s">
        <v>15</v>
      </c>
      <c r="Z29" s="46">
        <v>10014842</v>
      </c>
      <c r="AA29" s="46">
        <v>10003951</v>
      </c>
      <c r="AB29" s="46" t="s">
        <v>248</v>
      </c>
      <c r="AC29" s="21">
        <v>45506</v>
      </c>
      <c r="AD29" s="22">
        <f>NETWORKDAYS.INTL(Tab_4.DISP_INEX[[#This Row],[DATA RECEBIDO]],Tab_4.DISP_INEX[[#This Row],[DATA 
FINALIZADO]],1,Lista!$U$3:$U$15)</f>
        <v>1</v>
      </c>
      <c r="AE29" s="1" t="s">
        <v>56</v>
      </c>
      <c r="AF29" s="22" t="s">
        <v>216</v>
      </c>
      <c r="AG29" s="26"/>
      <c r="AH29" s="26"/>
      <c r="AI29" s="7"/>
      <c r="AJ29" s="203" t="s">
        <v>1056</v>
      </c>
      <c r="AK29" s="247" t="s">
        <v>1324</v>
      </c>
      <c r="AL29" s="247" t="s">
        <v>1322</v>
      </c>
      <c r="AM29" s="247" t="s">
        <v>1323</v>
      </c>
      <c r="AP29" s="212">
        <v>25</v>
      </c>
      <c r="AQ29" s="213" t="str">
        <f>_xlfn.CONCAT(AP29,"_","TR","_",Tab_4.DISP_INEX[[#This Row],[FORNECEDOR]])</f>
        <v>25_TR_Instituto Brasileiro de Governança Corporativa</v>
      </c>
      <c r="AR29" s="213" t="str">
        <f>_xlfn.CONCAT(AP29,"_","JUST","_",Tab_4.DISP_INEX[[#This Row],[FORNECEDOR]])</f>
        <v>25_JUST_Instituto Brasileiro de Governança Corporativa</v>
      </c>
      <c r="AS29" s="213" t="str">
        <f>_xlfn.CONCAT(AP29,"_","RAT","_",Tab_4.DISP_INEX[[#This Row],[FORNECEDOR]])</f>
        <v>25_RAT_Instituto Brasileiro de Governança Corporativa</v>
      </c>
    </row>
    <row r="30" spans="2:46" ht="45" x14ac:dyDescent="0.25">
      <c r="B30" s="21">
        <v>45525</v>
      </c>
      <c r="C30" s="11" t="s">
        <v>56</v>
      </c>
      <c r="D30" s="7" t="s">
        <v>53</v>
      </c>
      <c r="E30" s="7" t="s">
        <v>53</v>
      </c>
      <c r="F30" s="7" t="s">
        <v>127</v>
      </c>
      <c r="G30" s="22" t="s">
        <v>45</v>
      </c>
      <c r="H30" s="22" t="s">
        <v>185</v>
      </c>
      <c r="I30" s="22" t="s">
        <v>28</v>
      </c>
      <c r="J30" s="7" t="s">
        <v>165</v>
      </c>
      <c r="K30" s="22" t="s">
        <v>840</v>
      </c>
      <c r="L30" s="7" t="s">
        <v>68</v>
      </c>
      <c r="M30" s="17" t="s">
        <v>369</v>
      </c>
      <c r="N30" s="17" t="s">
        <v>370</v>
      </c>
      <c r="O30" s="17" t="s">
        <v>449</v>
      </c>
      <c r="P30" s="17" t="s">
        <v>251</v>
      </c>
      <c r="Q30" s="17" t="s">
        <v>251</v>
      </c>
      <c r="R30" s="17" t="s">
        <v>371</v>
      </c>
      <c r="S30" s="24">
        <v>45533</v>
      </c>
      <c r="T30" s="24">
        <v>45534</v>
      </c>
      <c r="U30" s="19">
        <v>45534</v>
      </c>
      <c r="V30" s="152">
        <v>2992.8</v>
      </c>
      <c r="W30" s="17" t="s">
        <v>249</v>
      </c>
      <c r="X30" s="23" t="s">
        <v>250</v>
      </c>
      <c r="Y30" s="23" t="s">
        <v>15</v>
      </c>
      <c r="Z30" s="46">
        <v>10014881</v>
      </c>
      <c r="AA30" s="46">
        <v>10002313</v>
      </c>
      <c r="AB30" s="46" t="s">
        <v>251</v>
      </c>
      <c r="AC30" s="21">
        <v>45530</v>
      </c>
      <c r="AD30" s="22">
        <f>NETWORKDAYS.INTL(Tab_4.DISP_INEX[[#This Row],[DATA RECEBIDO]],Tab_4.DISP_INEX[[#This Row],[DATA 
FINALIZADO]],1,Lista!$U$3:$U$15)</f>
        <v>4</v>
      </c>
      <c r="AE30" s="1" t="s">
        <v>56</v>
      </c>
      <c r="AF30" s="22" t="s">
        <v>216</v>
      </c>
      <c r="AG30" s="26"/>
      <c r="AH30" s="26"/>
      <c r="AI30" s="7"/>
      <c r="AJ30" s="203" t="s">
        <v>1020</v>
      </c>
      <c r="AK30" s="247" t="s">
        <v>1327</v>
      </c>
      <c r="AL30" s="247" t="s">
        <v>1325</v>
      </c>
      <c r="AM30" s="247" t="s">
        <v>1326</v>
      </c>
      <c r="AP30" s="212">
        <v>26</v>
      </c>
      <c r="AQ30" s="213" t="str">
        <f>_xlfn.CONCAT(AP30,"_","TR","_",Tab_4.DISP_INEX[[#This Row],[FORNECEDOR]])</f>
        <v>26_TR_Fundação Getulio Vargas</v>
      </c>
      <c r="AR30" s="213" t="str">
        <f>_xlfn.CONCAT(AP30,"_","JUST","_",Tab_4.DISP_INEX[[#This Row],[FORNECEDOR]])</f>
        <v>26_JUST_Fundação Getulio Vargas</v>
      </c>
      <c r="AS30" s="213" t="str">
        <f>_xlfn.CONCAT(AP30,"_","RAT","_",Tab_4.DISP_INEX[[#This Row],[FORNECEDOR]])</f>
        <v>26_RAT_Fundação Getulio Vargas</v>
      </c>
    </row>
    <row r="31" spans="2:46" ht="45" x14ac:dyDescent="0.25">
      <c r="B31" s="21">
        <v>45559</v>
      </c>
      <c r="C31" s="11" t="s">
        <v>56</v>
      </c>
      <c r="D31" s="7" t="s">
        <v>53</v>
      </c>
      <c r="E31" s="7" t="s">
        <v>53</v>
      </c>
      <c r="F31" s="7" t="s">
        <v>128</v>
      </c>
      <c r="G31" s="7" t="s">
        <v>45</v>
      </c>
      <c r="H31" s="22" t="s">
        <v>185</v>
      </c>
      <c r="I31" s="22" t="s">
        <v>28</v>
      </c>
      <c r="J31" s="7" t="s">
        <v>165</v>
      </c>
      <c r="K31" s="22" t="s">
        <v>840</v>
      </c>
      <c r="L31" s="7" t="s">
        <v>68</v>
      </c>
      <c r="M31" s="17" t="s">
        <v>369</v>
      </c>
      <c r="N31" s="17" t="s">
        <v>370</v>
      </c>
      <c r="O31" s="17" t="s">
        <v>449</v>
      </c>
      <c r="P31" s="17" t="s">
        <v>372</v>
      </c>
      <c r="Q31" s="17" t="s">
        <v>372</v>
      </c>
      <c r="R31" s="17" t="s">
        <v>373</v>
      </c>
      <c r="S31" s="24">
        <v>45642</v>
      </c>
      <c r="T31" s="24">
        <v>45568</v>
      </c>
      <c r="U31" s="19">
        <v>45568</v>
      </c>
      <c r="V31" s="152">
        <v>2992.8</v>
      </c>
      <c r="W31" s="23" t="s">
        <v>252</v>
      </c>
      <c r="X31" s="23" t="s">
        <v>250</v>
      </c>
      <c r="Y31" s="23" t="s">
        <v>15</v>
      </c>
      <c r="Z31" s="46">
        <v>10014941</v>
      </c>
      <c r="AA31" s="46">
        <v>10002313</v>
      </c>
      <c r="AB31" s="46" t="s">
        <v>253</v>
      </c>
      <c r="AC31" s="21">
        <v>45561</v>
      </c>
      <c r="AD31" s="22">
        <f>NETWORKDAYS.INTL(Tab_4.DISP_INEX[[#This Row],[DATA RECEBIDO]],Tab_4.DISP_INEX[[#This Row],[DATA 
FINALIZADO]],1,Lista!$U$3:$U$15)</f>
        <v>3</v>
      </c>
      <c r="AE31" s="1" t="s">
        <v>56</v>
      </c>
      <c r="AF31" s="22" t="s">
        <v>216</v>
      </c>
      <c r="AG31" s="26"/>
      <c r="AH31" s="26"/>
      <c r="AI31" s="7"/>
      <c r="AJ31" s="203" t="s">
        <v>1055</v>
      </c>
      <c r="AK31" s="247" t="s">
        <v>1330</v>
      </c>
      <c r="AL31" s="247" t="s">
        <v>1328</v>
      </c>
      <c r="AM31" s="247" t="s">
        <v>1329</v>
      </c>
      <c r="AP31" s="212">
        <v>27</v>
      </c>
      <c r="AQ31" s="213" t="str">
        <f>_xlfn.CONCAT(AP31,"_","TR","_",Tab_4.DISP_INEX[[#This Row],[FORNECEDOR]])</f>
        <v>27_TR_Fundação Getulio Vargas</v>
      </c>
      <c r="AR31" s="213" t="str">
        <f>_xlfn.CONCAT(AP31,"_","JUST","_",Tab_4.DISP_INEX[[#This Row],[FORNECEDOR]])</f>
        <v>27_JUST_Fundação Getulio Vargas</v>
      </c>
      <c r="AS31" s="213" t="str">
        <f>_xlfn.CONCAT(AP31,"_","RAT","_",Tab_4.DISP_INEX[[#This Row],[FORNECEDOR]])</f>
        <v>27_RAT_Fundação Getulio Vargas</v>
      </c>
    </row>
    <row r="32" spans="2:46" ht="60" x14ac:dyDescent="0.25">
      <c r="B32" s="21">
        <v>45566</v>
      </c>
      <c r="C32" s="11" t="s">
        <v>56</v>
      </c>
      <c r="D32" s="7" t="s">
        <v>53</v>
      </c>
      <c r="E32" s="7" t="s">
        <v>53</v>
      </c>
      <c r="F32" s="7" t="s">
        <v>129</v>
      </c>
      <c r="G32" s="22" t="s">
        <v>45</v>
      </c>
      <c r="H32" s="22" t="s">
        <v>185</v>
      </c>
      <c r="I32" s="22" t="s">
        <v>28</v>
      </c>
      <c r="J32" s="7" t="s">
        <v>166</v>
      </c>
      <c r="K32" s="22" t="s">
        <v>840</v>
      </c>
      <c r="L32" s="7" t="s">
        <v>68</v>
      </c>
      <c r="M32" s="17" t="s">
        <v>367</v>
      </c>
      <c r="N32" s="17" t="s">
        <v>304</v>
      </c>
      <c r="O32" s="17" t="s">
        <v>449</v>
      </c>
      <c r="P32" s="17" t="s">
        <v>255</v>
      </c>
      <c r="Q32" s="17" t="s">
        <v>255</v>
      </c>
      <c r="R32" s="17" t="s">
        <v>374</v>
      </c>
      <c r="S32" s="24" t="s">
        <v>375</v>
      </c>
      <c r="T32" s="19">
        <v>45568</v>
      </c>
      <c r="U32" s="19">
        <v>45568</v>
      </c>
      <c r="V32" s="152">
        <v>22610</v>
      </c>
      <c r="W32" s="23" t="s">
        <v>254</v>
      </c>
      <c r="X32" s="23" t="s">
        <v>210</v>
      </c>
      <c r="Y32" s="23" t="s">
        <v>15</v>
      </c>
      <c r="Z32" s="46">
        <v>10014955</v>
      </c>
      <c r="AA32" s="46">
        <v>10003951</v>
      </c>
      <c r="AB32" s="46" t="s">
        <v>255</v>
      </c>
      <c r="AC32" s="21">
        <v>45566</v>
      </c>
      <c r="AD32" s="22">
        <f>NETWORKDAYS.INTL(Tab_4.DISP_INEX[[#This Row],[DATA RECEBIDO]],Tab_4.DISP_INEX[[#This Row],[DATA 
FINALIZADO]],1,Lista!$U$3:$U$15)</f>
        <v>1</v>
      </c>
      <c r="AE32" s="1" t="s">
        <v>56</v>
      </c>
      <c r="AF32" s="7" t="s">
        <v>628</v>
      </c>
      <c r="AG32" s="26"/>
      <c r="AH32" s="26"/>
      <c r="AI32" s="7"/>
      <c r="AJ32" s="203" t="s">
        <v>1021</v>
      </c>
      <c r="AK32" s="247" t="s">
        <v>1333</v>
      </c>
      <c r="AL32" s="247" t="s">
        <v>1331</v>
      </c>
      <c r="AM32" s="247" t="s">
        <v>1332</v>
      </c>
      <c r="AP32" s="212">
        <v>28</v>
      </c>
      <c r="AQ32" s="213" t="str">
        <f>_xlfn.CONCAT(AP32,"_","TR","_",Tab_4.DISP_INEX[[#This Row],[FORNECEDOR]])</f>
        <v>28_TR_Instituto Brasileiro de Governança Corporativa</v>
      </c>
      <c r="AR32" s="213" t="str">
        <f>_xlfn.CONCAT(AP32,"_","JUST","_",Tab_4.DISP_INEX[[#This Row],[FORNECEDOR]])</f>
        <v>28_JUST_Instituto Brasileiro de Governança Corporativa</v>
      </c>
      <c r="AS32" s="213" t="str">
        <f>_xlfn.CONCAT(AP32,"_","RAT","_",Tab_4.DISP_INEX[[#This Row],[FORNECEDOR]])</f>
        <v>28_RAT_Instituto Brasileiro de Governança Corporativa</v>
      </c>
    </row>
    <row r="33" spans="2:45" ht="90" x14ac:dyDescent="0.25">
      <c r="B33" s="21">
        <v>45573</v>
      </c>
      <c r="C33" s="11" t="s">
        <v>56</v>
      </c>
      <c r="D33" s="7" t="s">
        <v>53</v>
      </c>
      <c r="E33" s="7" t="s">
        <v>53</v>
      </c>
      <c r="F33" s="7" t="s">
        <v>130</v>
      </c>
      <c r="G33" s="22" t="s">
        <v>45</v>
      </c>
      <c r="H33" s="22" t="s">
        <v>185</v>
      </c>
      <c r="I33" s="22" t="s">
        <v>28</v>
      </c>
      <c r="J33" s="7" t="s">
        <v>167</v>
      </c>
      <c r="K33" s="22" t="s">
        <v>840</v>
      </c>
      <c r="L33" s="7" t="s">
        <v>68</v>
      </c>
      <c r="M33" s="17" t="s">
        <v>354</v>
      </c>
      <c r="N33" s="17" t="s">
        <v>355</v>
      </c>
      <c r="O33" s="17" t="s">
        <v>449</v>
      </c>
      <c r="P33" s="17" t="s">
        <v>257</v>
      </c>
      <c r="Q33" s="17" t="s">
        <v>257</v>
      </c>
      <c r="R33" s="17" t="s">
        <v>376</v>
      </c>
      <c r="S33" s="24">
        <v>45576</v>
      </c>
      <c r="T33" s="24">
        <v>45580</v>
      </c>
      <c r="U33" s="19">
        <v>45580</v>
      </c>
      <c r="V33" s="152">
        <v>15100</v>
      </c>
      <c r="W33" s="23" t="s">
        <v>256</v>
      </c>
      <c r="X33" s="23" t="s">
        <v>210</v>
      </c>
      <c r="Y33" s="23" t="s">
        <v>15</v>
      </c>
      <c r="Z33" s="46">
        <v>10014956</v>
      </c>
      <c r="AA33" s="46">
        <v>10003765</v>
      </c>
      <c r="AB33" s="46" t="s">
        <v>257</v>
      </c>
      <c r="AC33" s="21">
        <v>45574</v>
      </c>
      <c r="AD33" s="22">
        <f>NETWORKDAYS.INTL(Tab_4.DISP_INEX[[#This Row],[DATA RECEBIDO]],Tab_4.DISP_INEX[[#This Row],[DATA 
FINALIZADO]],1,Lista!$U$3:$U$15)</f>
        <v>2</v>
      </c>
      <c r="AE33" s="1" t="s">
        <v>56</v>
      </c>
      <c r="AF33" s="22" t="s">
        <v>216</v>
      </c>
      <c r="AG33" s="26"/>
      <c r="AH33" s="26"/>
      <c r="AI33" s="7"/>
      <c r="AJ33" s="203" t="s">
        <v>1022</v>
      </c>
      <c r="AK33" s="247" t="s">
        <v>1336</v>
      </c>
      <c r="AL33" s="247" t="s">
        <v>1334</v>
      </c>
      <c r="AM33" s="247" t="s">
        <v>1335</v>
      </c>
      <c r="AP33" s="212">
        <v>29</v>
      </c>
      <c r="AQ33" s="213" t="str">
        <f>_xlfn.CONCAT(AP33,"_","TR","_",Tab_4.DISP_INEX[[#This Row],[FORNECEDOR]])</f>
        <v>29_TR_Bioseg Brasília Soluções em Segurança e Medicina do Trabalho Ltda</v>
      </c>
      <c r="AR33" s="213" t="str">
        <f>_xlfn.CONCAT(AP33,"_","JUST","_",Tab_4.DISP_INEX[[#This Row],[FORNECEDOR]])</f>
        <v>29_JUST_Bioseg Brasília Soluções em Segurança e Medicina do Trabalho Ltda</v>
      </c>
      <c r="AS33" s="213" t="str">
        <f>_xlfn.CONCAT(AP33,"_","RAT","_",Tab_4.DISP_INEX[[#This Row],[FORNECEDOR]])</f>
        <v>29_RAT_Bioseg Brasília Soluções em Segurança e Medicina do Trabalho Ltda</v>
      </c>
    </row>
    <row r="34" spans="2:45" ht="60" x14ac:dyDescent="0.25">
      <c r="B34" s="21">
        <v>45587</v>
      </c>
      <c r="C34" s="11" t="s">
        <v>55</v>
      </c>
      <c r="D34" s="7" t="s">
        <v>53</v>
      </c>
      <c r="E34" s="7" t="s">
        <v>53</v>
      </c>
      <c r="F34" s="7" t="s">
        <v>131</v>
      </c>
      <c r="G34" s="22" t="s">
        <v>45</v>
      </c>
      <c r="H34" s="22" t="s">
        <v>196</v>
      </c>
      <c r="I34" s="22" t="s">
        <v>28</v>
      </c>
      <c r="J34" s="7" t="s">
        <v>168</v>
      </c>
      <c r="K34" s="22" t="s">
        <v>840</v>
      </c>
      <c r="L34" s="7" t="s">
        <v>68</v>
      </c>
      <c r="M34" s="17" t="s">
        <v>377</v>
      </c>
      <c r="N34" s="17" t="s">
        <v>378</v>
      </c>
      <c r="O34" s="17" t="s">
        <v>449</v>
      </c>
      <c r="P34" s="17" t="s">
        <v>258</v>
      </c>
      <c r="Q34" s="17" t="s">
        <v>258</v>
      </c>
      <c r="R34" s="17" t="s">
        <v>379</v>
      </c>
      <c r="S34" s="24">
        <v>45590</v>
      </c>
      <c r="T34" s="24">
        <v>45595</v>
      </c>
      <c r="U34" s="19">
        <v>45595</v>
      </c>
      <c r="V34" s="152">
        <v>11960</v>
      </c>
      <c r="W34" s="23" t="s">
        <v>259</v>
      </c>
      <c r="X34" s="23" t="s">
        <v>260</v>
      </c>
      <c r="Y34" s="23" t="s">
        <v>15</v>
      </c>
      <c r="Z34" s="46">
        <v>10014984</v>
      </c>
      <c r="AA34" s="46"/>
      <c r="AB34" s="46" t="s">
        <v>258</v>
      </c>
      <c r="AC34" s="21">
        <v>45595</v>
      </c>
      <c r="AD34" s="22">
        <f>NETWORKDAYS.INTL(Tab_4.DISP_INEX[[#This Row],[DATA RECEBIDO]],Tab_4.DISP_INEX[[#This Row],[DATA 
FINALIZADO]],1,Lista!$U$3:$U$15)</f>
        <v>7</v>
      </c>
      <c r="AE34" s="1" t="s">
        <v>55</v>
      </c>
      <c r="AF34" s="22"/>
      <c r="AG34" s="26"/>
      <c r="AH34" s="26"/>
      <c r="AI34" s="7"/>
      <c r="AJ34" s="203" t="s">
        <v>1023</v>
      </c>
      <c r="AK34" s="247" t="s">
        <v>1339</v>
      </c>
      <c r="AL34" s="247" t="s">
        <v>1337</v>
      </c>
      <c r="AM34" s="247" t="s">
        <v>1338</v>
      </c>
      <c r="AP34" s="212">
        <v>30</v>
      </c>
      <c r="AQ34" s="213" t="str">
        <f>_xlfn.CONCAT(AP34,"_","TR","_",Tab_4.DISP_INEX[[#This Row],[FORNECEDOR]])</f>
        <v>30_TR_NP Tecnologia e Gestão de Dados Ltda</v>
      </c>
      <c r="AR34" s="213" t="str">
        <f>_xlfn.CONCAT(AP34,"_","JUST","_",Tab_4.DISP_INEX[[#This Row],[FORNECEDOR]])</f>
        <v>30_JUST_NP Tecnologia e Gestão de Dados Ltda</v>
      </c>
      <c r="AS34" s="213" t="str">
        <f>_xlfn.CONCAT(AP34,"_","RAT","_",Tab_4.DISP_INEX[[#This Row],[FORNECEDOR]])</f>
        <v>30_RAT_NP Tecnologia e Gestão de Dados Ltda</v>
      </c>
    </row>
    <row r="35" spans="2:45" ht="45" x14ac:dyDescent="0.25">
      <c r="B35" s="21">
        <v>45610</v>
      </c>
      <c r="C35" s="11" t="s">
        <v>55</v>
      </c>
      <c r="D35" s="7" t="s">
        <v>53</v>
      </c>
      <c r="E35" s="7" t="s">
        <v>53</v>
      </c>
      <c r="F35" s="7" t="s">
        <v>132</v>
      </c>
      <c r="G35" s="22" t="s">
        <v>45</v>
      </c>
      <c r="H35" s="22" t="s">
        <v>185</v>
      </c>
      <c r="I35" s="22" t="s">
        <v>28</v>
      </c>
      <c r="J35" s="7" t="s">
        <v>169</v>
      </c>
      <c r="K35" s="22" t="s">
        <v>840</v>
      </c>
      <c r="L35" s="7" t="s">
        <v>68</v>
      </c>
      <c r="M35" s="17" t="s">
        <v>297</v>
      </c>
      <c r="N35" s="17" t="s">
        <v>298</v>
      </c>
      <c r="O35" s="17" t="s">
        <v>449</v>
      </c>
      <c r="P35" s="17" t="s">
        <v>262</v>
      </c>
      <c r="Q35" s="17" t="s">
        <v>262</v>
      </c>
      <c r="R35" s="17" t="s">
        <v>380</v>
      </c>
      <c r="S35" s="24">
        <v>45623</v>
      </c>
      <c r="T35" s="24">
        <v>45624</v>
      </c>
      <c r="U35" s="19">
        <v>45624</v>
      </c>
      <c r="V35" s="152">
        <v>3944</v>
      </c>
      <c r="W35" s="23" t="s">
        <v>261</v>
      </c>
      <c r="X35" s="23" t="s">
        <v>260</v>
      </c>
      <c r="Y35" s="23" t="s">
        <v>15</v>
      </c>
      <c r="Z35" s="46">
        <v>10015151</v>
      </c>
      <c r="AA35" s="46"/>
      <c r="AB35" s="46" t="s">
        <v>262</v>
      </c>
      <c r="AC35" s="21">
        <v>45624</v>
      </c>
      <c r="AD35" s="22">
        <f>NETWORKDAYS.INTL(Tab_4.DISP_INEX[[#This Row],[DATA RECEBIDO]],Tab_4.DISP_INEX[[#This Row],[DATA 
FINALIZADO]],1,Lista!$U$3:$U$15)</f>
        <v>9</v>
      </c>
      <c r="AE35" s="1" t="s">
        <v>55</v>
      </c>
      <c r="AF35" s="22" t="s">
        <v>216</v>
      </c>
      <c r="AG35" s="26"/>
      <c r="AH35" s="26"/>
      <c r="AI35" s="7"/>
      <c r="AJ35" s="203" t="s">
        <v>1024</v>
      </c>
      <c r="AK35" s="247" t="s">
        <v>1342</v>
      </c>
      <c r="AL35" s="247" t="s">
        <v>1340</v>
      </c>
      <c r="AM35" s="247" t="s">
        <v>1341</v>
      </c>
      <c r="AP35" s="212">
        <v>31</v>
      </c>
      <c r="AQ35" s="213" t="str">
        <f>_xlfn.CONCAT(AP35,"_","TR","_",Tab_4.DISP_INEX[[#This Row],[FORNECEDOR]])</f>
        <v>31_TR_Zênite Informação e Consultoria S/A</v>
      </c>
      <c r="AR35" s="213" t="str">
        <f>_xlfn.CONCAT(AP35,"_","JUST","_",Tab_4.DISP_INEX[[#This Row],[FORNECEDOR]])</f>
        <v>31_JUST_Zênite Informação e Consultoria S/A</v>
      </c>
      <c r="AS35" s="213" t="str">
        <f>_xlfn.CONCAT(AP35,"_","RAT","_",Tab_4.DISP_INEX[[#This Row],[FORNECEDOR]])</f>
        <v>31_RAT_Zênite Informação e Consultoria S/A</v>
      </c>
    </row>
    <row r="36" spans="2:45" ht="60" x14ac:dyDescent="0.25">
      <c r="B36" s="21">
        <v>45618</v>
      </c>
      <c r="C36" s="11" t="s">
        <v>56</v>
      </c>
      <c r="D36" s="7" t="s">
        <v>53</v>
      </c>
      <c r="E36" s="7" t="s">
        <v>53</v>
      </c>
      <c r="F36" s="7" t="s">
        <v>133</v>
      </c>
      <c r="G36" s="22" t="s">
        <v>45</v>
      </c>
      <c r="H36" s="22" t="s">
        <v>185</v>
      </c>
      <c r="I36" s="22" t="s">
        <v>28</v>
      </c>
      <c r="J36" s="7" t="s">
        <v>170</v>
      </c>
      <c r="K36" s="22" t="s">
        <v>840</v>
      </c>
      <c r="L36" s="7" t="s">
        <v>68</v>
      </c>
      <c r="M36" s="17" t="s">
        <v>381</v>
      </c>
      <c r="N36" s="17" t="s">
        <v>382</v>
      </c>
      <c r="O36" s="17" t="s">
        <v>449</v>
      </c>
      <c r="P36" s="17" t="s">
        <v>263</v>
      </c>
      <c r="Q36" s="17" t="s">
        <v>263</v>
      </c>
      <c r="R36" s="17" t="s">
        <v>383</v>
      </c>
      <c r="S36" s="24">
        <v>45628</v>
      </c>
      <c r="T36" s="24">
        <v>45628</v>
      </c>
      <c r="U36" s="19">
        <v>45628</v>
      </c>
      <c r="V36" s="152">
        <v>22066</v>
      </c>
      <c r="W36" s="23"/>
      <c r="X36" s="23" t="s">
        <v>210</v>
      </c>
      <c r="Y36" s="23" t="s">
        <v>15</v>
      </c>
      <c r="Z36" s="46">
        <v>10015075</v>
      </c>
      <c r="AA36" s="46"/>
      <c r="AB36" s="46" t="s">
        <v>263</v>
      </c>
      <c r="AC36" s="21">
        <v>45622</v>
      </c>
      <c r="AD36" s="22">
        <f>NETWORKDAYS.INTL(Tab_4.DISP_INEX[[#This Row],[DATA RECEBIDO]],Tab_4.DISP_INEX[[#This Row],[DATA 
FINALIZADO]],1,Lista!$U$3:$U$15)</f>
        <v>3</v>
      </c>
      <c r="AE36" s="1" t="s">
        <v>56</v>
      </c>
      <c r="AF36" s="22" t="s">
        <v>264</v>
      </c>
      <c r="AG36" s="26"/>
      <c r="AH36" s="26"/>
      <c r="AI36" s="7"/>
      <c r="AJ36" s="203" t="s">
        <v>1025</v>
      </c>
      <c r="AK36" s="247" t="s">
        <v>1345</v>
      </c>
      <c r="AL36" s="247" t="s">
        <v>1343</v>
      </c>
      <c r="AM36" s="247" t="s">
        <v>1344</v>
      </c>
      <c r="AP36" s="212">
        <v>32</v>
      </c>
      <c r="AQ36" s="213" t="str">
        <f>_xlfn.CONCAT(AP36,"_","TR","_",Tab_4.DISP_INEX[[#This Row],[FORNECEDOR]])</f>
        <v>32_TR_KPMG Consultoria Ltda</v>
      </c>
      <c r="AR36" s="213" t="str">
        <f>_xlfn.CONCAT(AP36,"_","JUST","_",Tab_4.DISP_INEX[[#This Row],[FORNECEDOR]])</f>
        <v>32_JUST_KPMG Consultoria Ltda</v>
      </c>
      <c r="AS36" s="213" t="str">
        <f>_xlfn.CONCAT(AP36,"_","RAT","_",Tab_4.DISP_INEX[[#This Row],[FORNECEDOR]])</f>
        <v>32_RAT_KPMG Consultoria Ltda</v>
      </c>
    </row>
    <row r="37" spans="2:45" ht="75" x14ac:dyDescent="0.25">
      <c r="B37" s="21">
        <v>45621</v>
      </c>
      <c r="C37" s="11" t="s">
        <v>56</v>
      </c>
      <c r="D37" s="7" t="s">
        <v>53</v>
      </c>
      <c r="E37" s="7" t="s">
        <v>53</v>
      </c>
      <c r="F37" s="7" t="s">
        <v>134</v>
      </c>
      <c r="G37" s="22" t="s">
        <v>45</v>
      </c>
      <c r="H37" s="22" t="s">
        <v>185</v>
      </c>
      <c r="I37" s="22" t="s">
        <v>28</v>
      </c>
      <c r="J37" s="7" t="s">
        <v>171</v>
      </c>
      <c r="K37" s="22" t="s">
        <v>840</v>
      </c>
      <c r="L37" s="7" t="s">
        <v>68</v>
      </c>
      <c r="M37" s="17" t="s">
        <v>478</v>
      </c>
      <c r="N37" s="17" t="s">
        <v>304</v>
      </c>
      <c r="O37" s="17" t="s">
        <v>449</v>
      </c>
      <c r="P37" s="17" t="s">
        <v>266</v>
      </c>
      <c r="Q37" s="17" t="s">
        <v>266</v>
      </c>
      <c r="R37" s="17" t="s">
        <v>384</v>
      </c>
      <c r="S37" s="19">
        <v>45625</v>
      </c>
      <c r="T37" s="24">
        <v>45629</v>
      </c>
      <c r="U37" s="19">
        <v>45629</v>
      </c>
      <c r="V37" s="152">
        <v>36800</v>
      </c>
      <c r="W37" s="23" t="s">
        <v>265</v>
      </c>
      <c r="X37" s="23" t="s">
        <v>210</v>
      </c>
      <c r="Y37" s="23" t="s">
        <v>15</v>
      </c>
      <c r="Z37" s="46">
        <v>10015226</v>
      </c>
      <c r="AA37" s="46">
        <v>10003951</v>
      </c>
      <c r="AB37" s="46" t="s">
        <v>266</v>
      </c>
      <c r="AC37" s="21">
        <v>45623</v>
      </c>
      <c r="AD37" s="22">
        <f>NETWORKDAYS.INTL(Tab_4.DISP_INEX[[#This Row],[DATA RECEBIDO]],Tab_4.DISP_INEX[[#This Row],[DATA 
FINALIZADO]],1,Lista!$U$3:$U$15)</f>
        <v>3</v>
      </c>
      <c r="AE37" s="1" t="s">
        <v>56</v>
      </c>
      <c r="AF37" s="22" t="s">
        <v>216</v>
      </c>
      <c r="AG37" s="26"/>
      <c r="AH37" s="26"/>
      <c r="AI37" s="7"/>
      <c r="AJ37" s="203" t="s">
        <v>1025</v>
      </c>
      <c r="AK37" s="247" t="s">
        <v>1348</v>
      </c>
      <c r="AL37" s="247" t="s">
        <v>1346</v>
      </c>
      <c r="AM37" s="247" t="s">
        <v>1347</v>
      </c>
      <c r="AP37" s="212">
        <v>33</v>
      </c>
      <c r="AQ37" s="213" t="str">
        <f>_xlfn.CONCAT(AP37,"_","TR","_",Tab_4.DISP_INEX[[#This Row],[FORNECEDOR]])</f>
        <v>33_TR_INSTITUTO BRASILEIRO DE GOVERNANÇA CORPORATIVA</v>
      </c>
      <c r="AR37" s="213" t="str">
        <f>_xlfn.CONCAT(AP37,"_","JUST","_",Tab_4.DISP_INEX[[#This Row],[FORNECEDOR]])</f>
        <v>33_JUST_INSTITUTO BRASILEIRO DE GOVERNANÇA CORPORATIVA</v>
      </c>
      <c r="AS37" s="213" t="str">
        <f>_xlfn.CONCAT(AP37,"_","RAT","_",Tab_4.DISP_INEX[[#This Row],[FORNECEDOR]])</f>
        <v>33_RAT_INSTITUTO BRASILEIRO DE GOVERNANÇA CORPORATIVA</v>
      </c>
    </row>
    <row r="38" spans="2:45" ht="75" x14ac:dyDescent="0.25">
      <c r="B38" s="21">
        <v>45624</v>
      </c>
      <c r="C38" s="11" t="s">
        <v>56</v>
      </c>
      <c r="D38" s="7" t="s">
        <v>53</v>
      </c>
      <c r="E38" s="7" t="s">
        <v>53</v>
      </c>
      <c r="F38" s="7" t="s">
        <v>135</v>
      </c>
      <c r="G38" s="22" t="s">
        <v>45</v>
      </c>
      <c r="H38" s="22" t="s">
        <v>185</v>
      </c>
      <c r="I38" s="22" t="s">
        <v>28</v>
      </c>
      <c r="J38" s="7" t="s">
        <v>172</v>
      </c>
      <c r="K38" s="22" t="s">
        <v>840</v>
      </c>
      <c r="L38" s="7" t="s">
        <v>68</v>
      </c>
      <c r="M38" s="17" t="s">
        <v>385</v>
      </c>
      <c r="N38" s="17" t="s">
        <v>386</v>
      </c>
      <c r="O38" s="17" t="s">
        <v>449</v>
      </c>
      <c r="P38" s="17" t="s">
        <v>268</v>
      </c>
      <c r="Q38" s="17" t="s">
        <v>268</v>
      </c>
      <c r="R38" s="17" t="s">
        <v>387</v>
      </c>
      <c r="S38" s="24">
        <v>45628</v>
      </c>
      <c r="T38" s="24">
        <v>45630</v>
      </c>
      <c r="U38" s="19">
        <v>45630</v>
      </c>
      <c r="V38" s="152">
        <v>5397.3</v>
      </c>
      <c r="W38" s="23" t="s">
        <v>267</v>
      </c>
      <c r="X38" s="23" t="s">
        <v>210</v>
      </c>
      <c r="Y38" s="23" t="s">
        <v>15</v>
      </c>
      <c r="Z38" s="46">
        <v>10015230</v>
      </c>
      <c r="AA38" s="46">
        <v>10004137</v>
      </c>
      <c r="AB38" s="46" t="s">
        <v>268</v>
      </c>
      <c r="AC38" s="21">
        <v>45624</v>
      </c>
      <c r="AD38" s="22">
        <f>NETWORKDAYS.INTL(Tab_4.DISP_INEX[[#This Row],[DATA RECEBIDO]],Tab_4.DISP_INEX[[#This Row],[DATA 
FINALIZADO]],1,Lista!$U$3:$U$15)</f>
        <v>1</v>
      </c>
      <c r="AE38" s="1" t="s">
        <v>56</v>
      </c>
      <c r="AF38" s="22" t="s">
        <v>216</v>
      </c>
      <c r="AG38" s="26"/>
      <c r="AH38" s="26"/>
      <c r="AI38" s="7"/>
      <c r="AJ38" s="203" t="s">
        <v>1026</v>
      </c>
      <c r="AK38" s="247" t="s">
        <v>1351</v>
      </c>
      <c r="AL38" s="247" t="s">
        <v>1349</v>
      </c>
      <c r="AM38" s="247" t="s">
        <v>1350</v>
      </c>
      <c r="AP38" s="212">
        <v>34</v>
      </c>
      <c r="AQ38" s="213" t="str">
        <f>_xlfn.CONCAT(AP38,"_","TR","_",Tab_4.DISP_INEX[[#This Row],[FORNECEDOR]])</f>
        <v>34_TR_Fundação Instituto Nacional de Telecomunicações</v>
      </c>
      <c r="AR38" s="213" t="str">
        <f>_xlfn.CONCAT(AP38,"_","JUST","_",Tab_4.DISP_INEX[[#This Row],[FORNECEDOR]])</f>
        <v>34_JUST_Fundação Instituto Nacional de Telecomunicações</v>
      </c>
      <c r="AS38" s="213" t="str">
        <f>_xlfn.CONCAT(AP38,"_","RAT","_",Tab_4.DISP_INEX[[#This Row],[FORNECEDOR]])</f>
        <v>34_RAT_Fundação Instituto Nacional de Telecomunicações</v>
      </c>
    </row>
    <row r="39" spans="2:45" ht="75" x14ac:dyDescent="0.25">
      <c r="B39" s="21">
        <v>45622</v>
      </c>
      <c r="C39" s="11" t="s">
        <v>56</v>
      </c>
      <c r="D39" s="7" t="s">
        <v>53</v>
      </c>
      <c r="E39" s="7" t="s">
        <v>53</v>
      </c>
      <c r="F39" s="7" t="s">
        <v>136</v>
      </c>
      <c r="G39" s="22" t="s">
        <v>45</v>
      </c>
      <c r="H39" s="22" t="s">
        <v>185</v>
      </c>
      <c r="I39" s="22" t="s">
        <v>28</v>
      </c>
      <c r="J39" s="7" t="s">
        <v>173</v>
      </c>
      <c r="K39" s="22" t="s">
        <v>840</v>
      </c>
      <c r="L39" s="7" t="s">
        <v>68</v>
      </c>
      <c r="M39" s="17" t="s">
        <v>388</v>
      </c>
      <c r="N39" s="17" t="s">
        <v>389</v>
      </c>
      <c r="O39" s="17" t="s">
        <v>449</v>
      </c>
      <c r="P39" s="17" t="s">
        <v>271</v>
      </c>
      <c r="Q39" s="17" t="s">
        <v>271</v>
      </c>
      <c r="R39" s="17" t="s">
        <v>390</v>
      </c>
      <c r="S39" s="24">
        <v>45628</v>
      </c>
      <c r="T39" s="24">
        <v>45630</v>
      </c>
      <c r="U39" s="19">
        <v>45630</v>
      </c>
      <c r="V39" s="152">
        <v>2497</v>
      </c>
      <c r="W39" s="23" t="s">
        <v>269</v>
      </c>
      <c r="X39" s="23" t="s">
        <v>270</v>
      </c>
      <c r="Y39" s="23" t="s">
        <v>15</v>
      </c>
      <c r="Z39" s="46">
        <v>10015234</v>
      </c>
      <c r="AA39" s="46">
        <v>10004138</v>
      </c>
      <c r="AB39" s="46" t="s">
        <v>271</v>
      </c>
      <c r="AC39" s="21">
        <v>45624</v>
      </c>
      <c r="AD39" s="22">
        <f>NETWORKDAYS.INTL(Tab_4.DISP_INEX[[#This Row],[DATA RECEBIDO]],Tab_4.DISP_INEX[[#This Row],[DATA 
FINALIZADO]],1,Lista!$U$3:$U$15)</f>
        <v>3</v>
      </c>
      <c r="AE39" s="1" t="s">
        <v>56</v>
      </c>
      <c r="AF39" s="22" t="s">
        <v>216</v>
      </c>
      <c r="AG39" s="26"/>
      <c r="AH39" s="26"/>
      <c r="AI39" s="7"/>
      <c r="AJ39" s="203" t="s">
        <v>1027</v>
      </c>
      <c r="AK39" s="247" t="s">
        <v>1352</v>
      </c>
      <c r="AL39" s="247" t="s">
        <v>1353</v>
      </c>
      <c r="AM39" s="247" t="s">
        <v>1354</v>
      </c>
      <c r="AP39" s="212">
        <v>35</v>
      </c>
      <c r="AQ39" s="213" t="str">
        <f>_xlfn.CONCAT(AP39,"_","TR","_",Tab_4.DISP_INEX[[#This Row],[FORNECEDOR]])</f>
        <v>35_TR_Akademia de Transformação Organizacional LTDA</v>
      </c>
      <c r="AR39" s="213" t="str">
        <f>_xlfn.CONCAT(AP39,"_","JUST","_",Tab_4.DISP_INEX[[#This Row],[FORNECEDOR]])</f>
        <v>35_JUST_Akademia de Transformação Organizacional LTDA</v>
      </c>
      <c r="AS39" s="213" t="str">
        <f>_xlfn.CONCAT(AP39,"_","RAT","_",Tab_4.DISP_INEX[[#This Row],[FORNECEDOR]])</f>
        <v>35_RAT_Akademia de Transformação Organizacional LTDA</v>
      </c>
    </row>
    <row r="40" spans="2:45" ht="60" x14ac:dyDescent="0.25">
      <c r="B40" s="21">
        <v>45623</v>
      </c>
      <c r="C40" s="11" t="s">
        <v>56</v>
      </c>
      <c r="D40" s="7" t="s">
        <v>53</v>
      </c>
      <c r="E40" s="7" t="s">
        <v>53</v>
      </c>
      <c r="F40" s="7" t="s">
        <v>137</v>
      </c>
      <c r="G40" s="22" t="s">
        <v>45</v>
      </c>
      <c r="H40" s="22" t="s">
        <v>185</v>
      </c>
      <c r="I40" s="22" t="s">
        <v>28</v>
      </c>
      <c r="J40" s="7" t="s">
        <v>174</v>
      </c>
      <c r="K40" s="22" t="s">
        <v>840</v>
      </c>
      <c r="L40" s="7" t="s">
        <v>68</v>
      </c>
      <c r="M40" s="17" t="s">
        <v>391</v>
      </c>
      <c r="N40" s="17" t="s">
        <v>392</v>
      </c>
      <c r="O40" s="17" t="s">
        <v>449</v>
      </c>
      <c r="P40" s="17" t="s">
        <v>273</v>
      </c>
      <c r="Q40" s="17" t="s">
        <v>273</v>
      </c>
      <c r="R40" s="17" t="s">
        <v>393</v>
      </c>
      <c r="S40" s="24" t="s">
        <v>394</v>
      </c>
      <c r="T40" s="24">
        <v>45630</v>
      </c>
      <c r="U40" s="19">
        <v>45630</v>
      </c>
      <c r="V40" s="152">
        <v>8000</v>
      </c>
      <c r="W40" s="23" t="s">
        <v>272</v>
      </c>
      <c r="X40" s="23" t="s">
        <v>244</v>
      </c>
      <c r="Y40" s="23" t="s">
        <v>15</v>
      </c>
      <c r="Z40" s="46">
        <v>10015238</v>
      </c>
      <c r="AA40" s="46">
        <v>10004139</v>
      </c>
      <c r="AB40" s="46" t="s">
        <v>273</v>
      </c>
      <c r="AC40" s="21">
        <v>45624</v>
      </c>
      <c r="AD40" s="22">
        <f>NETWORKDAYS.INTL(Tab_4.DISP_INEX[[#This Row],[DATA RECEBIDO]],Tab_4.DISP_INEX[[#This Row],[DATA 
FINALIZADO]],1,Lista!$U$3:$U$15)</f>
        <v>2</v>
      </c>
      <c r="AE40" s="1" t="s">
        <v>56</v>
      </c>
      <c r="AF40" s="22" t="s">
        <v>216</v>
      </c>
      <c r="AG40" s="26"/>
      <c r="AH40" s="26"/>
      <c r="AI40" s="7"/>
      <c r="AJ40" s="203" t="s">
        <v>1028</v>
      </c>
      <c r="AK40" s="8" t="s">
        <v>65</v>
      </c>
      <c r="AL40" s="8" t="s">
        <v>65</v>
      </c>
      <c r="AM40" s="8" t="s">
        <v>65</v>
      </c>
      <c r="AP40" s="212">
        <v>36</v>
      </c>
      <c r="AQ40" s="213" t="str">
        <f>_xlfn.CONCAT(AP40,"_","TR","_",Tab_4.DISP_INEX[[#This Row],[FORNECEDOR]])</f>
        <v>36_TR_Mariana Rodrigues de Lima</v>
      </c>
      <c r="AR40" s="213" t="str">
        <f>_xlfn.CONCAT(AP40,"_","JUST","_",Tab_4.DISP_INEX[[#This Row],[FORNECEDOR]])</f>
        <v>36_JUST_Mariana Rodrigues de Lima</v>
      </c>
      <c r="AS40" s="213" t="str">
        <f>_xlfn.CONCAT(AP40,"_","RAT","_",Tab_4.DISP_INEX[[#This Row],[FORNECEDOR]])</f>
        <v>36_RAT_Mariana Rodrigues de Lima</v>
      </c>
    </row>
    <row r="41" spans="2:45" ht="45" x14ac:dyDescent="0.25">
      <c r="B41" s="21">
        <v>45625</v>
      </c>
      <c r="C41" s="11" t="s">
        <v>56</v>
      </c>
      <c r="D41" s="7" t="s">
        <v>53</v>
      </c>
      <c r="E41" s="7" t="s">
        <v>53</v>
      </c>
      <c r="F41" s="7" t="s">
        <v>138</v>
      </c>
      <c r="G41" s="22" t="s">
        <v>45</v>
      </c>
      <c r="H41" s="22" t="s">
        <v>185</v>
      </c>
      <c r="I41" s="22" t="s">
        <v>28</v>
      </c>
      <c r="J41" s="7" t="s">
        <v>175</v>
      </c>
      <c r="K41" s="22" t="s">
        <v>840</v>
      </c>
      <c r="L41" s="7" t="s">
        <v>68</v>
      </c>
      <c r="M41" s="17" t="s">
        <v>395</v>
      </c>
      <c r="N41" s="17" t="s">
        <v>396</v>
      </c>
      <c r="O41" s="17" t="s">
        <v>449</v>
      </c>
      <c r="P41" s="17" t="s">
        <v>275</v>
      </c>
      <c r="Q41" s="17" t="s">
        <v>275</v>
      </c>
      <c r="R41" s="17" t="s">
        <v>397</v>
      </c>
      <c r="S41" s="24">
        <v>45630</v>
      </c>
      <c r="T41" s="24">
        <v>45636</v>
      </c>
      <c r="U41" s="19">
        <v>45636</v>
      </c>
      <c r="V41" s="152">
        <v>499</v>
      </c>
      <c r="W41" s="23" t="s">
        <v>274</v>
      </c>
      <c r="X41" s="23" t="s">
        <v>210</v>
      </c>
      <c r="Y41" s="23" t="s">
        <v>15</v>
      </c>
      <c r="Z41" s="46">
        <v>10015251</v>
      </c>
      <c r="AA41" s="46">
        <v>10004165</v>
      </c>
      <c r="AB41" s="46" t="s">
        <v>275</v>
      </c>
      <c r="AC41" s="21">
        <v>45628</v>
      </c>
      <c r="AD41" s="22">
        <f>NETWORKDAYS.INTL(Tab_4.DISP_INEX[[#This Row],[DATA RECEBIDO]],Tab_4.DISP_INEX[[#This Row],[DATA 
FINALIZADO]],1,Lista!$U$3:$U$15)</f>
        <v>2</v>
      </c>
      <c r="AE41" s="1" t="s">
        <v>56</v>
      </c>
      <c r="AF41" s="22" t="s">
        <v>216</v>
      </c>
      <c r="AG41" s="26"/>
      <c r="AH41" s="26"/>
      <c r="AI41" s="7"/>
      <c r="AJ41" s="203" t="s">
        <v>1029</v>
      </c>
      <c r="AK41" s="8" t="s">
        <v>65</v>
      </c>
      <c r="AL41" s="8" t="s">
        <v>65</v>
      </c>
      <c r="AM41" s="8" t="s">
        <v>65</v>
      </c>
      <c r="AP41" s="212">
        <v>37</v>
      </c>
      <c r="AQ41" s="213" t="str">
        <f>_xlfn.CONCAT(AP41,"_","TR","_",Tab_4.DISP_INEX[[#This Row],[FORNECEDOR]])</f>
        <v>37_TR_Ibmec Educacional Ltda</v>
      </c>
      <c r="AR41" s="213" t="str">
        <f>_xlfn.CONCAT(AP41,"_","JUST","_",Tab_4.DISP_INEX[[#This Row],[FORNECEDOR]])</f>
        <v>37_JUST_Ibmec Educacional Ltda</v>
      </c>
      <c r="AS41" s="213" t="str">
        <f>_xlfn.CONCAT(AP41,"_","RAT","_",Tab_4.DISP_INEX[[#This Row],[FORNECEDOR]])</f>
        <v>37_RAT_Ibmec Educacional Ltda</v>
      </c>
    </row>
    <row r="42" spans="2:45" ht="60" x14ac:dyDescent="0.25">
      <c r="B42" s="21">
        <v>45628</v>
      </c>
      <c r="C42" s="11" t="s">
        <v>56</v>
      </c>
      <c r="D42" s="7" t="s">
        <v>53</v>
      </c>
      <c r="E42" s="7" t="s">
        <v>53</v>
      </c>
      <c r="F42" s="7" t="s">
        <v>139</v>
      </c>
      <c r="G42" s="22" t="s">
        <v>45</v>
      </c>
      <c r="H42" s="22" t="s">
        <v>185</v>
      </c>
      <c r="I42" s="22" t="s">
        <v>28</v>
      </c>
      <c r="J42" s="7" t="s">
        <v>176</v>
      </c>
      <c r="K42" s="22" t="s">
        <v>840</v>
      </c>
      <c r="L42" s="7" t="s">
        <v>68</v>
      </c>
      <c r="M42" s="17" t="s">
        <v>398</v>
      </c>
      <c r="N42" s="17" t="s">
        <v>399</v>
      </c>
      <c r="O42" s="17" t="s">
        <v>449</v>
      </c>
      <c r="P42" s="17" t="s">
        <v>277</v>
      </c>
      <c r="Q42" s="17" t="s">
        <v>277</v>
      </c>
      <c r="R42" s="17" t="s">
        <v>400</v>
      </c>
      <c r="S42" s="24">
        <v>45632</v>
      </c>
      <c r="T42" s="24">
        <v>45636</v>
      </c>
      <c r="U42" s="19">
        <v>45636</v>
      </c>
      <c r="V42" s="152">
        <v>5850</v>
      </c>
      <c r="W42" s="23" t="s">
        <v>276</v>
      </c>
      <c r="X42" s="23" t="s">
        <v>210</v>
      </c>
      <c r="Y42" s="23" t="s">
        <v>15</v>
      </c>
      <c r="Z42" s="46">
        <v>10015253</v>
      </c>
      <c r="AA42" s="46">
        <v>10004256</v>
      </c>
      <c r="AB42" s="46" t="s">
        <v>277</v>
      </c>
      <c r="AC42" s="21">
        <v>45630</v>
      </c>
      <c r="AD42" s="22">
        <f>NETWORKDAYS.INTL(Tab_4.DISP_INEX[[#This Row],[DATA RECEBIDO]],Tab_4.DISP_INEX[[#This Row],[DATA 
FINALIZADO]],1,Lista!$U$3:$U$15)</f>
        <v>3</v>
      </c>
      <c r="AE42" s="1" t="s">
        <v>56</v>
      </c>
      <c r="AF42" s="22" t="s">
        <v>216</v>
      </c>
      <c r="AG42" s="26"/>
      <c r="AH42" s="26"/>
      <c r="AI42" s="7"/>
      <c r="AJ42" s="203" t="s">
        <v>1030</v>
      </c>
      <c r="AK42" s="8" t="s">
        <v>65</v>
      </c>
      <c r="AL42" s="8" t="s">
        <v>65</v>
      </c>
      <c r="AM42" s="8" t="s">
        <v>65</v>
      </c>
      <c r="AP42" s="212">
        <v>38</v>
      </c>
      <c r="AQ42" s="213" t="str">
        <f>_xlfn.CONCAT(AP42,"_","TR","_",Tab_4.DISP_INEX[[#This Row],[FORNECEDOR]])</f>
        <v>38_TR_Singulares Tecnologia da Informação Ltda</v>
      </c>
      <c r="AR42" s="213" t="str">
        <f>_xlfn.CONCAT(AP42,"_","JUST","_",Tab_4.DISP_INEX[[#This Row],[FORNECEDOR]])</f>
        <v>38_JUST_Singulares Tecnologia da Informação Ltda</v>
      </c>
      <c r="AS42" s="213" t="str">
        <f>_xlfn.CONCAT(AP42,"_","RAT","_",Tab_4.DISP_INEX[[#This Row],[FORNECEDOR]])</f>
        <v>38_RAT_Singulares Tecnologia da Informação Ltda</v>
      </c>
    </row>
    <row r="43" spans="2:45" ht="75" x14ac:dyDescent="0.25">
      <c r="B43" s="21">
        <v>45628</v>
      </c>
      <c r="C43" s="11" t="s">
        <v>56</v>
      </c>
      <c r="D43" s="7" t="s">
        <v>53</v>
      </c>
      <c r="E43" s="7" t="s">
        <v>53</v>
      </c>
      <c r="F43" s="7" t="s">
        <v>140</v>
      </c>
      <c r="G43" s="22" t="s">
        <v>45</v>
      </c>
      <c r="H43" s="22" t="s">
        <v>185</v>
      </c>
      <c r="I43" s="22" t="s">
        <v>28</v>
      </c>
      <c r="J43" s="7" t="s">
        <v>177</v>
      </c>
      <c r="K43" s="22" t="s">
        <v>840</v>
      </c>
      <c r="L43" s="7" t="s">
        <v>68</v>
      </c>
      <c r="M43" s="17" t="s">
        <v>401</v>
      </c>
      <c r="N43" s="17" t="s">
        <v>402</v>
      </c>
      <c r="O43" s="17" t="s">
        <v>449</v>
      </c>
      <c r="P43" s="17" t="s">
        <v>279</v>
      </c>
      <c r="Q43" s="17" t="s">
        <v>279</v>
      </c>
      <c r="R43" s="17" t="s">
        <v>403</v>
      </c>
      <c r="S43" s="24">
        <v>45632</v>
      </c>
      <c r="T43" s="24">
        <v>45636</v>
      </c>
      <c r="U43" s="19">
        <v>45636</v>
      </c>
      <c r="V43" s="152">
        <v>5170</v>
      </c>
      <c r="W43" s="23" t="s">
        <v>278</v>
      </c>
      <c r="X43" s="23" t="s">
        <v>210</v>
      </c>
      <c r="Y43" s="23" t="s">
        <v>15</v>
      </c>
      <c r="Z43" s="46">
        <v>10015252</v>
      </c>
      <c r="AA43" s="46">
        <v>10004133</v>
      </c>
      <c r="AB43" s="46" t="s">
        <v>279</v>
      </c>
      <c r="AC43" s="21">
        <v>45628</v>
      </c>
      <c r="AD43" s="22">
        <f>NETWORKDAYS.INTL(Tab_4.DISP_INEX[[#This Row],[DATA RECEBIDO]],Tab_4.DISP_INEX[[#This Row],[DATA 
FINALIZADO]],1,Lista!$U$3:$U$15)</f>
        <v>1</v>
      </c>
      <c r="AE43" s="1" t="s">
        <v>56</v>
      </c>
      <c r="AF43" s="22" t="s">
        <v>216</v>
      </c>
      <c r="AG43" s="26"/>
      <c r="AH43" s="26"/>
      <c r="AI43" s="7"/>
      <c r="AJ43" s="203" t="s">
        <v>1031</v>
      </c>
      <c r="AK43" s="8" t="s">
        <v>65</v>
      </c>
      <c r="AL43" s="8" t="s">
        <v>65</v>
      </c>
      <c r="AM43" s="8" t="s">
        <v>65</v>
      </c>
      <c r="AP43" s="212">
        <v>39</v>
      </c>
      <c r="AQ43" s="213" t="str">
        <f>_xlfn.CONCAT(AP43,"_","TR","_",Tab_4.DISP_INEX[[#This Row],[FORNECEDOR]])</f>
        <v>39_TR_MINDWORKS -TECNOLOGIA E TREINAMENTO LTDA</v>
      </c>
      <c r="AR43" s="213" t="str">
        <f>_xlfn.CONCAT(AP43,"_","JUST","_",Tab_4.DISP_INEX[[#This Row],[FORNECEDOR]])</f>
        <v>39_JUST_MINDWORKS -TECNOLOGIA E TREINAMENTO LTDA</v>
      </c>
      <c r="AS43" s="213" t="str">
        <f>_xlfn.CONCAT(AP43,"_","RAT","_",Tab_4.DISP_INEX[[#This Row],[FORNECEDOR]])</f>
        <v>39_RAT_MINDWORKS -TECNOLOGIA E TREINAMENTO LTDA</v>
      </c>
    </row>
    <row r="44" spans="2:45" ht="105" x14ac:dyDescent="0.25">
      <c r="B44" s="21">
        <v>45628</v>
      </c>
      <c r="C44" s="11" t="s">
        <v>56</v>
      </c>
      <c r="D44" s="7" t="s">
        <v>53</v>
      </c>
      <c r="E44" s="7" t="s">
        <v>53</v>
      </c>
      <c r="F44" s="7" t="s">
        <v>141</v>
      </c>
      <c r="G44" s="22" t="s">
        <v>45</v>
      </c>
      <c r="H44" s="22" t="s">
        <v>185</v>
      </c>
      <c r="I44" s="22" t="s">
        <v>28</v>
      </c>
      <c r="J44" s="7" t="s">
        <v>178</v>
      </c>
      <c r="K44" s="22" t="s">
        <v>840</v>
      </c>
      <c r="L44" s="7" t="s">
        <v>68</v>
      </c>
      <c r="M44" s="17" t="s">
        <v>404</v>
      </c>
      <c r="N44" s="17" t="s">
        <v>405</v>
      </c>
      <c r="O44" s="17" t="s">
        <v>449</v>
      </c>
      <c r="P44" s="17" t="s">
        <v>281</v>
      </c>
      <c r="Q44" s="17" t="s">
        <v>281</v>
      </c>
      <c r="R44" s="17" t="s">
        <v>406</v>
      </c>
      <c r="S44" s="24">
        <v>45632</v>
      </c>
      <c r="T44" s="24">
        <v>45636</v>
      </c>
      <c r="U44" s="19">
        <v>45636</v>
      </c>
      <c r="V44" s="152">
        <v>2805</v>
      </c>
      <c r="W44" s="23" t="s">
        <v>280</v>
      </c>
      <c r="X44" s="23" t="s">
        <v>210</v>
      </c>
      <c r="Y44" s="23" t="s">
        <v>15</v>
      </c>
      <c r="Z44" s="46">
        <v>10015243</v>
      </c>
      <c r="AA44" s="46">
        <v>10002554</v>
      </c>
      <c r="AB44" s="46" t="s">
        <v>281</v>
      </c>
      <c r="AC44" s="21">
        <v>45629</v>
      </c>
      <c r="AD44" s="22">
        <f>NETWORKDAYS.INTL(Tab_4.DISP_INEX[[#This Row],[DATA RECEBIDO]],Tab_4.DISP_INEX[[#This Row],[DATA 
FINALIZADO]],1,Lista!$U$3:$U$15)</f>
        <v>2</v>
      </c>
      <c r="AE44" s="1" t="s">
        <v>56</v>
      </c>
      <c r="AF44" s="22" t="s">
        <v>216</v>
      </c>
      <c r="AG44" s="26"/>
      <c r="AH44" s="26"/>
      <c r="AI44" s="7"/>
      <c r="AJ44" s="203" t="s">
        <v>1032</v>
      </c>
      <c r="AK44" s="8" t="s">
        <v>65</v>
      </c>
      <c r="AL44" s="8" t="s">
        <v>65</v>
      </c>
      <c r="AM44" s="8" t="s">
        <v>65</v>
      </c>
      <c r="AP44" s="212">
        <v>40</v>
      </c>
      <c r="AQ44" s="213" t="str">
        <f>_xlfn.CONCAT(AP44,"_","TR","_",Tab_4.DISP_INEX[[#This Row],[FORNECEDOR]])</f>
        <v>40_TR_FUNDAÇÃO INSTITUTO DE PESQUISAS CONTABEIS, ATUARIAIS E FINANCEIRAS - FIPECAFI</v>
      </c>
      <c r="AR44" s="213" t="str">
        <f>_xlfn.CONCAT(AP44,"_","JUST","_",Tab_4.DISP_INEX[[#This Row],[FORNECEDOR]])</f>
        <v>40_JUST_FUNDAÇÃO INSTITUTO DE PESQUISAS CONTABEIS, ATUARIAIS E FINANCEIRAS - FIPECAFI</v>
      </c>
      <c r="AS44" s="213" t="str">
        <f>_xlfn.CONCAT(AP44,"_","RAT","_",Tab_4.DISP_INEX[[#This Row],[FORNECEDOR]])</f>
        <v>40_RAT_FUNDAÇÃO INSTITUTO DE PESQUISAS CONTABEIS, ATUARIAIS E FINANCEIRAS - FIPECAFI</v>
      </c>
    </row>
    <row r="45" spans="2:45" ht="75" x14ac:dyDescent="0.25">
      <c r="B45" s="21">
        <v>45629</v>
      </c>
      <c r="C45" s="11" t="s">
        <v>56</v>
      </c>
      <c r="D45" s="7" t="s">
        <v>53</v>
      </c>
      <c r="E45" s="7" t="s">
        <v>53</v>
      </c>
      <c r="F45" s="7" t="s">
        <v>142</v>
      </c>
      <c r="G45" s="22" t="s">
        <v>45</v>
      </c>
      <c r="H45" s="22" t="s">
        <v>185</v>
      </c>
      <c r="I45" s="22" t="s">
        <v>28</v>
      </c>
      <c r="J45" s="7" t="s">
        <v>179</v>
      </c>
      <c r="K45" s="22" t="s">
        <v>840</v>
      </c>
      <c r="L45" s="7" t="s">
        <v>68</v>
      </c>
      <c r="M45" s="17" t="s">
        <v>409</v>
      </c>
      <c r="N45" s="17" t="s">
        <v>402</v>
      </c>
      <c r="O45" s="17" t="s">
        <v>449</v>
      </c>
      <c r="P45" s="17" t="s">
        <v>283</v>
      </c>
      <c r="Q45" s="17" t="s">
        <v>283</v>
      </c>
      <c r="R45" s="17" t="s">
        <v>407</v>
      </c>
      <c r="S45" s="24">
        <v>45632</v>
      </c>
      <c r="T45" s="19">
        <v>45636</v>
      </c>
      <c r="U45" s="19" t="s">
        <v>408</v>
      </c>
      <c r="V45" s="152">
        <v>7080</v>
      </c>
      <c r="W45" s="23" t="s">
        <v>282</v>
      </c>
      <c r="X45" s="23" t="s">
        <v>210</v>
      </c>
      <c r="Y45" s="23" t="s">
        <v>15</v>
      </c>
      <c r="Z45" s="46">
        <v>10015245</v>
      </c>
      <c r="AA45" s="46">
        <v>10004133</v>
      </c>
      <c r="AB45" s="46" t="s">
        <v>283</v>
      </c>
      <c r="AC45" s="21">
        <v>45630</v>
      </c>
      <c r="AD45" s="22">
        <f>NETWORKDAYS.INTL(Tab_4.DISP_INEX[[#This Row],[DATA RECEBIDO]],Tab_4.DISP_INEX[[#This Row],[DATA 
FINALIZADO]],1,Lista!$U$3:$U$15)</f>
        <v>2</v>
      </c>
      <c r="AE45" s="1" t="s">
        <v>56</v>
      </c>
      <c r="AF45" s="22" t="s">
        <v>216</v>
      </c>
      <c r="AG45" s="26"/>
      <c r="AH45" s="26"/>
      <c r="AI45" s="7"/>
      <c r="AJ45" s="203" t="s">
        <v>1033</v>
      </c>
      <c r="AK45" s="8" t="s">
        <v>65</v>
      </c>
      <c r="AL45" s="8" t="s">
        <v>65</v>
      </c>
      <c r="AM45" s="8" t="s">
        <v>65</v>
      </c>
      <c r="AP45" s="212">
        <v>41</v>
      </c>
      <c r="AQ45" s="213" t="str">
        <f>_xlfn.CONCAT(AP45,"_","TR","_",Tab_4.DISP_INEX[[#This Row],[FORNECEDOR]])</f>
        <v>41_TR_Mindworks - Tecnologia e Treinamento Ltda</v>
      </c>
      <c r="AR45" s="213" t="str">
        <f>_xlfn.CONCAT(AP45,"_","JUST","_",Tab_4.DISP_INEX[[#This Row],[FORNECEDOR]])</f>
        <v>41_JUST_Mindworks - Tecnologia e Treinamento Ltda</v>
      </c>
      <c r="AS45" s="213" t="str">
        <f>_xlfn.CONCAT(AP45,"_","RAT","_",Tab_4.DISP_INEX[[#This Row],[FORNECEDOR]])</f>
        <v>41_RAT_Mindworks - Tecnologia e Treinamento Ltda</v>
      </c>
    </row>
    <row r="46" spans="2:45" ht="75" x14ac:dyDescent="0.25">
      <c r="B46" s="21">
        <v>45629</v>
      </c>
      <c r="C46" s="11" t="s">
        <v>56</v>
      </c>
      <c r="D46" s="7" t="s">
        <v>53</v>
      </c>
      <c r="E46" s="7" t="s">
        <v>53</v>
      </c>
      <c r="F46" s="7" t="s">
        <v>143</v>
      </c>
      <c r="G46" s="22" t="s">
        <v>45</v>
      </c>
      <c r="H46" s="22" t="s">
        <v>185</v>
      </c>
      <c r="I46" s="22" t="s">
        <v>28</v>
      </c>
      <c r="J46" s="7" t="s">
        <v>180</v>
      </c>
      <c r="K46" s="22" t="s">
        <v>840</v>
      </c>
      <c r="L46" s="7" t="s">
        <v>68</v>
      </c>
      <c r="M46" s="17" t="s">
        <v>409</v>
      </c>
      <c r="N46" s="17" t="s">
        <v>402</v>
      </c>
      <c r="O46" s="17" t="s">
        <v>449</v>
      </c>
      <c r="P46" s="17" t="s">
        <v>285</v>
      </c>
      <c r="Q46" s="17" t="s">
        <v>285</v>
      </c>
      <c r="R46" s="17" t="s">
        <v>410</v>
      </c>
      <c r="S46" s="24">
        <v>45632</v>
      </c>
      <c r="T46" s="24">
        <v>45636</v>
      </c>
      <c r="U46" s="19">
        <v>45636</v>
      </c>
      <c r="V46" s="152">
        <v>5415</v>
      </c>
      <c r="W46" s="23" t="s">
        <v>284</v>
      </c>
      <c r="X46" s="23" t="s">
        <v>210</v>
      </c>
      <c r="Y46" s="23" t="s">
        <v>15</v>
      </c>
      <c r="Z46" s="46">
        <v>10015258</v>
      </c>
      <c r="AA46" s="46">
        <v>10004133</v>
      </c>
      <c r="AB46" s="46" t="s">
        <v>285</v>
      </c>
      <c r="AC46" s="21">
        <v>45630</v>
      </c>
      <c r="AD46" s="22">
        <f>NETWORKDAYS.INTL(Tab_4.DISP_INEX[[#This Row],[DATA RECEBIDO]],Tab_4.DISP_INEX[[#This Row],[DATA 
FINALIZADO]],1,Lista!$U$3:$U$15)</f>
        <v>2</v>
      </c>
      <c r="AE46" s="1" t="s">
        <v>56</v>
      </c>
      <c r="AF46" s="22" t="s">
        <v>216</v>
      </c>
      <c r="AG46" s="26"/>
      <c r="AH46" s="26"/>
      <c r="AI46" s="7"/>
      <c r="AJ46" s="203" t="s">
        <v>1034</v>
      </c>
      <c r="AK46" s="8" t="s">
        <v>65</v>
      </c>
      <c r="AL46" s="8" t="s">
        <v>65</v>
      </c>
      <c r="AM46" s="8" t="s">
        <v>65</v>
      </c>
      <c r="AP46" s="212">
        <v>42</v>
      </c>
      <c r="AQ46" s="213" t="str">
        <f>_xlfn.CONCAT(AP46,"_","TR","_",Tab_4.DISP_INEX[[#This Row],[FORNECEDOR]])</f>
        <v>42_TR_Mindworks - Tecnologia e Treinamento Ltda</v>
      </c>
      <c r="AR46" s="213" t="str">
        <f>_xlfn.CONCAT(AP46,"_","JUST","_",Tab_4.DISP_INEX[[#This Row],[FORNECEDOR]])</f>
        <v>42_JUST_Mindworks - Tecnologia e Treinamento Ltda</v>
      </c>
      <c r="AS46" s="213" t="str">
        <f>_xlfn.CONCAT(AP46,"_","RAT","_",Tab_4.DISP_INEX[[#This Row],[FORNECEDOR]])</f>
        <v>42_RAT_Mindworks - Tecnologia e Treinamento Ltda</v>
      </c>
    </row>
    <row r="47" spans="2:45" ht="45" x14ac:dyDescent="0.25">
      <c r="B47" s="21">
        <v>45630</v>
      </c>
      <c r="C47" s="11" t="s">
        <v>56</v>
      </c>
      <c r="D47" s="7" t="s">
        <v>53</v>
      </c>
      <c r="E47" s="7" t="s">
        <v>53</v>
      </c>
      <c r="F47" s="7" t="s">
        <v>144</v>
      </c>
      <c r="G47" s="22" t="s">
        <v>45</v>
      </c>
      <c r="H47" s="22" t="s">
        <v>185</v>
      </c>
      <c r="I47" s="22" t="s">
        <v>28</v>
      </c>
      <c r="J47" s="7" t="s">
        <v>181</v>
      </c>
      <c r="K47" s="22" t="s">
        <v>840</v>
      </c>
      <c r="L47" s="7" t="s">
        <v>68</v>
      </c>
      <c r="M47" s="17" t="s">
        <v>411</v>
      </c>
      <c r="N47" s="17" t="s">
        <v>412</v>
      </c>
      <c r="O47" s="17" t="s">
        <v>449</v>
      </c>
      <c r="P47" s="17" t="s">
        <v>287</v>
      </c>
      <c r="Q47" s="17" t="s">
        <v>287</v>
      </c>
      <c r="R47" s="17" t="s">
        <v>413</v>
      </c>
      <c r="S47" s="24">
        <v>45632</v>
      </c>
      <c r="T47" s="24">
        <v>45636</v>
      </c>
      <c r="U47" s="19">
        <v>45636</v>
      </c>
      <c r="V47" s="152">
        <v>22066</v>
      </c>
      <c r="W47" s="23" t="s">
        <v>286</v>
      </c>
      <c r="X47" s="23" t="s">
        <v>210</v>
      </c>
      <c r="Y47" s="23" t="s">
        <v>15</v>
      </c>
      <c r="Z47" s="46">
        <v>10015075</v>
      </c>
      <c r="AA47" s="46">
        <v>10004221</v>
      </c>
      <c r="AB47" s="46" t="s">
        <v>287</v>
      </c>
      <c r="AC47" s="21">
        <v>45630</v>
      </c>
      <c r="AD47" s="22">
        <f>NETWORKDAYS.INTL(Tab_4.DISP_INEX[[#This Row],[DATA RECEBIDO]],Tab_4.DISP_INEX[[#This Row],[DATA 
FINALIZADO]],1,Lista!$U$3:$U$15)</f>
        <v>1</v>
      </c>
      <c r="AE47" s="1" t="s">
        <v>56</v>
      </c>
      <c r="AF47" s="22" t="s">
        <v>216</v>
      </c>
      <c r="AG47" s="26"/>
      <c r="AH47" s="26"/>
      <c r="AI47" s="7"/>
      <c r="AJ47" s="203" t="s">
        <v>1035</v>
      </c>
      <c r="AK47" s="8" t="s">
        <v>65</v>
      </c>
      <c r="AL47" s="8" t="s">
        <v>65</v>
      </c>
      <c r="AM47" s="8" t="s">
        <v>65</v>
      </c>
      <c r="AP47" s="212">
        <v>43</v>
      </c>
      <c r="AQ47" s="213" t="str">
        <f>_xlfn.CONCAT(AP47,"_","TR","_",Tab_4.DISP_INEX[[#This Row],[FORNECEDOR]])</f>
        <v>43_TR_KPMG ASSURANCE SERVICES LTDA</v>
      </c>
      <c r="AR47" s="213" t="str">
        <f>_xlfn.CONCAT(AP47,"_","JUST","_",Tab_4.DISP_INEX[[#This Row],[FORNECEDOR]])</f>
        <v>43_JUST_KPMG ASSURANCE SERVICES LTDA</v>
      </c>
      <c r="AS47" s="213" t="str">
        <f>_xlfn.CONCAT(AP47,"_","RAT","_",Tab_4.DISP_INEX[[#This Row],[FORNECEDOR]])</f>
        <v>43_RAT_KPMG ASSURANCE SERVICES LTDA</v>
      </c>
    </row>
    <row r="48" spans="2:45" ht="60" x14ac:dyDescent="0.25">
      <c r="B48" s="21">
        <v>45630</v>
      </c>
      <c r="C48" s="11" t="s">
        <v>56</v>
      </c>
      <c r="D48" s="7" t="s">
        <v>53</v>
      </c>
      <c r="E48" s="7" t="s">
        <v>53</v>
      </c>
      <c r="F48" s="7" t="s">
        <v>145</v>
      </c>
      <c r="G48" s="22" t="s">
        <v>45</v>
      </c>
      <c r="H48" s="22" t="s">
        <v>185</v>
      </c>
      <c r="I48" s="22" t="s">
        <v>28</v>
      </c>
      <c r="J48" s="7" t="s">
        <v>182</v>
      </c>
      <c r="K48" s="22" t="s">
        <v>840</v>
      </c>
      <c r="L48" s="7" t="s">
        <v>68</v>
      </c>
      <c r="M48" s="17" t="s">
        <v>414</v>
      </c>
      <c r="N48" s="17" t="s">
        <v>415</v>
      </c>
      <c r="O48" s="17" t="s">
        <v>449</v>
      </c>
      <c r="P48" s="17" t="s">
        <v>289</v>
      </c>
      <c r="Q48" s="17" t="s">
        <v>289</v>
      </c>
      <c r="R48" s="17" t="s">
        <v>289</v>
      </c>
      <c r="S48" s="24">
        <v>45632</v>
      </c>
      <c r="T48" s="24">
        <v>45636</v>
      </c>
      <c r="U48" s="19">
        <v>45636</v>
      </c>
      <c r="V48" s="152">
        <v>2480</v>
      </c>
      <c r="W48" s="23" t="s">
        <v>288</v>
      </c>
      <c r="X48" s="23" t="s">
        <v>210</v>
      </c>
      <c r="Y48" s="23" t="s">
        <v>15</v>
      </c>
      <c r="Z48" s="46">
        <v>10015246</v>
      </c>
      <c r="AA48" s="46">
        <v>10004145</v>
      </c>
      <c r="AB48" s="46" t="s">
        <v>289</v>
      </c>
      <c r="AC48" s="21">
        <v>45630</v>
      </c>
      <c r="AD48" s="22">
        <f>NETWORKDAYS.INTL(Tab_4.DISP_INEX[[#This Row],[DATA RECEBIDO]],Tab_4.DISP_INEX[[#This Row],[DATA 
FINALIZADO]],1,Lista!$U$3:$U$15)</f>
        <v>1</v>
      </c>
      <c r="AE48" s="1" t="s">
        <v>56</v>
      </c>
      <c r="AF48" s="22" t="s">
        <v>216</v>
      </c>
      <c r="AG48" s="26"/>
      <c r="AH48" s="26"/>
      <c r="AI48" s="7"/>
      <c r="AJ48" s="203" t="s">
        <v>1036</v>
      </c>
      <c r="AK48" s="8" t="s">
        <v>65</v>
      </c>
      <c r="AL48" s="8" t="s">
        <v>65</v>
      </c>
      <c r="AM48" s="8" t="s">
        <v>65</v>
      </c>
      <c r="AP48" s="212">
        <v>44</v>
      </c>
      <c r="AQ48" s="213" t="str">
        <f>_xlfn.CONCAT(AP48,"_","TR","_",Tab_4.DISP_INEX[[#This Row],[FORNECEDOR]])</f>
        <v>44_TR_ABTD ASSOCIAÇÃO BRASILEIRA DE TREINAMENTO</v>
      </c>
      <c r="AR48" s="213" t="str">
        <f>_xlfn.CONCAT(AP48,"_","JUST","_",Tab_4.DISP_INEX[[#This Row],[FORNECEDOR]])</f>
        <v>44_JUST_ABTD ASSOCIAÇÃO BRASILEIRA DE TREINAMENTO</v>
      </c>
      <c r="AS48" s="213" t="str">
        <f>_xlfn.CONCAT(AP48,"_","RAT","_",Tab_4.DISP_INEX[[#This Row],[FORNECEDOR]])</f>
        <v>44_RAT_ABTD ASSOCIAÇÃO BRASILEIRA DE TREINAMENTO</v>
      </c>
    </row>
    <row r="49" spans="2:45" ht="60" x14ac:dyDescent="0.25">
      <c r="B49" s="21">
        <v>45639</v>
      </c>
      <c r="C49" s="11" t="s">
        <v>56</v>
      </c>
      <c r="D49" s="7" t="s">
        <v>53</v>
      </c>
      <c r="E49" s="7" t="s">
        <v>53</v>
      </c>
      <c r="F49" s="7" t="s">
        <v>146</v>
      </c>
      <c r="G49" s="22" t="s">
        <v>45</v>
      </c>
      <c r="H49" s="22" t="s">
        <v>185</v>
      </c>
      <c r="I49" s="22" t="s">
        <v>28</v>
      </c>
      <c r="J49" s="7" t="s">
        <v>183</v>
      </c>
      <c r="K49" s="22" t="s">
        <v>840</v>
      </c>
      <c r="L49" s="7" t="s">
        <v>68</v>
      </c>
      <c r="M49" s="17" t="s">
        <v>416</v>
      </c>
      <c r="N49" s="17" t="s">
        <v>417</v>
      </c>
      <c r="O49" s="17" t="s">
        <v>449</v>
      </c>
      <c r="P49" s="17" t="s">
        <v>291</v>
      </c>
      <c r="Q49" s="17" t="s">
        <v>291</v>
      </c>
      <c r="R49" s="17" t="s">
        <v>291</v>
      </c>
      <c r="S49" s="24">
        <v>45643</v>
      </c>
      <c r="T49" s="24">
        <v>45644</v>
      </c>
      <c r="U49" s="19">
        <v>45644</v>
      </c>
      <c r="V49" s="152">
        <v>13234.53</v>
      </c>
      <c r="W49" s="23" t="s">
        <v>290</v>
      </c>
      <c r="X49" s="23" t="s">
        <v>210</v>
      </c>
      <c r="Y49" s="23" t="s">
        <v>15</v>
      </c>
      <c r="Z49" s="46">
        <v>10015254</v>
      </c>
      <c r="AA49" s="46">
        <v>10004227</v>
      </c>
      <c r="AB49" s="46" t="s">
        <v>291</v>
      </c>
      <c r="AC49" s="21">
        <v>45642</v>
      </c>
      <c r="AD49" s="22">
        <f>NETWORKDAYS.INTL(Tab_4.DISP_INEX[[#This Row],[DATA RECEBIDO]],Tab_4.DISP_INEX[[#This Row],[DATA 
FINALIZADO]],1,Lista!$U$3:$U$15)</f>
        <v>2</v>
      </c>
      <c r="AE49" s="1" t="s">
        <v>56</v>
      </c>
      <c r="AF49" s="22" t="s">
        <v>216</v>
      </c>
      <c r="AG49" s="26"/>
      <c r="AH49" s="26"/>
      <c r="AI49" s="7"/>
      <c r="AJ49" s="203" t="s">
        <v>1037</v>
      </c>
      <c r="AK49" s="8" t="s">
        <v>65</v>
      </c>
      <c r="AL49" s="8" t="s">
        <v>65</v>
      </c>
      <c r="AM49" s="8" t="s">
        <v>65</v>
      </c>
      <c r="AP49" s="212">
        <v>45</v>
      </c>
      <c r="AQ49" s="213" t="str">
        <f>_xlfn.CONCAT(AP49,"_","TR","_",Tab_4.DISP_INEX[[#This Row],[FORNECEDOR]])</f>
        <v>45_TR_KA SOLUTION INFORMÁTICA LTDA</v>
      </c>
      <c r="AR49" s="213" t="str">
        <f>_xlfn.CONCAT(AP49,"_","JUST","_",Tab_4.DISP_INEX[[#This Row],[FORNECEDOR]])</f>
        <v>45_JUST_KA SOLUTION INFORMÁTICA LTDA</v>
      </c>
      <c r="AS49" s="213" t="str">
        <f>_xlfn.CONCAT(AP49,"_","RAT","_",Tab_4.DISP_INEX[[#This Row],[FORNECEDOR]])</f>
        <v>45_RAT_KA SOLUTION INFORMÁTICA LTDA</v>
      </c>
    </row>
    <row r="50" spans="2:45" ht="60" x14ac:dyDescent="0.25">
      <c r="B50" s="21">
        <v>45643</v>
      </c>
      <c r="C50" s="11" t="s">
        <v>66</v>
      </c>
      <c r="D50" s="7" t="s">
        <v>53</v>
      </c>
      <c r="E50" s="7" t="s">
        <v>53</v>
      </c>
      <c r="F50" s="7" t="s">
        <v>147</v>
      </c>
      <c r="G50" s="22" t="s">
        <v>46</v>
      </c>
      <c r="H50" s="22" t="s">
        <v>292</v>
      </c>
      <c r="I50" s="22" t="s">
        <v>24</v>
      </c>
      <c r="J50" s="7" t="s">
        <v>184</v>
      </c>
      <c r="K50" s="22" t="s">
        <v>840</v>
      </c>
      <c r="L50" s="7" t="s">
        <v>68</v>
      </c>
      <c r="M50" s="17" t="s">
        <v>418</v>
      </c>
      <c r="N50" s="17" t="s">
        <v>419</v>
      </c>
      <c r="O50" s="17" t="s">
        <v>442</v>
      </c>
      <c r="P50" s="17" t="s">
        <v>316</v>
      </c>
      <c r="Q50" s="17" t="s">
        <v>940</v>
      </c>
      <c r="R50" s="17" t="s">
        <v>450</v>
      </c>
      <c r="S50" s="24">
        <v>45743</v>
      </c>
      <c r="T50" s="24">
        <v>45743</v>
      </c>
      <c r="U50" s="19">
        <v>46407</v>
      </c>
      <c r="V50" s="152">
        <v>122605</v>
      </c>
      <c r="W50" s="17" t="s">
        <v>593</v>
      </c>
      <c r="X50" s="23" t="s">
        <v>452</v>
      </c>
      <c r="Y50" s="23" t="s">
        <v>15</v>
      </c>
      <c r="Z50" s="46">
        <v>10015280</v>
      </c>
      <c r="AA50" s="46">
        <v>10003170</v>
      </c>
      <c r="AB50" s="45" t="s">
        <v>479</v>
      </c>
      <c r="AC50" s="11">
        <f t="shared" ref="AC50:AC51" ca="1" si="0">TODAY()</f>
        <v>46190</v>
      </c>
      <c r="AD50" s="22">
        <f ca="1">NETWORKDAYS.INTL(Tab_4.DISP_INEX[[#This Row],[DATA RECEBIDO]],Tab_4.DISP_INEX[[#This Row],[DATA 
FINALIZADO]],1,Lista!$U$3:$U$15)</f>
        <v>391</v>
      </c>
      <c r="AF50" s="22"/>
      <c r="AG50" s="26" t="s">
        <v>513</v>
      </c>
      <c r="AH50" s="7" t="s">
        <v>512</v>
      </c>
      <c r="AI50" s="7" t="s">
        <v>509</v>
      </c>
      <c r="AJ50" s="203" t="s">
        <v>980</v>
      </c>
      <c r="AK50" s="8" t="s">
        <v>65</v>
      </c>
      <c r="AL50" s="8" t="s">
        <v>65</v>
      </c>
      <c r="AM50" s="8" t="s">
        <v>65</v>
      </c>
      <c r="AP50" s="212">
        <v>46</v>
      </c>
      <c r="AQ50" s="213" t="str">
        <f>_xlfn.CONCAT(AP50,"_","TR","_",Tab_4.DISP_INEX[[#This Row],[FORNECEDOR]])</f>
        <v>46_TR_DELL COMPUTADORES DO BRASIL LTDA</v>
      </c>
      <c r="AR50" s="213" t="str">
        <f>_xlfn.CONCAT(AP50,"_","JUST","_",Tab_4.DISP_INEX[[#This Row],[FORNECEDOR]])</f>
        <v>46_JUST_DELL COMPUTADORES DO BRASIL LTDA</v>
      </c>
      <c r="AS50" s="213" t="str">
        <f>_xlfn.CONCAT(AP50,"_","RAT","_",Tab_4.DISP_INEX[[#This Row],[FORNECEDOR]])</f>
        <v>46_RAT_DELL COMPUTADORES DO BRASIL LTDA</v>
      </c>
    </row>
    <row r="51" spans="2:45" ht="75" x14ac:dyDescent="0.25">
      <c r="B51" s="21">
        <v>45649</v>
      </c>
      <c r="C51" s="11" t="s">
        <v>66</v>
      </c>
      <c r="D51" s="7" t="s">
        <v>53</v>
      </c>
      <c r="E51" s="7" t="s">
        <v>53</v>
      </c>
      <c r="F51" s="7" t="s">
        <v>293</v>
      </c>
      <c r="G51" s="7" t="s">
        <v>46</v>
      </c>
      <c r="H51" s="22" t="s">
        <v>292</v>
      </c>
      <c r="I51" s="22" t="s">
        <v>24</v>
      </c>
      <c r="J51" s="7" t="s">
        <v>294</v>
      </c>
      <c r="K51" s="22" t="s">
        <v>840</v>
      </c>
      <c r="L51" s="7" t="s">
        <v>68</v>
      </c>
      <c r="M51" s="17" t="s">
        <v>418</v>
      </c>
      <c r="N51" s="17" t="s">
        <v>421</v>
      </c>
      <c r="O51" s="17" t="s">
        <v>442</v>
      </c>
      <c r="P51" s="17" t="s">
        <v>420</v>
      </c>
      <c r="Q51" s="17" t="s">
        <v>941</v>
      </c>
      <c r="R51" s="17" t="s">
        <v>451</v>
      </c>
      <c r="S51" s="24">
        <v>45743</v>
      </c>
      <c r="T51" s="24">
        <v>45743</v>
      </c>
      <c r="U51" s="19">
        <v>45947</v>
      </c>
      <c r="V51" s="152">
        <v>53604</v>
      </c>
      <c r="W51" s="17" t="s">
        <v>594</v>
      </c>
      <c r="X51" s="23" t="s">
        <v>452</v>
      </c>
      <c r="Y51" s="23" t="s">
        <v>15</v>
      </c>
      <c r="Z51" s="46">
        <v>10015262</v>
      </c>
      <c r="AA51" s="46">
        <v>10003170</v>
      </c>
      <c r="AB51" s="46">
        <v>4400003079</v>
      </c>
      <c r="AC51" s="11">
        <f t="shared" ca="1" si="0"/>
        <v>46190</v>
      </c>
      <c r="AD51" s="22">
        <f ca="1">NETWORKDAYS.INTL(Tab_4.DISP_INEX[[#This Row],[DATA RECEBIDO]],Tab_4.DISP_INEX[[#This Row],[DATA 
FINALIZADO]],1,Lista!$U$3:$U$15)</f>
        <v>387</v>
      </c>
      <c r="AF51" s="22"/>
      <c r="AG51" s="26" t="s">
        <v>514</v>
      </c>
      <c r="AH51" s="26" t="s">
        <v>515</v>
      </c>
      <c r="AI51" s="7" t="s">
        <v>509</v>
      </c>
      <c r="AJ51" s="203" t="s">
        <v>981</v>
      </c>
      <c r="AK51" s="8" t="s">
        <v>65</v>
      </c>
      <c r="AL51" s="8" t="s">
        <v>65</v>
      </c>
      <c r="AM51" s="8" t="s">
        <v>65</v>
      </c>
      <c r="AP51" s="212">
        <v>47</v>
      </c>
      <c r="AQ51" s="213" t="str">
        <f>_xlfn.CONCAT(AP51,"_","TR","_",Tab_4.DISP_INEX[[#This Row],[FORNECEDOR]])</f>
        <v>47_TR_DELL COMPUTADORES DO BRASIL LTDA</v>
      </c>
      <c r="AR51" s="213" t="str">
        <f>_xlfn.CONCAT(AP51,"_","JUST","_",Tab_4.DISP_INEX[[#This Row],[FORNECEDOR]])</f>
        <v>47_JUST_DELL COMPUTADORES DO BRASIL LTDA</v>
      </c>
      <c r="AS51" s="213" t="str">
        <f>_xlfn.CONCAT(AP51,"_","RAT","_",Tab_4.DISP_INEX[[#This Row],[FORNECEDOR]])</f>
        <v>47_RAT_DELL COMPUTADORES DO BRASIL LTDA</v>
      </c>
    </row>
    <row r="52" spans="2:45" ht="45" customHeight="1" x14ac:dyDescent="0.25">
      <c r="B52" s="21">
        <v>45723</v>
      </c>
      <c r="C52" s="11" t="s">
        <v>56</v>
      </c>
      <c r="D52" s="22" t="s">
        <v>53</v>
      </c>
      <c r="E52" s="7" t="s">
        <v>53</v>
      </c>
      <c r="F52" s="22" t="s">
        <v>295</v>
      </c>
      <c r="G52" s="22" t="s">
        <v>45</v>
      </c>
      <c r="H52" s="22" t="s">
        <v>196</v>
      </c>
      <c r="I52" s="22" t="s">
        <v>28</v>
      </c>
      <c r="J52" s="7" t="s">
        <v>296</v>
      </c>
      <c r="K52" s="22" t="s">
        <v>840</v>
      </c>
      <c r="L52" s="7" t="s">
        <v>68</v>
      </c>
      <c r="M52" s="23" t="s">
        <v>297</v>
      </c>
      <c r="N52" s="17" t="s">
        <v>298</v>
      </c>
      <c r="O52" s="17" t="s">
        <v>449</v>
      </c>
      <c r="P52" s="17" t="s">
        <v>319</v>
      </c>
      <c r="Q52" s="17" t="s">
        <v>319</v>
      </c>
      <c r="R52" s="17" t="s">
        <v>319</v>
      </c>
      <c r="S52" s="19">
        <v>45727</v>
      </c>
      <c r="T52" s="24">
        <v>45729</v>
      </c>
      <c r="U52" s="19">
        <v>45744</v>
      </c>
      <c r="V52" s="153">
        <v>4860</v>
      </c>
      <c r="W52" s="17" t="s">
        <v>320</v>
      </c>
      <c r="X52" s="17" t="s">
        <v>260</v>
      </c>
      <c r="Y52" s="23" t="s">
        <v>15</v>
      </c>
      <c r="Z52" s="46">
        <v>10015557</v>
      </c>
      <c r="AA52" s="46">
        <v>10001269</v>
      </c>
      <c r="AB52" s="45"/>
      <c r="AC52" s="21">
        <v>45726</v>
      </c>
      <c r="AD52" s="22">
        <f>NETWORKDAYS.INTL(Tab_4.DISP_INEX[[#This Row],[DATA RECEBIDO]],Tab_4.DISP_INEX[[#This Row],[DATA 
FINALIZADO]],1,Lista!$U$3:$U$15)</f>
        <v>2</v>
      </c>
      <c r="AE52" s="1" t="s">
        <v>56</v>
      </c>
      <c r="AF52" s="7" t="s">
        <v>216</v>
      </c>
      <c r="AG52" s="26" t="s">
        <v>495</v>
      </c>
      <c r="AH52" s="26" t="s">
        <v>496</v>
      </c>
      <c r="AI52" s="7" t="s">
        <v>509</v>
      </c>
      <c r="AJ52" s="203" t="s">
        <v>951</v>
      </c>
      <c r="AK52" s="8" t="s">
        <v>65</v>
      </c>
      <c r="AL52" s="8" t="s">
        <v>65</v>
      </c>
      <c r="AM52" s="8" t="s">
        <v>65</v>
      </c>
      <c r="AP52" s="212">
        <v>48</v>
      </c>
      <c r="AQ52" s="213" t="str">
        <f>_xlfn.CONCAT(AP52,"_","TR","_",Tab_4.DISP_INEX[[#This Row],[FORNECEDOR]])</f>
        <v>48_TR_Zênite Informação e Consultoria S/A</v>
      </c>
      <c r="AR52" s="213" t="str">
        <f>_xlfn.CONCAT(AP52,"_","JUST","_",Tab_4.DISP_INEX[[#This Row],[FORNECEDOR]])</f>
        <v>48_JUST_Zênite Informação e Consultoria S/A</v>
      </c>
      <c r="AS52" s="213" t="str">
        <f>_xlfn.CONCAT(AP52,"_","RAT","_",Tab_4.DISP_INEX[[#This Row],[FORNECEDOR]])</f>
        <v>48_RAT_Zênite Informação e Consultoria S/A</v>
      </c>
    </row>
    <row r="53" spans="2:45" ht="60" x14ac:dyDescent="0.25">
      <c r="B53" s="11">
        <v>45735</v>
      </c>
      <c r="C53" s="11" t="s">
        <v>56</v>
      </c>
      <c r="D53" s="7" t="s">
        <v>53</v>
      </c>
      <c r="E53" s="7" t="s">
        <v>53</v>
      </c>
      <c r="F53" s="7" t="s">
        <v>299</v>
      </c>
      <c r="G53" s="7" t="s">
        <v>45</v>
      </c>
      <c r="H53" s="7" t="s">
        <v>196</v>
      </c>
      <c r="I53" s="22" t="s">
        <v>28</v>
      </c>
      <c r="J53" s="7" t="s">
        <v>300</v>
      </c>
      <c r="K53" s="22" t="s">
        <v>840</v>
      </c>
      <c r="L53" s="7" t="s">
        <v>68</v>
      </c>
      <c r="M53" s="23" t="s">
        <v>327</v>
      </c>
      <c r="N53" s="23" t="s">
        <v>328</v>
      </c>
      <c r="O53" s="17" t="s">
        <v>449</v>
      </c>
      <c r="P53" s="17" t="s">
        <v>317</v>
      </c>
      <c r="Q53" s="17" t="s">
        <v>317</v>
      </c>
      <c r="R53" s="17" t="s">
        <v>317</v>
      </c>
      <c r="S53" s="19">
        <v>45742</v>
      </c>
      <c r="T53" s="19">
        <v>45743</v>
      </c>
      <c r="U53" s="19">
        <v>45743</v>
      </c>
      <c r="V53" s="151">
        <v>1990</v>
      </c>
      <c r="W53" s="17" t="s">
        <v>318</v>
      </c>
      <c r="X53" s="17" t="s">
        <v>301</v>
      </c>
      <c r="Y53" s="17" t="s">
        <v>15</v>
      </c>
      <c r="Z53" s="46">
        <v>10015602</v>
      </c>
      <c r="AA53" s="45">
        <v>10004236</v>
      </c>
      <c r="AB53" s="45"/>
      <c r="AC53" s="11">
        <v>45735</v>
      </c>
      <c r="AD53" s="7">
        <f>NETWORKDAYS.INTL(Tab_4.DISP_INEX[[#This Row],[DATA RECEBIDO]],Tab_4.DISP_INEX[[#This Row],[DATA 
FINALIZADO]],1,Lista!$U$3:$U$15)</f>
        <v>1</v>
      </c>
      <c r="AE53" s="1" t="s">
        <v>56</v>
      </c>
      <c r="AF53" s="7" t="s">
        <v>216</v>
      </c>
      <c r="AG53" s="26" t="s">
        <v>497</v>
      </c>
      <c r="AH53" s="7" t="s">
        <v>499</v>
      </c>
      <c r="AI53" s="7" t="s">
        <v>509</v>
      </c>
      <c r="AJ53" s="203" t="s">
        <v>952</v>
      </c>
      <c r="AK53" s="8" t="s">
        <v>65</v>
      </c>
      <c r="AL53" s="8" t="s">
        <v>65</v>
      </c>
      <c r="AM53" s="8" t="s">
        <v>65</v>
      </c>
      <c r="AP53" s="212">
        <v>49</v>
      </c>
      <c r="AQ53" s="213" t="str">
        <f>_xlfn.CONCAT(AP53,"_","TR","_",Tab_4.DISP_INEX[[#This Row],[FORNECEDOR]])</f>
        <v>49_TR_Inove Treinamentos e Capacitação Ltda</v>
      </c>
      <c r="AR53" s="213" t="str">
        <f>_xlfn.CONCAT(AP53,"_","JUST","_",Tab_4.DISP_INEX[[#This Row],[FORNECEDOR]])</f>
        <v>49_JUST_Inove Treinamentos e Capacitação Ltda</v>
      </c>
      <c r="AS53" s="213" t="str">
        <f>_xlfn.CONCAT(AP53,"_","RAT","_",Tab_4.DISP_INEX[[#This Row],[FORNECEDOR]])</f>
        <v>49_RAT_Inove Treinamentos e Capacitação Ltda</v>
      </c>
    </row>
    <row r="54" spans="2:45" ht="75" x14ac:dyDescent="0.25">
      <c r="B54" s="21">
        <v>45673</v>
      </c>
      <c r="C54" s="21" t="s">
        <v>66</v>
      </c>
      <c r="D54" s="22" t="s">
        <v>53</v>
      </c>
      <c r="E54" s="7" t="s">
        <v>53</v>
      </c>
      <c r="F54" s="22" t="s">
        <v>302</v>
      </c>
      <c r="G54" s="22" t="s">
        <v>48</v>
      </c>
      <c r="H54" s="22" t="s">
        <v>195</v>
      </c>
      <c r="I54" s="22" t="s">
        <v>28</v>
      </c>
      <c r="J54" s="22" t="s">
        <v>151</v>
      </c>
      <c r="K54" s="22" t="s">
        <v>840</v>
      </c>
      <c r="L54" s="22" t="s">
        <v>68</v>
      </c>
      <c r="M54" s="23" t="s">
        <v>303</v>
      </c>
      <c r="N54" s="23" t="s">
        <v>304</v>
      </c>
      <c r="O54" s="17" t="s">
        <v>449</v>
      </c>
      <c r="P54" s="17" t="s">
        <v>305</v>
      </c>
      <c r="Q54" s="17" t="s">
        <v>305</v>
      </c>
      <c r="R54" s="17" t="s">
        <v>306</v>
      </c>
      <c r="S54" s="24">
        <v>45734</v>
      </c>
      <c r="T54" s="24">
        <v>45734</v>
      </c>
      <c r="U54" s="19">
        <v>46099</v>
      </c>
      <c r="V54" s="153">
        <v>23474</v>
      </c>
      <c r="W54" s="17" t="s">
        <v>307</v>
      </c>
      <c r="X54" s="17" t="s">
        <v>205</v>
      </c>
      <c r="Y54" s="23" t="s">
        <v>15</v>
      </c>
      <c r="Z54" s="46">
        <v>10015394</v>
      </c>
      <c r="AA54" s="46"/>
      <c r="AB54" s="46"/>
      <c r="AC54" s="21">
        <f t="shared" ref="AC54" ca="1" si="1">TODAY()</f>
        <v>46190</v>
      </c>
      <c r="AD54" s="22">
        <f ca="1">NETWORKDAYS.INTL(Tab_4.DISP_INEX[[#This Row],[DATA RECEBIDO]],Tab_4.DISP_INEX[[#This Row],[DATA 
FINALIZADO]],1,Lista!$U$3:$U$15)</f>
        <v>370</v>
      </c>
      <c r="AF54" s="22"/>
      <c r="AG54" s="26" t="s">
        <v>493</v>
      </c>
      <c r="AH54" s="26" t="s">
        <v>494</v>
      </c>
      <c r="AI54" s="7" t="s">
        <v>509</v>
      </c>
      <c r="AJ54" s="203" t="s">
        <v>950</v>
      </c>
      <c r="AK54" s="8" t="s">
        <v>65</v>
      </c>
      <c r="AL54" s="8" t="s">
        <v>65</v>
      </c>
      <c r="AM54" s="8" t="s">
        <v>65</v>
      </c>
      <c r="AP54" s="212">
        <v>50</v>
      </c>
      <c r="AQ54" s="213" t="str">
        <f>_xlfn.CONCAT(AP54,"_","TR","_",Tab_4.DISP_INEX[[#This Row],[FORNECEDOR]])</f>
        <v>50_TR_Instituto Brasileiro de Governança Corporativa - IBGC</v>
      </c>
      <c r="AR54" s="213" t="str">
        <f>_xlfn.CONCAT(AP54,"_","JUST","_",Tab_4.DISP_INEX[[#This Row],[FORNECEDOR]])</f>
        <v>50_JUST_Instituto Brasileiro de Governança Corporativa - IBGC</v>
      </c>
      <c r="AS54" s="213" t="str">
        <f>_xlfn.CONCAT(AP54,"_","RAT","_",Tab_4.DISP_INEX[[#This Row],[FORNECEDOR]])</f>
        <v>50_RAT_Instituto Brasileiro de Governança Corporativa - IBGC</v>
      </c>
    </row>
    <row r="55" spans="2:45" ht="75" x14ac:dyDescent="0.25">
      <c r="B55" s="25">
        <v>45674</v>
      </c>
      <c r="C55" s="25" t="s">
        <v>55</v>
      </c>
      <c r="D55" s="26" t="s">
        <v>53</v>
      </c>
      <c r="E55" s="7" t="s">
        <v>53</v>
      </c>
      <c r="F55" s="26" t="s">
        <v>470</v>
      </c>
      <c r="G55" s="26" t="s">
        <v>45</v>
      </c>
      <c r="H55" s="7" t="s">
        <v>185</v>
      </c>
      <c r="I55" s="7" t="s">
        <v>23</v>
      </c>
      <c r="J55" s="26" t="s">
        <v>471</v>
      </c>
      <c r="K55" s="7" t="s">
        <v>845</v>
      </c>
      <c r="L55" s="26" t="s">
        <v>68</v>
      </c>
      <c r="M55" s="27" t="s">
        <v>472</v>
      </c>
      <c r="N55" s="27" t="s">
        <v>473</v>
      </c>
      <c r="O55" s="27" t="s">
        <v>442</v>
      </c>
      <c r="P55" s="27" t="s">
        <v>476</v>
      </c>
      <c r="Q55" s="17" t="s">
        <v>982</v>
      </c>
      <c r="R55" s="27" t="s">
        <v>474</v>
      </c>
      <c r="S55" s="32">
        <v>45744</v>
      </c>
      <c r="T55" s="32">
        <v>45744</v>
      </c>
      <c r="U55" s="19">
        <v>46109</v>
      </c>
      <c r="V55" s="154">
        <v>6500</v>
      </c>
      <c r="W55" s="27" t="s">
        <v>475</v>
      </c>
      <c r="X55" s="27" t="s">
        <v>477</v>
      </c>
      <c r="Y55" s="27" t="s">
        <v>15</v>
      </c>
      <c r="Z55" s="47">
        <v>10015239</v>
      </c>
      <c r="AA55" s="49"/>
      <c r="AB55" s="49"/>
      <c r="AC55" s="25">
        <v>45761</v>
      </c>
      <c r="AD55" s="26">
        <f>NETWORKDAYS.INTL(Tab_4.DISP_INEX[[#This Row],[DATA RECEBIDO]],Tab_4.DISP_INEX[[#This Row],[DATA 
FINALIZADO]],1,Lista!$U$3:$U$15)</f>
        <v>62</v>
      </c>
      <c r="AE55" s="1" t="s">
        <v>76</v>
      </c>
      <c r="AF55" s="26"/>
      <c r="AG55" s="26" t="s">
        <v>518</v>
      </c>
      <c r="AH55" s="26" t="s">
        <v>517</v>
      </c>
      <c r="AI55" s="7" t="s">
        <v>509</v>
      </c>
      <c r="AJ55" s="203" t="s">
        <v>983</v>
      </c>
      <c r="AK55" s="8" t="s">
        <v>65</v>
      </c>
      <c r="AL55" s="8" t="s">
        <v>65</v>
      </c>
      <c r="AM55" s="8" t="s">
        <v>65</v>
      </c>
      <c r="AP55" s="212">
        <v>51</v>
      </c>
      <c r="AQ55" s="213" t="str">
        <f>_xlfn.CONCAT(AP55,"_","TR","_",Tab_4.DISP_INEX[[#This Row],[FORNECEDOR]])</f>
        <v>51_TR_SC BRASIL GROUP SOLUÇÕES TECNOLÓGICAS LTDA</v>
      </c>
      <c r="AR55" s="213" t="str">
        <f>_xlfn.CONCAT(AP55,"_","JUST","_",Tab_4.DISP_INEX[[#This Row],[FORNECEDOR]])</f>
        <v>51_JUST_SC BRASIL GROUP SOLUÇÕES TECNOLÓGICAS LTDA</v>
      </c>
      <c r="AS55" s="213" t="str">
        <f>_xlfn.CONCAT(AP55,"_","RAT","_",Tab_4.DISP_INEX[[#This Row],[FORNECEDOR]])</f>
        <v>51_RAT_SC BRASIL GROUP SOLUÇÕES TECNOLÓGICAS LTDA</v>
      </c>
    </row>
    <row r="56" spans="2:45" ht="60" x14ac:dyDescent="0.25">
      <c r="B56" s="25">
        <v>45756</v>
      </c>
      <c r="C56" s="25" t="s">
        <v>56</v>
      </c>
      <c r="D56" s="26" t="s">
        <v>53</v>
      </c>
      <c r="E56" s="7" t="s">
        <v>53</v>
      </c>
      <c r="F56" s="7" t="s">
        <v>455</v>
      </c>
      <c r="G56" s="26" t="s">
        <v>45</v>
      </c>
      <c r="H56" s="26" t="s">
        <v>185</v>
      </c>
      <c r="I56" s="7" t="s">
        <v>28</v>
      </c>
      <c r="J56" s="26" t="s">
        <v>456</v>
      </c>
      <c r="K56" s="22" t="s">
        <v>840</v>
      </c>
      <c r="L56" s="26" t="s">
        <v>68</v>
      </c>
      <c r="M56" s="27" t="s">
        <v>461</v>
      </c>
      <c r="N56" s="27" t="s">
        <v>462</v>
      </c>
      <c r="O56" s="27" t="s">
        <v>449</v>
      </c>
      <c r="P56" s="27" t="s">
        <v>480</v>
      </c>
      <c r="Q56" s="17" t="s">
        <v>480</v>
      </c>
      <c r="R56" s="27" t="s">
        <v>480</v>
      </c>
      <c r="S56" s="24">
        <v>45761</v>
      </c>
      <c r="T56" s="32">
        <v>45762</v>
      </c>
      <c r="U56" s="19">
        <v>45762</v>
      </c>
      <c r="V56" s="154">
        <v>5860</v>
      </c>
      <c r="W56" s="27" t="s">
        <v>481</v>
      </c>
      <c r="X56" s="27" t="s">
        <v>482</v>
      </c>
      <c r="Y56" s="27" t="s">
        <v>15</v>
      </c>
      <c r="Z56" s="47">
        <v>10015636</v>
      </c>
      <c r="AA56" s="47">
        <v>10003773</v>
      </c>
      <c r="AB56" s="47"/>
      <c r="AC56" s="25">
        <v>45758</v>
      </c>
      <c r="AD56" s="26">
        <f>NETWORKDAYS.INTL(Tab_4.DISP_INEX[[#This Row],[DATA RECEBIDO]],Tab_4.DISP_INEX[[#This Row],[DATA 
FINALIZADO]],1,Lista!$U$3:$U$15)</f>
        <v>3</v>
      </c>
      <c r="AE56" s="1" t="s">
        <v>56</v>
      </c>
      <c r="AF56" s="26" t="s">
        <v>216</v>
      </c>
      <c r="AG56" s="26" t="s">
        <v>502</v>
      </c>
      <c r="AH56" s="26" t="s">
        <v>503</v>
      </c>
      <c r="AI56" s="7" t="s">
        <v>509</v>
      </c>
      <c r="AJ56" s="203" t="s">
        <v>955</v>
      </c>
      <c r="AK56" s="8" t="s">
        <v>65</v>
      </c>
      <c r="AL56" s="8" t="s">
        <v>65</v>
      </c>
      <c r="AM56" s="8" t="s">
        <v>65</v>
      </c>
      <c r="AP56" s="212">
        <v>52</v>
      </c>
      <c r="AQ56" s="213" t="str">
        <f>_xlfn.CONCAT(AP56,"_","TR","_",Tab_4.DISP_INEX[[#This Row],[FORNECEDOR]])</f>
        <v>52_TR_KPMG Business School |Treinamentos Corporativos</v>
      </c>
      <c r="AR56" s="213" t="str">
        <f>_xlfn.CONCAT(AP56,"_","JUST","_",Tab_4.DISP_INEX[[#This Row],[FORNECEDOR]])</f>
        <v>52_JUST_KPMG Business School |Treinamentos Corporativos</v>
      </c>
      <c r="AS56" s="213" t="str">
        <f>_xlfn.CONCAT(AP56,"_","RAT","_",Tab_4.DISP_INEX[[#This Row],[FORNECEDOR]])</f>
        <v>52_RAT_KPMG Business School |Treinamentos Corporativos</v>
      </c>
    </row>
    <row r="57" spans="2:45" ht="90" x14ac:dyDescent="0.25">
      <c r="B57" s="25">
        <v>45756</v>
      </c>
      <c r="C57" s="25" t="s">
        <v>56</v>
      </c>
      <c r="D57" s="26" t="s">
        <v>53</v>
      </c>
      <c r="E57" s="7" t="s">
        <v>53</v>
      </c>
      <c r="F57" s="7" t="s">
        <v>457</v>
      </c>
      <c r="G57" s="26" t="s">
        <v>45</v>
      </c>
      <c r="H57" s="26" t="s">
        <v>185</v>
      </c>
      <c r="I57" s="7" t="s">
        <v>28</v>
      </c>
      <c r="J57" s="26" t="s">
        <v>458</v>
      </c>
      <c r="K57" s="22" t="s">
        <v>840</v>
      </c>
      <c r="L57" s="26" t="s">
        <v>68</v>
      </c>
      <c r="M57" s="27" t="s">
        <v>463</v>
      </c>
      <c r="N57" s="17" t="s">
        <v>464</v>
      </c>
      <c r="O57" s="27" t="s">
        <v>449</v>
      </c>
      <c r="P57" s="27" t="s">
        <v>484</v>
      </c>
      <c r="Q57" s="27" t="s">
        <v>484</v>
      </c>
      <c r="R57" s="17" t="s">
        <v>484</v>
      </c>
      <c r="S57" s="24">
        <v>45762</v>
      </c>
      <c r="T57" s="32">
        <v>45762</v>
      </c>
      <c r="U57" s="19">
        <v>45762</v>
      </c>
      <c r="V57" s="154">
        <v>2247</v>
      </c>
      <c r="W57" s="27" t="s">
        <v>485</v>
      </c>
      <c r="X57" s="27" t="s">
        <v>482</v>
      </c>
      <c r="Y57" s="27" t="s">
        <v>15</v>
      </c>
      <c r="Z57" s="47">
        <v>10015655</v>
      </c>
      <c r="AA57" s="47">
        <v>10004280</v>
      </c>
      <c r="AB57" s="47"/>
      <c r="AC57" s="25">
        <v>45757</v>
      </c>
      <c r="AD57" s="26">
        <f>NETWORKDAYS.INTL(Tab_4.DISP_INEX[[#This Row],[DATA RECEBIDO]],Tab_4.DISP_INEX[[#This Row],[DATA 
FINALIZADO]],1,Lista!$U$3:$U$15)</f>
        <v>2</v>
      </c>
      <c r="AE57" s="1" t="s">
        <v>56</v>
      </c>
      <c r="AF57" s="26" t="s">
        <v>216</v>
      </c>
      <c r="AG57" s="26" t="s">
        <v>505</v>
      </c>
      <c r="AH57" s="26" t="s">
        <v>504</v>
      </c>
      <c r="AI57" s="7" t="s">
        <v>509</v>
      </c>
      <c r="AJ57" s="203" t="s">
        <v>956</v>
      </c>
      <c r="AK57" s="8" t="s">
        <v>65</v>
      </c>
      <c r="AL57" s="8" t="s">
        <v>65</v>
      </c>
      <c r="AM57" s="8" t="s">
        <v>65</v>
      </c>
      <c r="AP57" s="212">
        <v>53</v>
      </c>
      <c r="AQ57" s="213" t="str">
        <f>_xlfn.CONCAT(AP57,"_","TR","_",Tab_4.DISP_INEX[[#This Row],[FORNECEDOR]])</f>
        <v>53_TR_MODERNPMO GESTAO E TECNOLOGIA LTDA GESTAO E TECNOLOGIA LTDA</v>
      </c>
      <c r="AR57" s="213" t="str">
        <f>_xlfn.CONCAT(AP57,"_","JUST","_",Tab_4.DISP_INEX[[#This Row],[FORNECEDOR]])</f>
        <v>53_JUST_MODERNPMO GESTAO E TECNOLOGIA LTDA GESTAO E TECNOLOGIA LTDA</v>
      </c>
      <c r="AS57" s="213" t="str">
        <f>_xlfn.CONCAT(AP57,"_","RAT","_",Tab_4.DISP_INEX[[#This Row],[FORNECEDOR]])</f>
        <v>53_RAT_MODERNPMO GESTAO E TECNOLOGIA LTDA GESTAO E TECNOLOGIA LTDA</v>
      </c>
    </row>
    <row r="58" spans="2:45" ht="75" x14ac:dyDescent="0.25">
      <c r="B58" s="25">
        <v>45756</v>
      </c>
      <c r="C58" s="25" t="s">
        <v>56</v>
      </c>
      <c r="D58" s="26" t="s">
        <v>53</v>
      </c>
      <c r="E58" s="7" t="s">
        <v>53</v>
      </c>
      <c r="F58" s="7" t="s">
        <v>459</v>
      </c>
      <c r="G58" s="26" t="s">
        <v>45</v>
      </c>
      <c r="H58" s="26" t="s">
        <v>185</v>
      </c>
      <c r="I58" s="7" t="s">
        <v>28</v>
      </c>
      <c r="J58" s="26" t="s">
        <v>460</v>
      </c>
      <c r="K58" s="22" t="s">
        <v>840</v>
      </c>
      <c r="L58" s="26" t="s">
        <v>68</v>
      </c>
      <c r="M58" s="17" t="s">
        <v>507</v>
      </c>
      <c r="N58" s="17" t="s">
        <v>466</v>
      </c>
      <c r="O58" s="27" t="s">
        <v>449</v>
      </c>
      <c r="P58" s="27" t="s">
        <v>486</v>
      </c>
      <c r="Q58" s="27" t="s">
        <v>486</v>
      </c>
      <c r="R58" s="27" t="s">
        <v>486</v>
      </c>
      <c r="S58" s="24">
        <v>45762</v>
      </c>
      <c r="T58" s="32">
        <v>45763</v>
      </c>
      <c r="U58" s="19">
        <v>45763</v>
      </c>
      <c r="V58" s="154">
        <v>7180.8</v>
      </c>
      <c r="W58" s="27" t="s">
        <v>487</v>
      </c>
      <c r="X58" s="27" t="s">
        <v>482</v>
      </c>
      <c r="Y58" s="27" t="s">
        <v>15</v>
      </c>
      <c r="Z58" s="47">
        <v>10015603</v>
      </c>
      <c r="AA58" s="47">
        <v>10004237</v>
      </c>
      <c r="AB58" s="47"/>
      <c r="AC58" s="25">
        <v>45761</v>
      </c>
      <c r="AD58" s="26">
        <f>NETWORKDAYS.INTL(Tab_4.DISP_INEX[[#This Row],[DATA RECEBIDO]],Tab_4.DISP_INEX[[#This Row],[DATA 
FINALIZADO]],1,Lista!$U$3:$U$15)</f>
        <v>4</v>
      </c>
      <c r="AE58" s="1" t="s">
        <v>56</v>
      </c>
      <c r="AF58" s="26" t="s">
        <v>216</v>
      </c>
      <c r="AG58" s="26" t="s">
        <v>506</v>
      </c>
      <c r="AH58" s="26" t="s">
        <v>508</v>
      </c>
      <c r="AI58" s="7" t="s">
        <v>509</v>
      </c>
      <c r="AJ58" s="203" t="s">
        <v>957</v>
      </c>
      <c r="AK58" s="8" t="s">
        <v>65</v>
      </c>
      <c r="AL58" s="8" t="s">
        <v>65</v>
      </c>
      <c r="AM58" s="8" t="s">
        <v>65</v>
      </c>
      <c r="AP58" s="212">
        <v>54</v>
      </c>
      <c r="AQ58" s="213" t="str">
        <f>_xlfn.CONCAT(AP58,"_","TR","_",Tab_4.DISP_INEX[[#This Row],[FORNECEDOR]])</f>
        <v>54_TR_A. F. Comércio de Livros e Cursos Especializados Ltda</v>
      </c>
      <c r="AR58" s="213" t="str">
        <f>_xlfn.CONCAT(AP58,"_","JUST","_",Tab_4.DISP_INEX[[#This Row],[FORNECEDOR]])</f>
        <v>54_JUST_A. F. Comércio de Livros e Cursos Especializados Ltda</v>
      </c>
      <c r="AS58" s="213" t="str">
        <f>_xlfn.CONCAT(AP58,"_","RAT","_",Tab_4.DISP_INEX[[#This Row],[FORNECEDOR]])</f>
        <v>54_RAT_A. F. Comércio de Livros e Cursos Especializados Ltda</v>
      </c>
    </row>
    <row r="59" spans="2:45" ht="90" x14ac:dyDescent="0.25">
      <c r="B59" s="25">
        <v>45749</v>
      </c>
      <c r="C59" s="25" t="s">
        <v>56</v>
      </c>
      <c r="D59" s="26" t="s">
        <v>53</v>
      </c>
      <c r="E59" s="7" t="s">
        <v>53</v>
      </c>
      <c r="F59" s="7" t="s">
        <v>345</v>
      </c>
      <c r="G59" s="7" t="s">
        <v>45</v>
      </c>
      <c r="H59" s="26" t="s">
        <v>196</v>
      </c>
      <c r="I59" s="7" t="s">
        <v>28</v>
      </c>
      <c r="J59" s="26" t="s">
        <v>346</v>
      </c>
      <c r="K59" s="22" t="s">
        <v>840</v>
      </c>
      <c r="L59" s="26" t="s">
        <v>68</v>
      </c>
      <c r="M59" s="27" t="s">
        <v>297</v>
      </c>
      <c r="N59" s="27" t="s">
        <v>347</v>
      </c>
      <c r="O59" s="17" t="s">
        <v>449</v>
      </c>
      <c r="P59" s="27" t="s">
        <v>431</v>
      </c>
      <c r="Q59" s="27" t="s">
        <v>431</v>
      </c>
      <c r="R59" s="17" t="s">
        <v>431</v>
      </c>
      <c r="S59" s="24">
        <v>45751</v>
      </c>
      <c r="T59" s="32">
        <v>45751</v>
      </c>
      <c r="U59" s="19">
        <v>46116</v>
      </c>
      <c r="V59" s="154">
        <v>15546</v>
      </c>
      <c r="W59" s="27" t="s">
        <v>454</v>
      </c>
      <c r="X59" s="27" t="s">
        <v>453</v>
      </c>
      <c r="Y59" s="27" t="s">
        <v>15</v>
      </c>
      <c r="Z59" s="47">
        <v>10015623</v>
      </c>
      <c r="AA59" s="47">
        <v>10001269</v>
      </c>
      <c r="AB59" s="47"/>
      <c r="AC59" s="25">
        <v>45749</v>
      </c>
      <c r="AD59" s="26">
        <f>NETWORKDAYS.INTL(Tab_4.DISP_INEX[[#This Row],[DATA RECEBIDO]],Tab_4.DISP_INEX[[#This Row],[DATA 
FINALIZADO]],1,Lista!$U$3:$U$15)</f>
        <v>1</v>
      </c>
      <c r="AE59" s="1" t="s">
        <v>56</v>
      </c>
      <c r="AF59" s="7" t="s">
        <v>629</v>
      </c>
      <c r="AG59" s="26" t="s">
        <v>492</v>
      </c>
      <c r="AH59" s="26" t="s">
        <v>491</v>
      </c>
      <c r="AI59" s="7" t="s">
        <v>509</v>
      </c>
      <c r="AJ59" s="203" t="s">
        <v>953</v>
      </c>
      <c r="AK59" s="8" t="s">
        <v>65</v>
      </c>
      <c r="AL59" s="8" t="s">
        <v>65</v>
      </c>
      <c r="AM59" s="8" t="s">
        <v>65</v>
      </c>
      <c r="AP59" s="212">
        <v>55</v>
      </c>
      <c r="AQ59" s="213" t="str">
        <f>_xlfn.CONCAT(AP59,"_","TR","_",Tab_4.DISP_INEX[[#This Row],[FORNECEDOR]])</f>
        <v>55_TR_Zênite Informação e Consultoria S/A</v>
      </c>
      <c r="AR59" s="213" t="str">
        <f>_xlfn.CONCAT(AP59,"_","JUST","_",Tab_4.DISP_INEX[[#This Row],[FORNECEDOR]])</f>
        <v>55_JUST_Zênite Informação e Consultoria S/A</v>
      </c>
      <c r="AS59" s="213" t="str">
        <f>_xlfn.CONCAT(AP59,"_","RAT","_",Tab_4.DISP_INEX[[#This Row],[FORNECEDOR]])</f>
        <v>55_RAT_Zênite Informação e Consultoria S/A</v>
      </c>
    </row>
    <row r="60" spans="2:45" ht="75" x14ac:dyDescent="0.25">
      <c r="B60" s="25">
        <v>45785</v>
      </c>
      <c r="C60" s="25" t="s">
        <v>56</v>
      </c>
      <c r="D60" s="26" t="s">
        <v>53</v>
      </c>
      <c r="E60" s="7" t="s">
        <v>53</v>
      </c>
      <c r="F60" s="7" t="s">
        <v>525</v>
      </c>
      <c r="G60" s="26" t="s">
        <v>45</v>
      </c>
      <c r="H60" s="26" t="s">
        <v>185</v>
      </c>
      <c r="I60" s="7" t="s">
        <v>28</v>
      </c>
      <c r="J60" s="26" t="s">
        <v>526</v>
      </c>
      <c r="K60" s="22" t="s">
        <v>840</v>
      </c>
      <c r="L60" s="26" t="s">
        <v>68</v>
      </c>
      <c r="M60" s="17" t="s">
        <v>507</v>
      </c>
      <c r="N60" s="17" t="s">
        <v>527</v>
      </c>
      <c r="O60" s="27" t="s">
        <v>449</v>
      </c>
      <c r="P60" s="17" t="s">
        <v>528</v>
      </c>
      <c r="Q60" s="17" t="s">
        <v>528</v>
      </c>
      <c r="R60" s="17" t="s">
        <v>528</v>
      </c>
      <c r="S60" s="24">
        <v>45786</v>
      </c>
      <c r="T60" s="32">
        <v>45786</v>
      </c>
      <c r="U60" s="19">
        <v>45786</v>
      </c>
      <c r="V60" s="154">
        <v>19000</v>
      </c>
      <c r="W60" s="17" t="s">
        <v>529</v>
      </c>
      <c r="X60" s="27" t="s">
        <v>482</v>
      </c>
      <c r="Y60" s="17" t="s">
        <v>15</v>
      </c>
      <c r="Z60" s="47">
        <v>10015687</v>
      </c>
      <c r="AA60" s="45">
        <v>10004237</v>
      </c>
      <c r="AB60" s="47"/>
      <c r="AC60" s="25">
        <v>45785</v>
      </c>
      <c r="AD60" s="26">
        <f>NETWORKDAYS.INTL(Tab_4.DISP_INEX[[#This Row],[DATA RECEBIDO]],Tab_4.DISP_INEX[[#This Row],[DATA 
FINALIZADO]],1,Lista!$U$3:$U$15)</f>
        <v>1</v>
      </c>
      <c r="AE60" s="1" t="s">
        <v>56</v>
      </c>
      <c r="AF60" s="7" t="s">
        <v>216</v>
      </c>
      <c r="AG60" s="62" t="s">
        <v>554</v>
      </c>
      <c r="AH60" s="7" t="s">
        <v>551</v>
      </c>
      <c r="AI60" s="7" t="s">
        <v>509</v>
      </c>
      <c r="AJ60" s="203" t="s">
        <v>958</v>
      </c>
      <c r="AK60" s="8" t="s">
        <v>65</v>
      </c>
      <c r="AL60" s="8" t="s">
        <v>65</v>
      </c>
      <c r="AM60" s="8" t="s">
        <v>65</v>
      </c>
      <c r="AP60" s="212">
        <v>56</v>
      </c>
      <c r="AQ60" s="213" t="str">
        <f>_xlfn.CONCAT(AP60,"_","TR","_",Tab_4.DISP_INEX[[#This Row],[FORNECEDOR]])</f>
        <v>56_TR_A. F. Comércio de Livros e Cursos Especializados Ltda</v>
      </c>
      <c r="AR60" s="213" t="str">
        <f>_xlfn.CONCAT(AP60,"_","JUST","_",Tab_4.DISP_INEX[[#This Row],[FORNECEDOR]])</f>
        <v>56_JUST_A. F. Comércio de Livros e Cursos Especializados Ltda</v>
      </c>
      <c r="AS60" s="213" t="str">
        <f>_xlfn.CONCAT(AP60,"_","RAT","_",Tab_4.DISP_INEX[[#This Row],[FORNECEDOR]])</f>
        <v>56_RAT_A. F. Comércio de Livros e Cursos Especializados Ltda</v>
      </c>
    </row>
    <row r="61" spans="2:45" ht="75" x14ac:dyDescent="0.25">
      <c r="B61" s="11">
        <v>45671</v>
      </c>
      <c r="C61" s="11" t="s">
        <v>66</v>
      </c>
      <c r="D61" s="7" t="s">
        <v>53</v>
      </c>
      <c r="E61" s="7" t="s">
        <v>53</v>
      </c>
      <c r="F61" s="7" t="s">
        <v>308</v>
      </c>
      <c r="G61" s="7" t="s">
        <v>45</v>
      </c>
      <c r="H61" s="7" t="s">
        <v>214</v>
      </c>
      <c r="I61" s="7" t="s">
        <v>28</v>
      </c>
      <c r="J61" s="7" t="s">
        <v>309</v>
      </c>
      <c r="K61" s="7" t="s">
        <v>845</v>
      </c>
      <c r="L61" s="7" t="s">
        <v>68</v>
      </c>
      <c r="M61" s="17" t="s">
        <v>310</v>
      </c>
      <c r="N61" s="17" t="s">
        <v>311</v>
      </c>
      <c r="O61" s="17" t="s">
        <v>442</v>
      </c>
      <c r="P61" s="17" t="s">
        <v>312</v>
      </c>
      <c r="Q61" s="17" t="s">
        <v>313</v>
      </c>
      <c r="R61" s="17" t="s">
        <v>314</v>
      </c>
      <c r="S61" s="24">
        <v>45734</v>
      </c>
      <c r="T61" s="19">
        <v>45748</v>
      </c>
      <c r="U61" s="19">
        <v>46843</v>
      </c>
      <c r="V61" s="151">
        <v>29500</v>
      </c>
      <c r="W61" s="17" t="s">
        <v>595</v>
      </c>
      <c r="X61" s="17" t="s">
        <v>315</v>
      </c>
      <c r="Y61" s="17" t="s">
        <v>15</v>
      </c>
      <c r="Z61" s="45">
        <v>10015424</v>
      </c>
      <c r="AA61" s="45"/>
      <c r="AB61" s="45"/>
      <c r="AC61" s="11">
        <v>45686</v>
      </c>
      <c r="AD61" s="7">
        <f>NETWORKDAYS.INTL(Tab_4.DISP_INEX[[#This Row],[DATA RECEBIDO]],Tab_4.DISP_INEX[[#This Row],[DATA 
FINALIZADO]],1,Lista!$U$3:$U$15)</f>
        <v>12</v>
      </c>
      <c r="AF61" s="7"/>
      <c r="AG61" s="7" t="s">
        <v>555</v>
      </c>
      <c r="AH61" s="7" t="s">
        <v>556</v>
      </c>
      <c r="AI61" s="7" t="s">
        <v>509</v>
      </c>
      <c r="AJ61" s="203" t="s">
        <v>984</v>
      </c>
      <c r="AK61" s="8" t="s">
        <v>65</v>
      </c>
      <c r="AL61" s="8" t="s">
        <v>65</v>
      </c>
      <c r="AM61" s="8" t="s">
        <v>65</v>
      </c>
      <c r="AP61" s="212">
        <v>57</v>
      </c>
      <c r="AQ61" s="213" t="str">
        <f>_xlfn.CONCAT(AP61,"_","TR","_",Tab_4.DISP_INEX[[#This Row],[FORNECEDOR]])</f>
        <v>57_TR_LEGIS JET LTDA</v>
      </c>
      <c r="AR61" s="213" t="str">
        <f>_xlfn.CONCAT(AP61,"_","JUST","_",Tab_4.DISP_INEX[[#This Row],[FORNECEDOR]])</f>
        <v>57_JUST_LEGIS JET LTDA</v>
      </c>
      <c r="AS61" s="213" t="str">
        <f>_xlfn.CONCAT(AP61,"_","RAT","_",Tab_4.DISP_INEX[[#This Row],[FORNECEDOR]])</f>
        <v>57_RAT_LEGIS JET LTDA</v>
      </c>
    </row>
    <row r="62" spans="2:45" ht="105" x14ac:dyDescent="0.25">
      <c r="B62" s="11">
        <v>45754</v>
      </c>
      <c r="C62" s="11" t="s">
        <v>57</v>
      </c>
      <c r="D62" s="7" t="s">
        <v>53</v>
      </c>
      <c r="E62" s="7" t="s">
        <v>53</v>
      </c>
      <c r="F62" s="7" t="s">
        <v>433</v>
      </c>
      <c r="G62" s="7" t="s">
        <v>47</v>
      </c>
      <c r="H62" s="7" t="s">
        <v>221</v>
      </c>
      <c r="I62" s="7" t="s">
        <v>28</v>
      </c>
      <c r="J62" s="7" t="s">
        <v>467</v>
      </c>
      <c r="K62" s="22" t="s">
        <v>840</v>
      </c>
      <c r="L62" s="7" t="s">
        <v>68</v>
      </c>
      <c r="M62" s="17" t="s">
        <v>468</v>
      </c>
      <c r="N62" s="17" t="s">
        <v>336</v>
      </c>
      <c r="O62" s="17" t="s">
        <v>445</v>
      </c>
      <c r="P62" s="17" t="s">
        <v>483</v>
      </c>
      <c r="Q62" s="17" t="s">
        <v>942</v>
      </c>
      <c r="R62" s="17" t="s">
        <v>488</v>
      </c>
      <c r="S62" s="24">
        <v>45764</v>
      </c>
      <c r="T62" s="19">
        <v>45764</v>
      </c>
      <c r="U62" s="19">
        <v>45786</v>
      </c>
      <c r="V62" s="151">
        <v>180470.65</v>
      </c>
      <c r="W62" s="17" t="s">
        <v>612</v>
      </c>
      <c r="X62" s="17" t="s">
        <v>489</v>
      </c>
      <c r="Y62" s="17" t="s">
        <v>15</v>
      </c>
      <c r="Z62" s="45">
        <v>10015625</v>
      </c>
      <c r="AA62" s="45"/>
      <c r="AB62" s="45"/>
      <c r="AC62" s="11">
        <f ca="1">TODAY()</f>
        <v>46190</v>
      </c>
      <c r="AD62" s="7">
        <f ca="1">NETWORKDAYS.INTL(Tab_4.DISP_INEX[[#This Row],[DATA RECEBIDO]],Tab_4.DISP_INEX[[#This Row],[DATA 
FINALIZADO]],1,Lista!$U$3:$U$15)</f>
        <v>313</v>
      </c>
      <c r="AF62" s="7"/>
      <c r="AG62" s="26" t="s">
        <v>500</v>
      </c>
      <c r="AH62" s="26" t="s">
        <v>501</v>
      </c>
      <c r="AI62" s="7" t="s">
        <v>509</v>
      </c>
      <c r="AJ62" s="203" t="s">
        <v>954</v>
      </c>
      <c r="AK62" s="8" t="s">
        <v>65</v>
      </c>
      <c r="AL62" s="8" t="s">
        <v>65</v>
      </c>
      <c r="AM62" s="8" t="s">
        <v>65</v>
      </c>
      <c r="AP62" s="212">
        <v>58</v>
      </c>
      <c r="AQ62" s="213" t="str">
        <f>_xlfn.CONCAT(AP62,"_","TR","_",Tab_4.DISP_INEX[[#This Row],[FORNECEDOR]])</f>
        <v>58_TR_ABRINT</v>
      </c>
      <c r="AR62" s="213" t="str">
        <f>_xlfn.CONCAT(AP62,"_","JUST","_",Tab_4.DISP_INEX[[#This Row],[FORNECEDOR]])</f>
        <v>58_JUST_ABRINT</v>
      </c>
      <c r="AS62" s="213" t="str">
        <f>_xlfn.CONCAT(AP62,"_","RAT","_",Tab_4.DISP_INEX[[#This Row],[FORNECEDOR]])</f>
        <v>58_RAT_ABRINT</v>
      </c>
    </row>
    <row r="63" spans="2:45" s="8" customFormat="1" ht="75" x14ac:dyDescent="0.25">
      <c r="B63" s="11">
        <v>45743</v>
      </c>
      <c r="C63" s="11" t="s">
        <v>55</v>
      </c>
      <c r="D63" s="7" t="s">
        <v>53</v>
      </c>
      <c r="E63" s="7" t="s">
        <v>53</v>
      </c>
      <c r="F63" s="7" t="s">
        <v>519</v>
      </c>
      <c r="G63" s="26" t="s">
        <v>45</v>
      </c>
      <c r="H63" s="7" t="s">
        <v>776</v>
      </c>
      <c r="I63" s="7" t="s">
        <v>28</v>
      </c>
      <c r="J63" s="7" t="s">
        <v>777</v>
      </c>
      <c r="K63" s="22" t="s">
        <v>840</v>
      </c>
      <c r="L63" s="7" t="s">
        <v>68</v>
      </c>
      <c r="M63" s="17" t="s">
        <v>520</v>
      </c>
      <c r="N63" s="17" t="s">
        <v>521</v>
      </c>
      <c r="O63" s="17" t="s">
        <v>442</v>
      </c>
      <c r="P63" s="17" t="s">
        <v>778</v>
      </c>
      <c r="Q63" s="17" t="s">
        <v>522</v>
      </c>
      <c r="R63" s="17" t="s">
        <v>522</v>
      </c>
      <c r="S63" s="24">
        <v>45763</v>
      </c>
      <c r="T63" s="19">
        <v>45763</v>
      </c>
      <c r="U63" s="19">
        <v>47589</v>
      </c>
      <c r="V63" s="151">
        <v>5900000</v>
      </c>
      <c r="W63" s="17" t="s">
        <v>779</v>
      </c>
      <c r="X63" s="17" t="s">
        <v>780</v>
      </c>
      <c r="Y63" s="17" t="s">
        <v>15</v>
      </c>
      <c r="Z63" s="45">
        <v>10015666</v>
      </c>
      <c r="AA63" s="45">
        <v>10004228</v>
      </c>
      <c r="AB63" s="45"/>
      <c r="AC63" s="11">
        <f t="shared" ref="AC63" ca="1" si="2">TODAY()</f>
        <v>46190</v>
      </c>
      <c r="AD63" s="7">
        <f ca="1">NETWORKDAYS.INTL(Tab_4.DISP_INEX[[#This Row],[DATA RECEBIDO]],Tab_4.DISP_INEX[[#This Row],[DATA 
FINALIZADO]],1,Lista!$U$3:$U$15)</f>
        <v>320</v>
      </c>
      <c r="AF63" s="7"/>
      <c r="AG63" s="7" t="s">
        <v>523</v>
      </c>
      <c r="AH63" s="7" t="s">
        <v>524</v>
      </c>
      <c r="AI63" s="7" t="s">
        <v>509</v>
      </c>
      <c r="AJ63" s="203" t="s">
        <v>985</v>
      </c>
      <c r="AK63" s="8" t="s">
        <v>65</v>
      </c>
      <c r="AL63" s="8" t="s">
        <v>65</v>
      </c>
      <c r="AM63" s="8" t="s">
        <v>65</v>
      </c>
      <c r="AP63" s="212">
        <v>59</v>
      </c>
      <c r="AQ63" s="213" t="str">
        <f>_xlfn.CONCAT(AP63,"_","TR","_",Tab_4.DISP_INEX[[#This Row],[FORNECEDOR]])</f>
        <v>59_TR_SACHA CALMON - MISABEL DERZI, CONSULTORES E ADVOGADOS</v>
      </c>
      <c r="AR63" s="213" t="str">
        <f>_xlfn.CONCAT(AP63,"_","JUST","_",Tab_4.DISP_INEX[[#This Row],[FORNECEDOR]])</f>
        <v>59_JUST_SACHA CALMON - MISABEL DERZI, CONSULTORES E ADVOGADOS</v>
      </c>
      <c r="AS63" s="213" t="str">
        <f>_xlfn.CONCAT(AP63,"_","RAT","_",Tab_4.DISP_INEX[[#This Row],[FORNECEDOR]])</f>
        <v>59_RAT_SACHA CALMON - MISABEL DERZI, CONSULTORES E ADVOGADOS</v>
      </c>
    </row>
    <row r="64" spans="2:45" ht="120" x14ac:dyDescent="0.25">
      <c r="B64" s="11">
        <v>45796</v>
      </c>
      <c r="C64" s="11" t="s">
        <v>56</v>
      </c>
      <c r="D64" s="7" t="s">
        <v>53</v>
      </c>
      <c r="E64" s="7" t="s">
        <v>53</v>
      </c>
      <c r="F64" s="7" t="s">
        <v>531</v>
      </c>
      <c r="G64" s="7" t="s">
        <v>45</v>
      </c>
      <c r="H64" s="7" t="s">
        <v>185</v>
      </c>
      <c r="I64" s="7" t="s">
        <v>28</v>
      </c>
      <c r="J64" s="7" t="s">
        <v>532</v>
      </c>
      <c r="K64" s="22" t="s">
        <v>840</v>
      </c>
      <c r="L64" s="7" t="s">
        <v>68</v>
      </c>
      <c r="M64" s="17" t="s">
        <v>533</v>
      </c>
      <c r="N64" s="17" t="s">
        <v>534</v>
      </c>
      <c r="O64" s="17" t="s">
        <v>449</v>
      </c>
      <c r="P64" s="17" t="s">
        <v>540</v>
      </c>
      <c r="Q64" s="17" t="s">
        <v>540</v>
      </c>
      <c r="R64" s="17" t="s">
        <v>540</v>
      </c>
      <c r="S64" s="24">
        <v>45800</v>
      </c>
      <c r="T64" s="19">
        <v>45803</v>
      </c>
      <c r="U64" s="19">
        <v>45803</v>
      </c>
      <c r="V64" s="151">
        <v>8250</v>
      </c>
      <c r="W64" s="17" t="s">
        <v>541</v>
      </c>
      <c r="X64" s="27" t="s">
        <v>453</v>
      </c>
      <c r="Y64" s="17" t="s">
        <v>15</v>
      </c>
      <c r="Z64" s="45">
        <v>10015696</v>
      </c>
      <c r="AA64" s="45">
        <v>10004243</v>
      </c>
      <c r="AB64" s="45"/>
      <c r="AC64" s="11">
        <v>45796</v>
      </c>
      <c r="AD64" s="7">
        <f>NETWORKDAYS.INTL(Tab_4.DISP_INEX[[#This Row],[DATA RECEBIDO]],Tab_4.DISP_INEX[[#This Row],[DATA 
FINALIZADO]],1,Lista!$U$3:$U$15)</f>
        <v>1</v>
      </c>
      <c r="AE64" s="1" t="s">
        <v>56</v>
      </c>
      <c r="AF64" s="7" t="s">
        <v>216</v>
      </c>
      <c r="AG64" s="7" t="s">
        <v>553</v>
      </c>
      <c r="AH64" s="7" t="s">
        <v>552</v>
      </c>
      <c r="AI64" s="7" t="s">
        <v>509</v>
      </c>
      <c r="AJ64" s="203" t="s">
        <v>959</v>
      </c>
      <c r="AK64" s="8" t="s">
        <v>65</v>
      </c>
      <c r="AL64" s="8" t="s">
        <v>65</v>
      </c>
      <c r="AM64" s="8" t="s">
        <v>65</v>
      </c>
      <c r="AP64" s="212">
        <v>60</v>
      </c>
      <c r="AQ64" s="213" t="str">
        <f>_xlfn.CONCAT(AP64,"_","TR","_",Tab_4.DISP_INEX[[#This Row],[FORNECEDOR]])</f>
        <v>60_TR_3R CAPACITA COMERCIO DE MATERIAIS DIDATICOS E SERVICOS EDUCACIONAIS LTDA</v>
      </c>
      <c r="AR64" s="213" t="str">
        <f>_xlfn.CONCAT(AP64,"_","JUST","_",Tab_4.DISP_INEX[[#This Row],[FORNECEDOR]])</f>
        <v>60_JUST_3R CAPACITA COMERCIO DE MATERIAIS DIDATICOS E SERVICOS EDUCACIONAIS LTDA</v>
      </c>
      <c r="AS64" s="213" t="str">
        <f>_xlfn.CONCAT(AP64,"_","RAT","_",Tab_4.DISP_INEX[[#This Row],[FORNECEDOR]])</f>
        <v>60_RAT_3R CAPACITA COMERCIO DE MATERIAIS DIDATICOS E SERVICOS EDUCACIONAIS LTDA</v>
      </c>
    </row>
    <row r="65" spans="2:45" ht="135" x14ac:dyDescent="0.25">
      <c r="B65" s="56">
        <v>45810</v>
      </c>
      <c r="C65" s="56" t="s">
        <v>56</v>
      </c>
      <c r="D65" s="57" t="s">
        <v>53</v>
      </c>
      <c r="E65" s="7" t="s">
        <v>53</v>
      </c>
      <c r="F65" s="57" t="s">
        <v>542</v>
      </c>
      <c r="G65" s="57" t="s">
        <v>45</v>
      </c>
      <c r="H65" s="57" t="s">
        <v>185</v>
      </c>
      <c r="I65" s="57" t="s">
        <v>28</v>
      </c>
      <c r="J65" s="57" t="s">
        <v>543</v>
      </c>
      <c r="K65" s="22" t="s">
        <v>840</v>
      </c>
      <c r="L65" s="57" t="s">
        <v>68</v>
      </c>
      <c r="M65" s="58" t="s">
        <v>545</v>
      </c>
      <c r="N65" s="58" t="s">
        <v>544</v>
      </c>
      <c r="O65" s="58" t="s">
        <v>449</v>
      </c>
      <c r="P65" s="17" t="s">
        <v>584</v>
      </c>
      <c r="Q65" s="17" t="s">
        <v>584</v>
      </c>
      <c r="R65" s="17" t="s">
        <v>584</v>
      </c>
      <c r="S65" s="24">
        <v>45813</v>
      </c>
      <c r="T65" s="61">
        <v>45817</v>
      </c>
      <c r="U65" s="19">
        <v>45817</v>
      </c>
      <c r="V65" s="155">
        <v>10545</v>
      </c>
      <c r="W65" s="17" t="s">
        <v>566</v>
      </c>
      <c r="X65" s="17" t="s">
        <v>577</v>
      </c>
      <c r="Y65" s="17" t="s">
        <v>15</v>
      </c>
      <c r="Z65" s="59">
        <v>10015733</v>
      </c>
      <c r="AA65" s="48">
        <v>10004257</v>
      </c>
      <c r="AB65" s="48"/>
      <c r="AC65" s="56">
        <v>45810</v>
      </c>
      <c r="AD65" s="57">
        <f>NETWORKDAYS.INTL(Tab_4.DISP_INEX[[#This Row],[DATA RECEBIDO]],Tab_4.DISP_INEX[[#This Row],[DATA 
FINALIZADO]],1,Lista!$U$3:$U$15)</f>
        <v>1</v>
      </c>
      <c r="AE65" s="1" t="s">
        <v>56</v>
      </c>
      <c r="AF65" s="7" t="s">
        <v>216</v>
      </c>
      <c r="AG65" s="7" t="s">
        <v>579</v>
      </c>
      <c r="AH65" s="7" t="s">
        <v>583</v>
      </c>
      <c r="AI65" s="7" t="s">
        <v>509</v>
      </c>
      <c r="AJ65" s="203" t="s">
        <v>960</v>
      </c>
      <c r="AK65" s="8" t="s">
        <v>65</v>
      </c>
      <c r="AL65" s="8" t="s">
        <v>65</v>
      </c>
      <c r="AM65" s="8" t="s">
        <v>65</v>
      </c>
      <c r="AP65" s="212">
        <v>61</v>
      </c>
      <c r="AQ65" s="213" t="str">
        <f>_xlfn.CONCAT(AP65,"_","TR","_",Tab_4.DISP_INEX[[#This Row],[FORNECEDOR]])</f>
        <v>61_TR_QSP - CENTRO DA QUALIDADE, SEGURANCA E PRODUTIVIDADE PARA O BRASIL E AMERICA LATINA</v>
      </c>
      <c r="AR65" s="213" t="str">
        <f>_xlfn.CONCAT(AP65,"_","JUST","_",Tab_4.DISP_INEX[[#This Row],[FORNECEDOR]])</f>
        <v>61_JUST_QSP - CENTRO DA QUALIDADE, SEGURANCA E PRODUTIVIDADE PARA O BRASIL E AMERICA LATINA</v>
      </c>
      <c r="AS65" s="213" t="str">
        <f>_xlfn.CONCAT(AP65,"_","RAT","_",Tab_4.DISP_INEX[[#This Row],[FORNECEDOR]])</f>
        <v>61_RAT_QSP - CENTRO DA QUALIDADE, SEGURANCA E PRODUTIVIDADE PARA O BRASIL E AMERICA LATINA</v>
      </c>
    </row>
    <row r="66" spans="2:45" ht="75" x14ac:dyDescent="0.25">
      <c r="B66" s="56">
        <v>45807</v>
      </c>
      <c r="C66" s="56" t="s">
        <v>56</v>
      </c>
      <c r="D66" s="57" t="s">
        <v>53</v>
      </c>
      <c r="E66" s="7" t="s">
        <v>53</v>
      </c>
      <c r="F66" s="7" t="s">
        <v>547</v>
      </c>
      <c r="G66" s="57" t="s">
        <v>45</v>
      </c>
      <c r="H66" s="57" t="s">
        <v>185</v>
      </c>
      <c r="I66" s="57" t="s">
        <v>28</v>
      </c>
      <c r="J66" s="7" t="s">
        <v>548</v>
      </c>
      <c r="K66" s="22" t="s">
        <v>840</v>
      </c>
      <c r="L66" s="57" t="s">
        <v>68</v>
      </c>
      <c r="M66" s="17" t="s">
        <v>549</v>
      </c>
      <c r="N66" s="17" t="s">
        <v>550</v>
      </c>
      <c r="O66" s="58" t="s">
        <v>449</v>
      </c>
      <c r="P66" s="17" t="s">
        <v>585</v>
      </c>
      <c r="Q66" s="17" t="s">
        <v>585</v>
      </c>
      <c r="R66" s="17" t="s">
        <v>585</v>
      </c>
      <c r="S66" s="24">
        <v>45817</v>
      </c>
      <c r="T66" s="61">
        <v>45817</v>
      </c>
      <c r="U66" s="19">
        <v>45818</v>
      </c>
      <c r="V66" s="155">
        <v>14700</v>
      </c>
      <c r="W66" s="17" t="s">
        <v>567</v>
      </c>
      <c r="X66" s="17" t="s">
        <v>577</v>
      </c>
      <c r="Y66" s="17" t="s">
        <v>15</v>
      </c>
      <c r="Z66" s="59">
        <v>10015740</v>
      </c>
      <c r="AA66" s="48">
        <v>10003939</v>
      </c>
      <c r="AB66" s="48"/>
      <c r="AC66" s="56">
        <v>45813</v>
      </c>
      <c r="AD66" s="57">
        <f>NETWORKDAYS.INTL(Tab_4.DISP_INEX[[#This Row],[DATA RECEBIDO]],Tab_4.DISP_INEX[[#This Row],[DATA 
FINALIZADO]],1,Lista!$U$3:$U$15)</f>
        <v>5</v>
      </c>
      <c r="AE66" s="1" t="s">
        <v>56</v>
      </c>
      <c r="AF66" s="7" t="s">
        <v>628</v>
      </c>
      <c r="AG66" s="7" t="s">
        <v>581</v>
      </c>
      <c r="AH66" s="7" t="s">
        <v>580</v>
      </c>
      <c r="AI66" s="7" t="s">
        <v>509</v>
      </c>
      <c r="AJ66" s="203" t="s">
        <v>961</v>
      </c>
      <c r="AK66" s="8" t="s">
        <v>65</v>
      </c>
      <c r="AL66" s="8" t="s">
        <v>65</v>
      </c>
      <c r="AM66" s="8" t="s">
        <v>65</v>
      </c>
      <c r="AP66" s="212">
        <v>62</v>
      </c>
      <c r="AQ66" s="213" t="str">
        <f>_xlfn.CONCAT(AP66,"_","TR","_",Tab_4.DISP_INEX[[#This Row],[FORNECEDOR]])</f>
        <v>62_TR_ABRH- Associação Brasileira de Recursos Humanos</v>
      </c>
      <c r="AR66" s="213" t="str">
        <f>_xlfn.CONCAT(AP66,"_","JUST","_",Tab_4.DISP_INEX[[#This Row],[FORNECEDOR]])</f>
        <v>62_JUST_ABRH- Associação Brasileira de Recursos Humanos</v>
      </c>
      <c r="AS66" s="213" t="str">
        <f>_xlfn.CONCAT(AP66,"_","RAT","_",Tab_4.DISP_INEX[[#This Row],[FORNECEDOR]])</f>
        <v>62_RAT_ABRH- Associação Brasileira de Recursos Humanos</v>
      </c>
    </row>
    <row r="67" spans="2:45" ht="120" x14ac:dyDescent="0.25">
      <c r="B67" s="63">
        <v>45841</v>
      </c>
      <c r="C67" s="56" t="s">
        <v>56</v>
      </c>
      <c r="D67" s="64" t="s">
        <v>53</v>
      </c>
      <c r="E67" s="7" t="s">
        <v>53</v>
      </c>
      <c r="F67" s="7" t="s">
        <v>563</v>
      </c>
      <c r="G67" s="57" t="s">
        <v>45</v>
      </c>
      <c r="H67" s="64" t="s">
        <v>221</v>
      </c>
      <c r="I67" s="64" t="s">
        <v>28</v>
      </c>
      <c r="J67" s="64" t="s">
        <v>564</v>
      </c>
      <c r="K67" s="22" t="s">
        <v>840</v>
      </c>
      <c r="L67" s="57" t="s">
        <v>68</v>
      </c>
      <c r="M67" s="65" t="s">
        <v>565</v>
      </c>
      <c r="N67" s="65" t="s">
        <v>352</v>
      </c>
      <c r="O67" s="17" t="s">
        <v>442</v>
      </c>
      <c r="P67" s="17" t="s">
        <v>596</v>
      </c>
      <c r="Q67" s="17" t="s">
        <v>620</v>
      </c>
      <c r="R67" s="17" t="s">
        <v>621</v>
      </c>
      <c r="S67" s="24">
        <v>45854</v>
      </c>
      <c r="T67" s="67">
        <v>45862</v>
      </c>
      <c r="U67" s="19">
        <v>46022</v>
      </c>
      <c r="V67" s="156">
        <v>109865.44</v>
      </c>
      <c r="W67" s="17" t="s">
        <v>611</v>
      </c>
      <c r="X67" s="17" t="s">
        <v>489</v>
      </c>
      <c r="Y67" s="17" t="s">
        <v>15</v>
      </c>
      <c r="Z67" s="66">
        <v>10015778</v>
      </c>
      <c r="AA67" s="48">
        <v>10001625</v>
      </c>
      <c r="AB67" s="48" t="s">
        <v>596</v>
      </c>
      <c r="AC67" s="63">
        <v>45841</v>
      </c>
      <c r="AD67" s="64">
        <f>NETWORKDAYS.INTL(Tab_4.DISP_INEX[[#This Row],[DATA RECEBIDO]],Tab_4.DISP_INEX[[#This Row],[DATA 
FINALIZADO]],1,Lista!$U$3:$U$15)</f>
        <v>1</v>
      </c>
      <c r="AE67" s="1" t="s">
        <v>56</v>
      </c>
      <c r="AF67" s="7" t="s">
        <v>628</v>
      </c>
      <c r="AG67" s="64" t="s">
        <v>632</v>
      </c>
      <c r="AH67" s="64" t="s">
        <v>631</v>
      </c>
      <c r="AI67" s="7" t="s">
        <v>509</v>
      </c>
      <c r="AJ67" s="203" t="s">
        <v>986</v>
      </c>
      <c r="AK67" s="8" t="s">
        <v>65</v>
      </c>
      <c r="AL67" s="8" t="s">
        <v>65</v>
      </c>
      <c r="AM67" s="8" t="s">
        <v>65</v>
      </c>
      <c r="AP67" s="212">
        <v>63</v>
      </c>
      <c r="AQ67" s="213" t="str">
        <f>_xlfn.CONCAT(AP67,"_","TR","_",Tab_4.DISP_INEX[[#This Row],[FORNECEDOR]])</f>
        <v>63_TR_Associação Brasileira de Entidades Estaduais e Públicas de Tecnologia da Informação e Comunicação</v>
      </c>
      <c r="AR67" s="213" t="str">
        <f>_xlfn.CONCAT(AP67,"_","JUST","_",Tab_4.DISP_INEX[[#This Row],[FORNECEDOR]])</f>
        <v>63_JUST_Associação Brasileira de Entidades Estaduais e Públicas de Tecnologia da Informação e Comunicação</v>
      </c>
      <c r="AS67" s="213" t="str">
        <f>_xlfn.CONCAT(AP67,"_","RAT","_",Tab_4.DISP_INEX[[#This Row],[FORNECEDOR]])</f>
        <v>63_RAT_Associação Brasileira de Entidades Estaduais e Públicas de Tecnologia da Informação e Comunicação</v>
      </c>
    </row>
    <row r="68" spans="2:45" ht="56.25" customHeight="1" x14ac:dyDescent="0.25">
      <c r="B68" s="11">
        <v>45839</v>
      </c>
      <c r="C68" s="56" t="s">
        <v>56</v>
      </c>
      <c r="D68" s="7" t="s">
        <v>53</v>
      </c>
      <c r="E68" s="7" t="s">
        <v>53</v>
      </c>
      <c r="F68" s="7" t="s">
        <v>558</v>
      </c>
      <c r="G68" s="57" t="s">
        <v>45</v>
      </c>
      <c r="H68" s="57" t="s">
        <v>185</v>
      </c>
      <c r="I68" s="7" t="s">
        <v>28</v>
      </c>
      <c r="J68" s="7" t="s">
        <v>559</v>
      </c>
      <c r="K68" s="22" t="s">
        <v>840</v>
      </c>
      <c r="L68" s="57" t="s">
        <v>68</v>
      </c>
      <c r="M68" s="17" t="s">
        <v>561</v>
      </c>
      <c r="N68" s="17" t="s">
        <v>562</v>
      </c>
      <c r="O68" s="17" t="s">
        <v>449</v>
      </c>
      <c r="P68" s="17" t="s">
        <v>586</v>
      </c>
      <c r="Q68" s="17" t="s">
        <v>586</v>
      </c>
      <c r="R68" s="17" t="s">
        <v>586</v>
      </c>
      <c r="S68" s="24">
        <v>45841</v>
      </c>
      <c r="T68" s="19">
        <v>45842</v>
      </c>
      <c r="U68" s="19">
        <v>45842</v>
      </c>
      <c r="V68" s="151">
        <v>2100</v>
      </c>
      <c r="W68" s="17" t="s">
        <v>569</v>
      </c>
      <c r="X68" s="17" t="s">
        <v>578</v>
      </c>
      <c r="Y68" s="17" t="s">
        <v>15</v>
      </c>
      <c r="Z68" s="45">
        <v>10015827</v>
      </c>
      <c r="AA68" s="45">
        <v>10003176</v>
      </c>
      <c r="AB68" s="45"/>
      <c r="AC68" s="11">
        <v>45839</v>
      </c>
      <c r="AD68" s="7">
        <f>NETWORKDAYS.INTL(Tab_4.DISP_INEX[[#This Row],[DATA RECEBIDO]],Tab_4.DISP_INEX[[#This Row],[DATA 
FINALIZADO]],1,Lista!$U$3:$U$15)</f>
        <v>1</v>
      </c>
      <c r="AE68" s="1" t="s">
        <v>56</v>
      </c>
      <c r="AF68" s="7" t="s">
        <v>216</v>
      </c>
      <c r="AG68" s="7" t="s">
        <v>582</v>
      </c>
      <c r="AH68" s="7" t="s">
        <v>587</v>
      </c>
      <c r="AI68" s="7" t="s">
        <v>509</v>
      </c>
      <c r="AJ68" s="203" t="s">
        <v>962</v>
      </c>
      <c r="AK68" s="8" t="s">
        <v>65</v>
      </c>
      <c r="AL68" s="8" t="s">
        <v>65</v>
      </c>
      <c r="AM68" s="8" t="s">
        <v>65</v>
      </c>
      <c r="AP68" s="212">
        <v>64</v>
      </c>
      <c r="AQ68" s="213" t="str">
        <f>_xlfn.CONCAT(AP68,"_","TR","_",Tab_4.DISP_INEX[[#This Row],[FORNECEDOR]])</f>
        <v>64_TR_CONSELHO REGIONAL DE CONTABILIDADE DO DISTRITO FEDERAL</v>
      </c>
      <c r="AR68" s="213" t="str">
        <f>_xlfn.CONCAT(AP68,"_","JUST","_",Tab_4.DISP_INEX[[#This Row],[FORNECEDOR]])</f>
        <v>64_JUST_CONSELHO REGIONAL DE CONTABILIDADE DO DISTRITO FEDERAL</v>
      </c>
      <c r="AS68" s="213" t="str">
        <f>_xlfn.CONCAT(AP68,"_","RAT","_",Tab_4.DISP_INEX[[#This Row],[FORNECEDOR]])</f>
        <v>64_RAT_CONSELHO REGIONAL DE CONTABILIDADE DO DISTRITO FEDERAL</v>
      </c>
    </row>
    <row r="69" spans="2:45" ht="120" x14ac:dyDescent="0.25">
      <c r="B69" s="68">
        <v>45824</v>
      </c>
      <c r="C69" s="11" t="s">
        <v>66</v>
      </c>
      <c r="D69" s="69" t="s">
        <v>53</v>
      </c>
      <c r="E69" s="7" t="s">
        <v>53</v>
      </c>
      <c r="F69" s="7" t="s">
        <v>588</v>
      </c>
      <c r="G69" s="57" t="s">
        <v>45</v>
      </c>
      <c r="H69" s="69" t="s">
        <v>589</v>
      </c>
      <c r="I69" s="69" t="s">
        <v>28</v>
      </c>
      <c r="J69" s="69" t="s">
        <v>590</v>
      </c>
      <c r="K69" s="22" t="s">
        <v>840</v>
      </c>
      <c r="L69" s="69" t="s">
        <v>68</v>
      </c>
      <c r="M69" s="70" t="s">
        <v>592</v>
      </c>
      <c r="N69" s="70" t="s">
        <v>591</v>
      </c>
      <c r="O69" s="70" t="s">
        <v>449</v>
      </c>
      <c r="P69" s="17" t="s">
        <v>613</v>
      </c>
      <c r="Q69" s="70" t="s">
        <v>613</v>
      </c>
      <c r="R69" s="70" t="s">
        <v>931</v>
      </c>
      <c r="S69" s="24">
        <v>45880</v>
      </c>
      <c r="T69" s="24">
        <v>45880</v>
      </c>
      <c r="U69" s="19">
        <v>46022</v>
      </c>
      <c r="V69" s="157">
        <v>50000</v>
      </c>
      <c r="W69" s="70" t="s">
        <v>932</v>
      </c>
      <c r="X69" s="70" t="s">
        <v>933</v>
      </c>
      <c r="Y69" s="70"/>
      <c r="Z69" s="72">
        <v>10014023</v>
      </c>
      <c r="AA69" s="48"/>
      <c r="AB69" s="48"/>
      <c r="AC69" s="68">
        <v>45849</v>
      </c>
      <c r="AD69" s="69">
        <f>NETWORKDAYS.INTL(Tab_4.DISP_INEX[[#This Row],[DATA RECEBIDO]],Tab_4.DISP_INEX[[#This Row],[DATA 
FINALIZADO]],1,Lista!$U$3:$U$15)</f>
        <v>20</v>
      </c>
      <c r="AF69" s="69"/>
      <c r="AG69" s="69"/>
      <c r="AH69" s="69"/>
      <c r="AI69" s="69"/>
      <c r="AJ69" s="203" t="s">
        <v>979</v>
      </c>
      <c r="AK69" s="8" t="s">
        <v>65</v>
      </c>
      <c r="AL69" s="8" t="s">
        <v>65</v>
      </c>
      <c r="AM69" s="8" t="s">
        <v>65</v>
      </c>
      <c r="AP69" s="212">
        <v>65</v>
      </c>
      <c r="AQ69" s="213" t="str">
        <f>_xlfn.CONCAT(AP69,"_","TR","_",Tab_4.DISP_INEX[[#This Row],[FORNECEDOR]])</f>
        <v>65_TR_Badia e Quartim Advogados – BQA</v>
      </c>
      <c r="AR69" s="213" t="str">
        <f>_xlfn.CONCAT(AP69,"_","JUST","_",Tab_4.DISP_INEX[[#This Row],[FORNECEDOR]])</f>
        <v>65_JUST_Badia e Quartim Advogados – BQA</v>
      </c>
      <c r="AS69" s="213" t="str">
        <f>_xlfn.CONCAT(AP69,"_","RAT","_",Tab_4.DISP_INEX[[#This Row],[FORNECEDOR]])</f>
        <v>65_RAT_Badia e Quartim Advogados – BQA</v>
      </c>
    </row>
    <row r="70" spans="2:45" ht="75" x14ac:dyDescent="0.25">
      <c r="B70" s="68">
        <v>45859</v>
      </c>
      <c r="C70" s="11" t="s">
        <v>55</v>
      </c>
      <c r="D70" s="69" t="s">
        <v>53</v>
      </c>
      <c r="E70" s="7" t="s">
        <v>53</v>
      </c>
      <c r="F70" s="7" t="s">
        <v>597</v>
      </c>
      <c r="G70" s="57" t="s">
        <v>45</v>
      </c>
      <c r="H70" s="69" t="s">
        <v>185</v>
      </c>
      <c r="I70" s="69" t="s">
        <v>28</v>
      </c>
      <c r="J70" s="69" t="s">
        <v>598</v>
      </c>
      <c r="K70" s="22" t="s">
        <v>840</v>
      </c>
      <c r="L70" s="69" t="s">
        <v>68</v>
      </c>
      <c r="M70" s="70" t="s">
        <v>599</v>
      </c>
      <c r="N70" s="70" t="s">
        <v>600</v>
      </c>
      <c r="O70" s="70" t="s">
        <v>449</v>
      </c>
      <c r="P70" s="70" t="s">
        <v>605</v>
      </c>
      <c r="Q70" s="70" t="s">
        <v>605</v>
      </c>
      <c r="R70" s="70" t="s">
        <v>605</v>
      </c>
      <c r="S70" s="24">
        <v>45869</v>
      </c>
      <c r="T70" s="71">
        <v>45869</v>
      </c>
      <c r="U70" s="19">
        <v>46022</v>
      </c>
      <c r="V70" s="157">
        <v>23350</v>
      </c>
      <c r="W70" s="70" t="s">
        <v>606</v>
      </c>
      <c r="X70" s="70" t="s">
        <v>607</v>
      </c>
      <c r="Y70" s="70" t="s">
        <v>15</v>
      </c>
      <c r="Z70" s="72">
        <v>10015866</v>
      </c>
      <c r="AA70" s="48">
        <v>10004286</v>
      </c>
      <c r="AB70" s="48"/>
      <c r="AC70" s="68">
        <v>45866</v>
      </c>
      <c r="AD70" s="69">
        <f>NETWORKDAYS.INTL(Tab_4.DISP_INEX[[#This Row],[DATA RECEBIDO]],Tab_4.DISP_INEX[[#This Row],[DATA 
FINALIZADO]],1,Lista!$U$3:$U$15)</f>
        <v>6</v>
      </c>
      <c r="AF70" s="69"/>
      <c r="AG70" s="69" t="s">
        <v>639</v>
      </c>
      <c r="AH70" s="69" t="s">
        <v>643</v>
      </c>
      <c r="AI70" s="69" t="s">
        <v>509</v>
      </c>
      <c r="AJ70" s="203" t="s">
        <v>963</v>
      </c>
      <c r="AK70" s="8" t="s">
        <v>65</v>
      </c>
      <c r="AL70" s="8" t="s">
        <v>65</v>
      </c>
      <c r="AM70" s="8" t="s">
        <v>65</v>
      </c>
      <c r="AP70" s="212">
        <v>66</v>
      </c>
      <c r="AQ70" s="213" t="str">
        <f>_xlfn.CONCAT(AP70,"_","TR","_",Tab_4.DISP_INEX[[#This Row],[FORNECEDOR]])</f>
        <v>66_TR_RENATO DE PAULA - APRESENTACOES INTELIGENTES LTDA (PPTPLAY)</v>
      </c>
      <c r="AR70" s="213" t="str">
        <f>_xlfn.CONCAT(AP70,"_","JUST","_",Tab_4.DISP_INEX[[#This Row],[FORNECEDOR]])</f>
        <v>66_JUST_RENATO DE PAULA - APRESENTACOES INTELIGENTES LTDA (PPTPLAY)</v>
      </c>
      <c r="AS70" s="213" t="str">
        <f>_xlfn.CONCAT(AP70,"_","RAT","_",Tab_4.DISP_INEX[[#This Row],[FORNECEDOR]])</f>
        <v>66_RAT_RENATO DE PAULA - APRESENTACOES INTELIGENTES LTDA (PPTPLAY)</v>
      </c>
    </row>
    <row r="71" spans="2:45" ht="60" x14ac:dyDescent="0.25">
      <c r="B71" s="68">
        <v>45867</v>
      </c>
      <c r="C71" s="11" t="s">
        <v>56</v>
      </c>
      <c r="D71" s="69" t="s">
        <v>53</v>
      </c>
      <c r="E71" s="7" t="s">
        <v>53</v>
      </c>
      <c r="F71" s="7" t="s">
        <v>601</v>
      </c>
      <c r="G71" s="57" t="s">
        <v>45</v>
      </c>
      <c r="H71" s="69" t="s">
        <v>185</v>
      </c>
      <c r="I71" s="69" t="s">
        <v>28</v>
      </c>
      <c r="J71" s="69" t="s">
        <v>630</v>
      </c>
      <c r="K71" s="22" t="s">
        <v>840</v>
      </c>
      <c r="L71" s="69" t="s">
        <v>68</v>
      </c>
      <c r="M71" s="70" t="s">
        <v>603</v>
      </c>
      <c r="N71" s="70" t="s">
        <v>604</v>
      </c>
      <c r="O71" s="70" t="s">
        <v>449</v>
      </c>
      <c r="P71" s="70" t="s">
        <v>608</v>
      </c>
      <c r="Q71" s="70" t="s">
        <v>608</v>
      </c>
      <c r="R71" s="70" t="s">
        <v>608</v>
      </c>
      <c r="S71" s="24">
        <v>45870</v>
      </c>
      <c r="T71" s="71">
        <v>45874</v>
      </c>
      <c r="U71" s="19">
        <v>45874</v>
      </c>
      <c r="V71" s="157">
        <v>16605</v>
      </c>
      <c r="W71" s="70" t="s">
        <v>609</v>
      </c>
      <c r="X71" s="70" t="s">
        <v>607</v>
      </c>
      <c r="Y71" s="70" t="s">
        <v>15</v>
      </c>
      <c r="Z71" s="72">
        <v>10015900</v>
      </c>
      <c r="AA71" s="48">
        <v>10004285</v>
      </c>
      <c r="AB71" s="48"/>
      <c r="AC71" s="68">
        <v>45869</v>
      </c>
      <c r="AD71" s="69">
        <f>NETWORKDAYS.INTL(Tab_4.DISP_INEX[[#This Row],[DATA RECEBIDO]],Tab_4.DISP_INEX[[#This Row],[DATA 
FINALIZADO]],1,Lista!$U$3:$U$15)</f>
        <v>3</v>
      </c>
      <c r="AE71" s="1" t="s">
        <v>56</v>
      </c>
      <c r="AF71" s="69" t="s">
        <v>628</v>
      </c>
      <c r="AG71" s="69" t="s">
        <v>641</v>
      </c>
      <c r="AH71" s="69" t="s">
        <v>644</v>
      </c>
      <c r="AI71" s="69" t="s">
        <v>509</v>
      </c>
      <c r="AJ71" s="203" t="s">
        <v>964</v>
      </c>
      <c r="AK71" s="8" t="s">
        <v>65</v>
      </c>
      <c r="AL71" s="8" t="s">
        <v>65</v>
      </c>
      <c r="AM71" s="8" t="s">
        <v>65</v>
      </c>
      <c r="AP71" s="212">
        <v>67</v>
      </c>
      <c r="AQ71" s="213" t="str">
        <f>_xlfn.CONCAT(AP71,"_","TR","_",Tab_4.DISP_INEX[[#This Row],[FORNECEDOR]])</f>
        <v>67_TR_Neurobox Tecnologia em Informática Ltda</v>
      </c>
      <c r="AR71" s="213" t="str">
        <f>_xlfn.CONCAT(AP71,"_","JUST","_",Tab_4.DISP_INEX[[#This Row],[FORNECEDOR]])</f>
        <v>67_JUST_Neurobox Tecnologia em Informática Ltda</v>
      </c>
      <c r="AS71" s="213" t="str">
        <f>_xlfn.CONCAT(AP71,"_","RAT","_",Tab_4.DISP_INEX[[#This Row],[FORNECEDOR]])</f>
        <v>67_RAT_Neurobox Tecnologia em Informática Ltda</v>
      </c>
    </row>
    <row r="72" spans="2:45" ht="90" x14ac:dyDescent="0.25">
      <c r="B72" s="68">
        <v>45883</v>
      </c>
      <c r="C72" s="11" t="s">
        <v>56</v>
      </c>
      <c r="D72" s="69" t="s">
        <v>53</v>
      </c>
      <c r="E72" s="7" t="s">
        <v>53</v>
      </c>
      <c r="F72" s="7" t="s">
        <v>614</v>
      </c>
      <c r="G72" s="57" t="s">
        <v>45</v>
      </c>
      <c r="H72" s="69" t="s">
        <v>185</v>
      </c>
      <c r="I72" s="69" t="s">
        <v>28</v>
      </c>
      <c r="J72" s="69" t="s">
        <v>615</v>
      </c>
      <c r="K72" s="22" t="s">
        <v>840</v>
      </c>
      <c r="L72" s="69" t="s">
        <v>68</v>
      </c>
      <c r="M72" s="70" t="s">
        <v>616</v>
      </c>
      <c r="N72" s="70" t="s">
        <v>617</v>
      </c>
      <c r="O72" s="70" t="s">
        <v>449</v>
      </c>
      <c r="P72" s="70" t="s">
        <v>618</v>
      </c>
      <c r="Q72" s="70" t="s">
        <v>618</v>
      </c>
      <c r="R72" s="70" t="s">
        <v>618</v>
      </c>
      <c r="S72" s="24">
        <v>45887</v>
      </c>
      <c r="T72" s="71">
        <v>45888</v>
      </c>
      <c r="U72" s="19">
        <v>45888</v>
      </c>
      <c r="V72" s="157">
        <v>26800</v>
      </c>
      <c r="W72" s="70" t="s">
        <v>619</v>
      </c>
      <c r="X72" s="70" t="s">
        <v>607</v>
      </c>
      <c r="Y72" s="70" t="s">
        <v>15</v>
      </c>
      <c r="Z72" s="72">
        <v>10015924</v>
      </c>
      <c r="AA72" s="48">
        <v>10003967</v>
      </c>
      <c r="AB72" s="48"/>
      <c r="AC72" s="68">
        <v>45884</v>
      </c>
      <c r="AD72" s="69">
        <f>NETWORKDAYS.INTL(Tab_4.DISP_INEX[[#This Row],[DATA RECEBIDO]],Tab_4.DISP_INEX[[#This Row],[DATA 
FINALIZADO]],1,Lista!$U$3:$U$15)</f>
        <v>2</v>
      </c>
      <c r="AE72" s="1" t="s">
        <v>56</v>
      </c>
      <c r="AF72" s="69" t="s">
        <v>216</v>
      </c>
      <c r="AG72" s="69" t="s">
        <v>642</v>
      </c>
      <c r="AH72" s="69" t="s">
        <v>645</v>
      </c>
      <c r="AI72" s="69" t="s">
        <v>509</v>
      </c>
      <c r="AJ72" s="203" t="s">
        <v>965</v>
      </c>
      <c r="AK72" s="8" t="s">
        <v>65</v>
      </c>
      <c r="AL72" s="8" t="s">
        <v>65</v>
      </c>
      <c r="AM72" s="8" t="s">
        <v>65</v>
      </c>
      <c r="AP72" s="212">
        <v>68</v>
      </c>
      <c r="AQ72" s="213" t="str">
        <f>_xlfn.CONCAT(AP72,"_","TR","_",Tab_4.DISP_INEX[[#This Row],[FORNECEDOR]])</f>
        <v>68_TR_IBMEC EDUCACIONAL LTDA</v>
      </c>
      <c r="AR72" s="213" t="str">
        <f>_xlfn.CONCAT(AP72,"_","JUST","_",Tab_4.DISP_INEX[[#This Row],[FORNECEDOR]])</f>
        <v>68_JUST_IBMEC EDUCACIONAL LTDA</v>
      </c>
      <c r="AS72" s="213" t="str">
        <f>_xlfn.CONCAT(AP72,"_","RAT","_",Tab_4.DISP_INEX[[#This Row],[FORNECEDOR]])</f>
        <v>68_RAT_IBMEC EDUCACIONAL LTDA</v>
      </c>
    </row>
    <row r="73" spans="2:45" ht="75" x14ac:dyDescent="0.25">
      <c r="B73" s="68">
        <v>45902</v>
      </c>
      <c r="C73" s="11" t="s">
        <v>56</v>
      </c>
      <c r="D73" s="69" t="s">
        <v>53</v>
      </c>
      <c r="E73" s="7" t="s">
        <v>53</v>
      </c>
      <c r="F73" s="7" t="s">
        <v>646</v>
      </c>
      <c r="G73" s="57" t="s">
        <v>45</v>
      </c>
      <c r="H73" s="69" t="s">
        <v>185</v>
      </c>
      <c r="I73" s="69" t="s">
        <v>28</v>
      </c>
      <c r="J73" s="69" t="s">
        <v>647</v>
      </c>
      <c r="K73" s="22" t="s">
        <v>840</v>
      </c>
      <c r="L73" s="69" t="s">
        <v>68</v>
      </c>
      <c r="M73" s="70" t="s">
        <v>367</v>
      </c>
      <c r="N73" s="70" t="s">
        <v>304</v>
      </c>
      <c r="O73" s="70" t="s">
        <v>449</v>
      </c>
      <c r="P73" s="70" t="s">
        <v>655</v>
      </c>
      <c r="Q73" s="70" t="s">
        <v>655</v>
      </c>
      <c r="R73" s="70" t="s">
        <v>655</v>
      </c>
      <c r="S73" s="24">
        <v>45905</v>
      </c>
      <c r="T73" s="71">
        <v>45905</v>
      </c>
      <c r="U73" s="19">
        <v>45905</v>
      </c>
      <c r="V73" s="157">
        <v>11090</v>
      </c>
      <c r="W73" s="70" t="s">
        <v>669</v>
      </c>
      <c r="X73" s="70" t="s">
        <v>607</v>
      </c>
      <c r="Y73" s="70" t="s">
        <v>15</v>
      </c>
      <c r="Z73" s="72">
        <v>10016027</v>
      </c>
      <c r="AA73" s="48">
        <v>10003951</v>
      </c>
      <c r="AB73" s="48"/>
      <c r="AC73" s="68">
        <v>45902</v>
      </c>
      <c r="AD73" s="69">
        <f>NETWORKDAYS.INTL(Tab_4.DISP_INEX[[#This Row],[DATA RECEBIDO]],Tab_4.DISP_INEX[[#This Row],[DATA 
FINALIZADO]],1,Lista!$U$3:$U$15)</f>
        <v>1</v>
      </c>
      <c r="AE73" s="1" t="s">
        <v>56</v>
      </c>
      <c r="AF73" s="69" t="s">
        <v>628</v>
      </c>
      <c r="AG73" s="69" t="s">
        <v>689</v>
      </c>
      <c r="AH73" s="69" t="s">
        <v>690</v>
      </c>
      <c r="AI73" s="69" t="s">
        <v>509</v>
      </c>
      <c r="AJ73" s="203" t="s">
        <v>966</v>
      </c>
      <c r="AK73" s="8" t="s">
        <v>65</v>
      </c>
      <c r="AL73" s="8" t="s">
        <v>65</v>
      </c>
      <c r="AM73" s="8" t="s">
        <v>65</v>
      </c>
      <c r="AP73" s="212">
        <v>69</v>
      </c>
      <c r="AQ73" s="213" t="str">
        <f>_xlfn.CONCAT(AP73,"_","TR","_",Tab_4.DISP_INEX[[#This Row],[FORNECEDOR]])</f>
        <v>69_TR_Instituto Brasileiro de Governança Corporativa</v>
      </c>
      <c r="AR73" s="213" t="str">
        <f>_xlfn.CONCAT(AP73,"_","JUST","_",Tab_4.DISP_INEX[[#This Row],[FORNECEDOR]])</f>
        <v>69_JUST_Instituto Brasileiro de Governança Corporativa</v>
      </c>
      <c r="AS73" s="213" t="str">
        <f>_xlfn.CONCAT(AP73,"_","RAT","_",Tab_4.DISP_INEX[[#This Row],[FORNECEDOR]])</f>
        <v>69_RAT_Instituto Brasileiro de Governança Corporativa</v>
      </c>
    </row>
    <row r="74" spans="2:45" ht="60" x14ac:dyDescent="0.25">
      <c r="B74" s="68">
        <v>45903</v>
      </c>
      <c r="C74" s="11" t="s">
        <v>56</v>
      </c>
      <c r="D74" s="69" t="s">
        <v>53</v>
      </c>
      <c r="E74" s="7" t="s">
        <v>53</v>
      </c>
      <c r="F74" s="7" t="s">
        <v>648</v>
      </c>
      <c r="G74" s="57" t="s">
        <v>45</v>
      </c>
      <c r="H74" s="69" t="s">
        <v>185</v>
      </c>
      <c r="I74" s="69" t="s">
        <v>28</v>
      </c>
      <c r="J74" s="69" t="s">
        <v>649</v>
      </c>
      <c r="K74" s="22" t="s">
        <v>840</v>
      </c>
      <c r="L74" s="69" t="s">
        <v>68</v>
      </c>
      <c r="M74" s="70" t="s">
        <v>650</v>
      </c>
      <c r="N74" s="70" t="s">
        <v>359</v>
      </c>
      <c r="O74" s="70" t="s">
        <v>449</v>
      </c>
      <c r="P74" s="70" t="s">
        <v>660</v>
      </c>
      <c r="Q74" s="70" t="s">
        <v>660</v>
      </c>
      <c r="R74" s="70" t="s">
        <v>660</v>
      </c>
      <c r="S74" s="24">
        <v>45910</v>
      </c>
      <c r="T74" s="71">
        <v>45910</v>
      </c>
      <c r="U74" s="19">
        <v>45910</v>
      </c>
      <c r="V74" s="157">
        <v>14840</v>
      </c>
      <c r="W74" s="70" t="s">
        <v>661</v>
      </c>
      <c r="X74" s="70" t="s">
        <v>607</v>
      </c>
      <c r="Y74" s="70" t="s">
        <v>15</v>
      </c>
      <c r="Z74" s="72">
        <v>10016067</v>
      </c>
      <c r="AA74" s="48">
        <v>10004111</v>
      </c>
      <c r="AB74" s="48"/>
      <c r="AC74" s="68">
        <v>45904</v>
      </c>
      <c r="AD74" s="69">
        <f>NETWORKDAYS.INTL(Tab_4.DISP_INEX[[#This Row],[DATA RECEBIDO]],Tab_4.DISP_INEX[[#This Row],[DATA 
FINALIZADO]],1,Lista!$U$3:$U$15)</f>
        <v>2</v>
      </c>
      <c r="AE74" s="1" t="s">
        <v>56</v>
      </c>
      <c r="AF74" s="69" t="s">
        <v>628</v>
      </c>
      <c r="AG74" s="69" t="s">
        <v>691</v>
      </c>
      <c r="AH74" s="69" t="s">
        <v>692</v>
      </c>
      <c r="AI74" s="69" t="s">
        <v>509</v>
      </c>
      <c r="AJ74" s="203" t="s">
        <v>967</v>
      </c>
      <c r="AK74" s="8" t="s">
        <v>65</v>
      </c>
      <c r="AL74" s="8" t="s">
        <v>65</v>
      </c>
      <c r="AM74" s="8" t="s">
        <v>65</v>
      </c>
      <c r="AP74" s="212">
        <v>70</v>
      </c>
      <c r="AQ74" s="213" t="str">
        <f>_xlfn.CONCAT(AP74,"_","TR","_",Tab_4.DISP_INEX[[#This Row],[FORNECEDOR]])</f>
        <v>70_TR_Congresso Brasileiro de Auditoria Interna</v>
      </c>
      <c r="AR74" s="213" t="str">
        <f>_xlfn.CONCAT(AP74,"_","JUST","_",Tab_4.DISP_INEX[[#This Row],[FORNECEDOR]])</f>
        <v>70_JUST_Congresso Brasileiro de Auditoria Interna</v>
      </c>
      <c r="AS74" s="213" t="str">
        <f>_xlfn.CONCAT(AP74,"_","RAT","_",Tab_4.DISP_INEX[[#This Row],[FORNECEDOR]])</f>
        <v>70_RAT_Congresso Brasileiro de Auditoria Interna</v>
      </c>
    </row>
    <row r="75" spans="2:45" ht="45" x14ac:dyDescent="0.25">
      <c r="B75" s="68">
        <v>45904</v>
      </c>
      <c r="C75" s="11" t="s">
        <v>56</v>
      </c>
      <c r="D75" s="69" t="s">
        <v>53</v>
      </c>
      <c r="E75" s="7" t="s">
        <v>53</v>
      </c>
      <c r="F75" s="7" t="s">
        <v>651</v>
      </c>
      <c r="G75" s="57" t="s">
        <v>45</v>
      </c>
      <c r="H75" s="69" t="s">
        <v>185</v>
      </c>
      <c r="I75" s="69" t="s">
        <v>28</v>
      </c>
      <c r="J75" s="69" t="s">
        <v>652</v>
      </c>
      <c r="K75" s="22" t="s">
        <v>840</v>
      </c>
      <c r="L75" s="69" t="s">
        <v>68</v>
      </c>
      <c r="M75" s="70" t="s">
        <v>653</v>
      </c>
      <c r="N75" s="70" t="s">
        <v>654</v>
      </c>
      <c r="O75" s="70" t="s">
        <v>449</v>
      </c>
      <c r="P75" s="70" t="s">
        <v>662</v>
      </c>
      <c r="Q75" s="70" t="s">
        <v>662</v>
      </c>
      <c r="R75" s="70" t="s">
        <v>662</v>
      </c>
      <c r="S75" s="24">
        <v>45910</v>
      </c>
      <c r="T75" s="71">
        <v>45910</v>
      </c>
      <c r="U75" s="19">
        <v>45910</v>
      </c>
      <c r="V75" s="157">
        <v>13560</v>
      </c>
      <c r="W75" s="70" t="s">
        <v>663</v>
      </c>
      <c r="X75" s="70" t="s">
        <v>607</v>
      </c>
      <c r="Y75" s="70" t="s">
        <v>15</v>
      </c>
      <c r="Z75" s="72">
        <v>10016040</v>
      </c>
      <c r="AA75" s="48">
        <v>10002345</v>
      </c>
      <c r="AB75" s="48"/>
      <c r="AC75" s="68">
        <v>45905</v>
      </c>
      <c r="AD75" s="69">
        <f>NETWORKDAYS.INTL(Tab_4.DISP_INEX[[#This Row],[DATA RECEBIDO]],Tab_4.DISP_INEX[[#This Row],[DATA 
FINALIZADO]],1,Lista!$U$3:$U$15)</f>
        <v>2</v>
      </c>
      <c r="AE75" s="1" t="s">
        <v>56</v>
      </c>
      <c r="AF75" s="69" t="s">
        <v>628</v>
      </c>
      <c r="AG75" s="69" t="s">
        <v>694</v>
      </c>
      <c r="AH75" s="69" t="s">
        <v>693</v>
      </c>
      <c r="AI75" s="69" t="s">
        <v>509</v>
      </c>
      <c r="AJ75" s="203" t="s">
        <v>968</v>
      </c>
      <c r="AK75" s="8" t="s">
        <v>65</v>
      </c>
      <c r="AL75" s="8" t="s">
        <v>65</v>
      </c>
      <c r="AM75" s="8" t="s">
        <v>65</v>
      </c>
      <c r="AP75" s="212">
        <v>71</v>
      </c>
      <c r="AQ75" s="213" t="str">
        <f>_xlfn.CONCAT(AP75,"_","TR","_",Tab_4.DISP_INEX[[#This Row],[FORNECEDOR]])</f>
        <v>71_TR_Informa Markets Ltda</v>
      </c>
      <c r="AR75" s="213" t="str">
        <f>_xlfn.CONCAT(AP75,"_","JUST","_",Tab_4.DISP_INEX[[#This Row],[FORNECEDOR]])</f>
        <v>71_JUST_Informa Markets Ltda</v>
      </c>
      <c r="AS75" s="213" t="str">
        <f>_xlfn.CONCAT(AP75,"_","RAT","_",Tab_4.DISP_INEX[[#This Row],[FORNECEDOR]])</f>
        <v>71_RAT_Informa Markets Ltda</v>
      </c>
    </row>
    <row r="76" spans="2:45" ht="75" x14ac:dyDescent="0.25">
      <c r="B76" s="68">
        <v>45909</v>
      </c>
      <c r="C76" s="11" t="s">
        <v>56</v>
      </c>
      <c r="D76" s="69" t="s">
        <v>53</v>
      </c>
      <c r="E76" s="7" t="s">
        <v>53</v>
      </c>
      <c r="F76" s="7" t="s">
        <v>656</v>
      </c>
      <c r="G76" s="57" t="s">
        <v>45</v>
      </c>
      <c r="H76" s="69" t="s">
        <v>185</v>
      </c>
      <c r="I76" s="69" t="s">
        <v>28</v>
      </c>
      <c r="J76" s="69" t="s">
        <v>659</v>
      </c>
      <c r="K76" s="22" t="s">
        <v>840</v>
      </c>
      <c r="L76" s="69" t="s">
        <v>68</v>
      </c>
      <c r="M76" s="70" t="s">
        <v>665</v>
      </c>
      <c r="N76" s="70" t="s">
        <v>65</v>
      </c>
      <c r="O76" s="70" t="s">
        <v>449</v>
      </c>
      <c r="P76" s="70" t="s">
        <v>664</v>
      </c>
      <c r="Q76" s="70" t="s">
        <v>664</v>
      </c>
      <c r="R76" s="70" t="s">
        <v>664</v>
      </c>
      <c r="S76" s="24">
        <v>45911</v>
      </c>
      <c r="T76" s="71">
        <v>45911</v>
      </c>
      <c r="U76" s="19">
        <v>45911</v>
      </c>
      <c r="V76" s="157">
        <v>19508.830000000002</v>
      </c>
      <c r="W76" s="70" t="s">
        <v>666</v>
      </c>
      <c r="X76" s="70" t="s">
        <v>607</v>
      </c>
      <c r="Y76" s="70" t="s">
        <v>15</v>
      </c>
      <c r="Z76" s="72">
        <v>10016042</v>
      </c>
      <c r="AA76" s="48"/>
      <c r="AB76" s="48"/>
      <c r="AC76" s="68">
        <v>45909</v>
      </c>
      <c r="AD76" s="69">
        <f>NETWORKDAYS.INTL(Tab_4.DISP_INEX[[#This Row],[DATA RECEBIDO]],Tab_4.DISP_INEX[[#This Row],[DATA 
FINALIZADO]],1,Lista!$U$3:$U$15)</f>
        <v>1</v>
      </c>
      <c r="AE76" s="1" t="s">
        <v>56</v>
      </c>
      <c r="AF76" s="69" t="s">
        <v>628</v>
      </c>
      <c r="AG76" s="69" t="s">
        <v>695</v>
      </c>
      <c r="AH76" s="69" t="s">
        <v>695</v>
      </c>
      <c r="AI76" s="69" t="s">
        <v>696</v>
      </c>
      <c r="AJ76" s="203" t="s">
        <v>969</v>
      </c>
      <c r="AK76" s="8" t="s">
        <v>65</v>
      </c>
      <c r="AL76" s="8" t="s">
        <v>65</v>
      </c>
      <c r="AM76" s="8" t="s">
        <v>65</v>
      </c>
      <c r="AP76" s="212">
        <v>72</v>
      </c>
      <c r="AQ76" s="213" t="str">
        <f>_xlfn.CONCAT(AP76,"_","TR","_",Tab_4.DISP_INEX[[#This Row],[FORNECEDOR]])</f>
        <v>72_TR_DLR (Deutsches Zentrum für Luft- und Raumfahrt)</v>
      </c>
      <c r="AR76" s="213" t="str">
        <f>_xlfn.CONCAT(AP76,"_","JUST","_",Tab_4.DISP_INEX[[#This Row],[FORNECEDOR]])</f>
        <v>72_JUST_DLR (Deutsches Zentrum für Luft- und Raumfahrt)</v>
      </c>
      <c r="AS76" s="213" t="str">
        <f>_xlfn.CONCAT(AP76,"_","RAT","_",Tab_4.DISP_INEX[[#This Row],[FORNECEDOR]])</f>
        <v>72_RAT_DLR (Deutsches Zentrum für Luft- und Raumfahrt)</v>
      </c>
    </row>
    <row r="77" spans="2:45" ht="60" x14ac:dyDescent="0.25">
      <c r="B77" s="68">
        <v>45912</v>
      </c>
      <c r="C77" s="11" t="s">
        <v>56</v>
      </c>
      <c r="D77" s="69" t="s">
        <v>53</v>
      </c>
      <c r="E77" s="7" t="s">
        <v>53</v>
      </c>
      <c r="F77" s="7" t="s">
        <v>657</v>
      </c>
      <c r="G77" s="57" t="s">
        <v>45</v>
      </c>
      <c r="H77" s="69" t="s">
        <v>185</v>
      </c>
      <c r="I77" s="69" t="s">
        <v>28</v>
      </c>
      <c r="J77" s="69" t="s">
        <v>658</v>
      </c>
      <c r="K77" s="22" t="s">
        <v>840</v>
      </c>
      <c r="L77" s="69" t="s">
        <v>68</v>
      </c>
      <c r="M77" s="70" t="s">
        <v>667</v>
      </c>
      <c r="N77" s="70" t="s">
        <v>668</v>
      </c>
      <c r="O77" s="70" t="s">
        <v>673</v>
      </c>
      <c r="P77" s="70" t="s">
        <v>681</v>
      </c>
      <c r="Q77" s="70" t="s">
        <v>943</v>
      </c>
      <c r="R77" s="70" t="s">
        <v>681</v>
      </c>
      <c r="S77" s="24">
        <v>45922</v>
      </c>
      <c r="T77" s="71">
        <v>45922</v>
      </c>
      <c r="U77" s="19">
        <v>45922</v>
      </c>
      <c r="V77" s="157">
        <v>10800</v>
      </c>
      <c r="W77" s="70" t="s">
        <v>682</v>
      </c>
      <c r="X77" s="70" t="s">
        <v>607</v>
      </c>
      <c r="Y77" s="70" t="s">
        <v>15</v>
      </c>
      <c r="Z77" s="72">
        <v>10015968</v>
      </c>
      <c r="AA77" s="48"/>
      <c r="AB77" s="48"/>
      <c r="AC77" s="68">
        <v>45918</v>
      </c>
      <c r="AD77" s="69">
        <f>NETWORKDAYS.INTL(Tab_4.DISP_INEX[[#This Row],[DATA RECEBIDO]],Tab_4.DISP_INEX[[#This Row],[DATA 
FINALIZADO]],1,Lista!$U$3:$U$15)</f>
        <v>5</v>
      </c>
      <c r="AE77" s="1" t="s">
        <v>56</v>
      </c>
      <c r="AF77" s="69" t="s">
        <v>628</v>
      </c>
      <c r="AG77" s="69" t="s">
        <v>698</v>
      </c>
      <c r="AH77" s="69" t="s">
        <v>697</v>
      </c>
      <c r="AI77" s="69" t="s">
        <v>509</v>
      </c>
      <c r="AJ77" s="203" t="s">
        <v>970</v>
      </c>
      <c r="AK77" s="8" t="s">
        <v>65</v>
      </c>
      <c r="AL77" s="8" t="s">
        <v>65</v>
      </c>
      <c r="AM77" s="8" t="s">
        <v>65</v>
      </c>
      <c r="AP77" s="212">
        <v>73</v>
      </c>
      <c r="AQ77" s="213" t="str">
        <f>_xlfn.CONCAT(AP77,"_","TR","_",Tab_4.DISP_INEX[[#This Row],[FORNECEDOR]])</f>
        <v>73_TR_GLASBERG COMUNICAÇÕES LTDA</v>
      </c>
      <c r="AR77" s="213" t="str">
        <f>_xlfn.CONCAT(AP77,"_","JUST","_",Tab_4.DISP_INEX[[#This Row],[FORNECEDOR]])</f>
        <v>73_JUST_GLASBERG COMUNICAÇÕES LTDA</v>
      </c>
      <c r="AS77" s="213" t="str">
        <f>_xlfn.CONCAT(AP77,"_","RAT","_",Tab_4.DISP_INEX[[#This Row],[FORNECEDOR]])</f>
        <v>73_RAT_GLASBERG COMUNICAÇÕES LTDA</v>
      </c>
    </row>
    <row r="78" spans="2:45" ht="45" x14ac:dyDescent="0.25">
      <c r="B78" s="68">
        <v>45831</v>
      </c>
      <c r="C78" s="11" t="s">
        <v>610</v>
      </c>
      <c r="D78" s="69" t="s">
        <v>53</v>
      </c>
      <c r="E78" s="7" t="s">
        <v>53</v>
      </c>
      <c r="F78" s="7" t="s">
        <v>824</v>
      </c>
      <c r="G78" s="57" t="s">
        <v>46</v>
      </c>
      <c r="H78" s="69" t="s">
        <v>202</v>
      </c>
      <c r="I78" s="69" t="s">
        <v>23</v>
      </c>
      <c r="J78" s="69" t="s">
        <v>570</v>
      </c>
      <c r="K78" s="7" t="s">
        <v>845</v>
      </c>
      <c r="L78" s="69" t="s">
        <v>68</v>
      </c>
      <c r="M78" s="70" t="s">
        <v>571</v>
      </c>
      <c r="N78" s="70" t="s">
        <v>572</v>
      </c>
      <c r="O78" s="70" t="s">
        <v>449</v>
      </c>
      <c r="P78" s="70" t="s">
        <v>573</v>
      </c>
      <c r="Q78" s="70" t="s">
        <v>573</v>
      </c>
      <c r="R78" s="70" t="s">
        <v>823</v>
      </c>
      <c r="S78" s="24">
        <v>45845</v>
      </c>
      <c r="T78" s="24">
        <v>45845</v>
      </c>
      <c r="U78" s="19">
        <v>46022</v>
      </c>
      <c r="V78" s="157">
        <v>3245</v>
      </c>
      <c r="W78" s="70" t="s">
        <v>825</v>
      </c>
      <c r="X78" s="70" t="s">
        <v>826</v>
      </c>
      <c r="Y78" s="70" t="s">
        <v>15</v>
      </c>
      <c r="Z78" s="72">
        <v>10004266</v>
      </c>
      <c r="AA78" s="48"/>
      <c r="AB78" s="48"/>
      <c r="AC78" s="68"/>
      <c r="AD78" s="69">
        <f>NETWORKDAYS.INTL(Tab_4.DISP_INEX[[#This Row],[DATA RECEBIDO]],Tab_4.DISP_INEX[[#This Row],[DATA 
FINALIZADO]],1,Lista!$U$3:$U$15)</f>
        <v>-32727</v>
      </c>
      <c r="AF78" s="7" t="s">
        <v>848</v>
      </c>
      <c r="AG78" s="7" t="s">
        <v>847</v>
      </c>
      <c r="AH78" s="7" t="s">
        <v>849</v>
      </c>
      <c r="AI78" s="69" t="s">
        <v>509</v>
      </c>
      <c r="AJ78" s="203" t="s">
        <v>978</v>
      </c>
      <c r="AK78" s="8" t="s">
        <v>65</v>
      </c>
      <c r="AL78" s="8" t="s">
        <v>65</v>
      </c>
      <c r="AM78" s="8" t="s">
        <v>65</v>
      </c>
      <c r="AP78" s="212">
        <v>74</v>
      </c>
      <c r="AQ78" s="213" t="str">
        <f>_xlfn.CONCAT(AP78,"_","TR","_",Tab_4.DISP_INEX[[#This Row],[FORNECEDOR]])</f>
        <v>74_TR_M &amp; J REFRIGERACAO LTDA</v>
      </c>
      <c r="AR78" s="213" t="str">
        <f>_xlfn.CONCAT(AP78,"_","JUST","_",Tab_4.DISP_INEX[[#This Row],[FORNECEDOR]])</f>
        <v>74_JUST_M &amp; J REFRIGERACAO LTDA</v>
      </c>
      <c r="AS78" s="213" t="str">
        <f>_xlfn.CONCAT(AP78,"_","RAT","_",Tab_4.DISP_INEX[[#This Row],[FORNECEDOR]])</f>
        <v>74_RAT_M &amp; J REFRIGERACAO LTDA</v>
      </c>
    </row>
    <row r="79" spans="2:45" ht="75" x14ac:dyDescent="0.25">
      <c r="B79" s="68">
        <v>45912</v>
      </c>
      <c r="C79" s="11" t="s">
        <v>56</v>
      </c>
      <c r="D79" s="69" t="s">
        <v>53</v>
      </c>
      <c r="E79" s="7" t="s">
        <v>53</v>
      </c>
      <c r="F79" s="7" t="s">
        <v>670</v>
      </c>
      <c r="G79" s="57" t="s">
        <v>45</v>
      </c>
      <c r="H79" s="69" t="s">
        <v>185</v>
      </c>
      <c r="I79" s="69" t="s">
        <v>28</v>
      </c>
      <c r="J79" s="69" t="s">
        <v>671</v>
      </c>
      <c r="K79" s="22" t="s">
        <v>840</v>
      </c>
      <c r="L79" s="69" t="s">
        <v>68</v>
      </c>
      <c r="M79" s="70" t="s">
        <v>674</v>
      </c>
      <c r="N79" s="70" t="s">
        <v>675</v>
      </c>
      <c r="O79" s="70" t="s">
        <v>673</v>
      </c>
      <c r="P79" s="70"/>
      <c r="Q79" s="70" t="s">
        <v>672</v>
      </c>
      <c r="R79" s="70" t="s">
        <v>672</v>
      </c>
      <c r="S79" s="24">
        <v>45916</v>
      </c>
      <c r="T79" s="71">
        <v>45916</v>
      </c>
      <c r="U79" s="19">
        <v>45916</v>
      </c>
      <c r="V79" s="157">
        <v>4000</v>
      </c>
      <c r="W79" s="70" t="s">
        <v>676</v>
      </c>
      <c r="X79" s="70" t="s">
        <v>607</v>
      </c>
      <c r="Y79" s="70" t="s">
        <v>15</v>
      </c>
      <c r="Z79" s="72">
        <v>10016047</v>
      </c>
      <c r="AA79" s="48">
        <v>10004306</v>
      </c>
      <c r="AB79" s="48"/>
      <c r="AC79" s="68">
        <v>45912</v>
      </c>
      <c r="AD79" s="69">
        <f>NETWORKDAYS.INTL(Tab_4.DISP_INEX[[#This Row],[DATA RECEBIDO]],Tab_4.DISP_INEX[[#This Row],[DATA 
FINALIZADO]],1,Lista!$U$3:$U$15)</f>
        <v>1</v>
      </c>
      <c r="AF79" s="69"/>
      <c r="AG79" s="69" t="s">
        <v>699</v>
      </c>
      <c r="AH79" s="69" t="s">
        <v>700</v>
      </c>
      <c r="AI79" s="69" t="s">
        <v>509</v>
      </c>
      <c r="AJ79" s="203" t="s">
        <v>971</v>
      </c>
      <c r="AK79" s="8" t="s">
        <v>65</v>
      </c>
      <c r="AL79" s="8" t="s">
        <v>65</v>
      </c>
      <c r="AM79" s="8" t="s">
        <v>65</v>
      </c>
      <c r="AP79" s="212">
        <v>75</v>
      </c>
      <c r="AQ79" s="213" t="str">
        <f>_xlfn.CONCAT(AP79,"_","TR","_",Tab_4.DISP_INEX[[#This Row],[FORNECEDOR]])</f>
        <v>75_TR_INSTITUTO BRASILEIRO DE DIREITO ADMINISTRATIVO - IBDA</v>
      </c>
      <c r="AR79" s="213" t="str">
        <f>_xlfn.CONCAT(AP79,"_","JUST","_",Tab_4.DISP_INEX[[#This Row],[FORNECEDOR]])</f>
        <v>75_JUST_INSTITUTO BRASILEIRO DE DIREITO ADMINISTRATIVO - IBDA</v>
      </c>
      <c r="AS79" s="213" t="str">
        <f>_xlfn.CONCAT(AP79,"_","RAT","_",Tab_4.DISP_INEX[[#This Row],[FORNECEDOR]])</f>
        <v>75_RAT_INSTITUTO BRASILEIRO DE DIREITO ADMINISTRATIVO - IBDA</v>
      </c>
    </row>
    <row r="80" spans="2:45" ht="70.5" customHeight="1" x14ac:dyDescent="0.25">
      <c r="B80" s="68">
        <v>45923</v>
      </c>
      <c r="C80" s="11" t="s">
        <v>66</v>
      </c>
      <c r="D80" s="69" t="s">
        <v>53</v>
      </c>
      <c r="E80" s="7" t="s">
        <v>53</v>
      </c>
      <c r="F80" s="7" t="s">
        <v>677</v>
      </c>
      <c r="G80" s="57" t="s">
        <v>45</v>
      </c>
      <c r="H80" s="69" t="s">
        <v>686</v>
      </c>
      <c r="I80" s="69" t="s">
        <v>23</v>
      </c>
      <c r="J80" s="69" t="s">
        <v>678</v>
      </c>
      <c r="K80" s="22" t="s">
        <v>840</v>
      </c>
      <c r="L80" s="69" t="s">
        <v>68</v>
      </c>
      <c r="M80" s="70" t="s">
        <v>679</v>
      </c>
      <c r="N80" s="70" t="s">
        <v>680</v>
      </c>
      <c r="O80" s="70" t="s">
        <v>442</v>
      </c>
      <c r="P80" s="70"/>
      <c r="Q80" s="70" t="s">
        <v>819</v>
      </c>
      <c r="R80" s="70" t="s">
        <v>820</v>
      </c>
      <c r="S80" s="24">
        <v>46006</v>
      </c>
      <c r="T80" s="24">
        <v>46006</v>
      </c>
      <c r="U80" s="19">
        <v>46736</v>
      </c>
      <c r="V80" s="157">
        <v>4357243.32</v>
      </c>
      <c r="W80" s="70" t="s">
        <v>821</v>
      </c>
      <c r="X80" s="70" t="s">
        <v>822</v>
      </c>
      <c r="Y80" s="70" t="s">
        <v>15</v>
      </c>
      <c r="Z80" s="72">
        <v>10016045</v>
      </c>
      <c r="AA80" s="48"/>
      <c r="AB80" s="48"/>
      <c r="AC80" s="68"/>
      <c r="AD80" s="69">
        <f>NETWORKDAYS.INTL(Tab_4.DISP_INEX[[#This Row],[DATA RECEBIDO]],Tab_4.DISP_INEX[[#This Row],[DATA 
FINALIZADO]],1,Lista!$U$3:$U$15)</f>
        <v>-32793</v>
      </c>
      <c r="AF80" s="69"/>
      <c r="AG80" s="69"/>
      <c r="AH80" s="69"/>
      <c r="AI80" s="69"/>
      <c r="AJ80" s="203" t="s">
        <v>987</v>
      </c>
      <c r="AK80" s="8" t="s">
        <v>65</v>
      </c>
      <c r="AL80" s="8" t="s">
        <v>65</v>
      </c>
      <c r="AM80" s="8" t="s">
        <v>65</v>
      </c>
      <c r="AP80" s="212">
        <v>76</v>
      </c>
      <c r="AQ80" s="213" t="str">
        <f>_xlfn.CONCAT(AP80,"_","TR","_",Tab_4.DISP_INEX[[#This Row],[FORNECEDOR]])</f>
        <v>76_TR_VERTIV TECNOLOGIA DO BRASIL LTDA.</v>
      </c>
      <c r="AR80" s="213" t="str">
        <f>_xlfn.CONCAT(AP80,"_","JUST","_",Tab_4.DISP_INEX[[#This Row],[FORNECEDOR]])</f>
        <v>76_JUST_VERTIV TECNOLOGIA DO BRASIL LTDA.</v>
      </c>
      <c r="AS80" s="213" t="str">
        <f>_xlfn.CONCAT(AP80,"_","RAT","_",Tab_4.DISP_INEX[[#This Row],[FORNECEDOR]])</f>
        <v>76_RAT_VERTIV TECNOLOGIA DO BRASIL LTDA.</v>
      </c>
    </row>
    <row r="81" spans="1:45" ht="45" x14ac:dyDescent="0.25">
      <c r="B81" s="68">
        <v>45932</v>
      </c>
      <c r="C81" s="11" t="s">
        <v>66</v>
      </c>
      <c r="D81" s="69" t="s">
        <v>53</v>
      </c>
      <c r="E81" s="7" t="s">
        <v>53</v>
      </c>
      <c r="F81" s="7" t="s">
        <v>683</v>
      </c>
      <c r="G81" s="57" t="s">
        <v>45</v>
      </c>
      <c r="H81" s="69" t="s">
        <v>185</v>
      </c>
      <c r="I81" s="69" t="s">
        <v>28</v>
      </c>
      <c r="J81" s="69" t="s">
        <v>684</v>
      </c>
      <c r="K81" s="22" t="s">
        <v>840</v>
      </c>
      <c r="L81" s="69" t="s">
        <v>68</v>
      </c>
      <c r="M81" s="70" t="s">
        <v>427</v>
      </c>
      <c r="N81" s="70" t="s">
        <v>428</v>
      </c>
      <c r="O81" s="70" t="s">
        <v>442</v>
      </c>
      <c r="P81" s="17" t="s">
        <v>65</v>
      </c>
      <c r="Q81" s="70" t="s">
        <v>827</v>
      </c>
      <c r="R81" s="70" t="s">
        <v>828</v>
      </c>
      <c r="S81" s="24">
        <v>45967</v>
      </c>
      <c r="T81" s="24">
        <v>45967</v>
      </c>
      <c r="U81" s="19">
        <v>46424</v>
      </c>
      <c r="V81" s="157">
        <v>1252476</v>
      </c>
      <c r="W81" s="70" t="s">
        <v>829</v>
      </c>
      <c r="X81" s="70" t="s">
        <v>830</v>
      </c>
      <c r="Y81" s="70"/>
      <c r="Z81" s="72"/>
      <c r="AA81" s="48"/>
      <c r="AB81" s="48"/>
      <c r="AC81" s="68"/>
      <c r="AD81" s="69">
        <f>NETWORKDAYS.INTL(Tab_4.DISP_INEX[[#This Row],[DATA RECEBIDO]],Tab_4.DISP_INEX[[#This Row],[DATA 
FINALIZADO]],1,Lista!$U$3:$U$15)</f>
        <v>-32800</v>
      </c>
      <c r="AF81" s="69"/>
      <c r="AG81" s="69"/>
      <c r="AH81" s="69"/>
      <c r="AI81" s="69"/>
      <c r="AJ81" s="203" t="s">
        <v>988</v>
      </c>
      <c r="AK81" s="8" t="s">
        <v>65</v>
      </c>
      <c r="AL81" s="8" t="s">
        <v>65</v>
      </c>
      <c r="AM81" s="8" t="s">
        <v>65</v>
      </c>
      <c r="AP81" s="212">
        <v>77</v>
      </c>
      <c r="AQ81" s="213" t="str">
        <f>_xlfn.CONCAT(AP81,"_","TR","_",Tab_4.DISP_INEX[[#This Row],[FORNECEDOR]])</f>
        <v>77_TR_IMPAKT CONSULTORIA S/S LIMITADA</v>
      </c>
      <c r="AR81" s="213" t="str">
        <f>_xlfn.CONCAT(AP81,"_","JUST","_",Tab_4.DISP_INEX[[#This Row],[FORNECEDOR]])</f>
        <v>77_JUST_IMPAKT CONSULTORIA S/S LIMITADA</v>
      </c>
      <c r="AS81" s="213" t="str">
        <f>_xlfn.CONCAT(AP81,"_","RAT","_",Tab_4.DISP_INEX[[#This Row],[FORNECEDOR]])</f>
        <v>77_RAT_IMPAKT CONSULTORIA S/S LIMITADA</v>
      </c>
    </row>
    <row r="82" spans="1:45" ht="60" x14ac:dyDescent="0.25">
      <c r="B82" s="68">
        <v>45932</v>
      </c>
      <c r="C82" s="11" t="s">
        <v>66</v>
      </c>
      <c r="D82" s="69" t="s">
        <v>53</v>
      </c>
      <c r="E82" s="69" t="s">
        <v>53</v>
      </c>
      <c r="F82" s="7" t="s">
        <v>685</v>
      </c>
      <c r="G82" s="57" t="s">
        <v>45</v>
      </c>
      <c r="H82" s="69" t="s">
        <v>686</v>
      </c>
      <c r="I82" s="69" t="s">
        <v>23</v>
      </c>
      <c r="J82" s="69" t="s">
        <v>687</v>
      </c>
      <c r="K82" s="22" t="s">
        <v>840</v>
      </c>
      <c r="L82" s="69" t="s">
        <v>68</v>
      </c>
      <c r="M82" s="70" t="s">
        <v>831</v>
      </c>
      <c r="N82" s="70" t="s">
        <v>832</v>
      </c>
      <c r="O82" s="70" t="s">
        <v>442</v>
      </c>
      <c r="P82" s="17" t="s">
        <v>65</v>
      </c>
      <c r="Q82" s="70" t="s">
        <v>833</v>
      </c>
      <c r="R82" s="70" t="s">
        <v>834</v>
      </c>
      <c r="S82" s="24">
        <v>46044</v>
      </c>
      <c r="T82" s="24">
        <v>46044</v>
      </c>
      <c r="U82" s="19">
        <v>46409</v>
      </c>
      <c r="V82" s="157">
        <v>762535.47</v>
      </c>
      <c r="W82" s="70" t="s">
        <v>835</v>
      </c>
      <c r="X82" s="70" t="s">
        <v>836</v>
      </c>
      <c r="Y82" s="70"/>
      <c r="Z82" s="72">
        <v>10016046</v>
      </c>
      <c r="AA82" s="48"/>
      <c r="AB82" s="48"/>
      <c r="AC82" s="68"/>
      <c r="AD82" s="69">
        <f>NETWORKDAYS.INTL(Tab_4.DISP_INEX[[#This Row],[DATA RECEBIDO]],Tab_4.DISP_INEX[[#This Row],[DATA 
FINALIZADO]],1,Lista!$U$3:$U$15)</f>
        <v>-32800</v>
      </c>
      <c r="AF82" s="69"/>
      <c r="AG82" s="69" t="s">
        <v>1127</v>
      </c>
      <c r="AH82" s="69" t="s">
        <v>509</v>
      </c>
      <c r="AI82" s="69" t="s">
        <v>509</v>
      </c>
      <c r="AJ82" s="203" t="s">
        <v>935</v>
      </c>
      <c r="AK82" s="247" t="s">
        <v>1172</v>
      </c>
      <c r="AL82" s="247" t="s">
        <v>1170</v>
      </c>
      <c r="AM82" s="247" t="s">
        <v>1171</v>
      </c>
      <c r="AP82" s="212">
        <v>77</v>
      </c>
      <c r="AQ82" s="213" t="str">
        <f>_xlfn.CONCAT(AP82,"_","TR","_",Tab_4.DISP_INEX[[#This Row],[FORNECEDOR]])</f>
        <v>77_TR_ROLLS ROYCE SOLUTIONS BRASIL LTDA</v>
      </c>
      <c r="AR82" s="213" t="str">
        <f>_xlfn.CONCAT(AP82,"_","JUST","_",Tab_4.DISP_INEX[[#This Row],[FORNECEDOR]])</f>
        <v>77_JUST_ROLLS ROYCE SOLUTIONS BRASIL LTDA</v>
      </c>
      <c r="AS82" s="213" t="str">
        <f>_xlfn.CONCAT(AP82,"_","RAT","_",Tab_4.DISP_INEX[[#This Row],[FORNECEDOR]])</f>
        <v>77_RAT_ROLLS ROYCE SOLUTIONS BRASIL LTDA</v>
      </c>
    </row>
    <row r="83" spans="1:45" ht="135" x14ac:dyDescent="0.25">
      <c r="B83" s="230">
        <v>45937</v>
      </c>
      <c r="C83" s="11" t="s">
        <v>56</v>
      </c>
      <c r="D83" s="69" t="s">
        <v>53</v>
      </c>
      <c r="E83" s="69" t="s">
        <v>53</v>
      </c>
      <c r="F83" s="7" t="s">
        <v>1118</v>
      </c>
      <c r="G83" s="231" t="s">
        <v>45</v>
      </c>
      <c r="H83" s="7" t="s">
        <v>196</v>
      </c>
      <c r="I83" s="231" t="s">
        <v>28</v>
      </c>
      <c r="J83" s="7" t="s">
        <v>1119</v>
      </c>
      <c r="K83" s="231" t="s">
        <v>840</v>
      </c>
      <c r="L83" s="7" t="s">
        <v>68</v>
      </c>
      <c r="M83" s="17" t="s">
        <v>377</v>
      </c>
      <c r="N83" s="17" t="s">
        <v>378</v>
      </c>
      <c r="O83" s="232" t="s">
        <v>673</v>
      </c>
      <c r="P83" s="17" t="s">
        <v>65</v>
      </c>
      <c r="Q83" s="17" t="s">
        <v>1120</v>
      </c>
      <c r="R83" s="17" t="s">
        <v>1120</v>
      </c>
      <c r="S83" s="233">
        <v>45938</v>
      </c>
      <c r="T83" s="233">
        <v>45938</v>
      </c>
      <c r="U83" s="233">
        <v>45938</v>
      </c>
      <c r="V83" s="235">
        <v>18100</v>
      </c>
      <c r="W83" s="17" t="s">
        <v>1121</v>
      </c>
      <c r="X83" s="17" t="s">
        <v>1122</v>
      </c>
      <c r="Y83" s="17" t="s">
        <v>15</v>
      </c>
      <c r="Z83" s="234">
        <v>10016086</v>
      </c>
      <c r="AA83" s="48">
        <v>10001658</v>
      </c>
      <c r="AB83" s="48"/>
      <c r="AC83" s="230">
        <v>45945</v>
      </c>
      <c r="AD83" s="231">
        <f>NETWORKDAYS.INTL(Tab_4.DISP_INEX[[#This Row],[DATA RECEBIDO]],Tab_4.DISP_INEX[[#This Row],[DATA 
FINALIZADO]],1,Lista!$U$3:$U$15)</f>
        <v>7</v>
      </c>
      <c r="AF83" s="231"/>
      <c r="AG83" s="231"/>
      <c r="AH83" s="231"/>
      <c r="AI83" s="231"/>
      <c r="AJ83" s="247" t="s">
        <v>1355</v>
      </c>
      <c r="AK83" s="8" t="s">
        <v>65</v>
      </c>
      <c r="AL83" s="8" t="s">
        <v>65</v>
      </c>
      <c r="AM83" s="8" t="s">
        <v>65</v>
      </c>
      <c r="AP83" s="212">
        <v>77</v>
      </c>
      <c r="AQ83" s="213" t="str">
        <f>_xlfn.CONCAT(AP83,"_","TR","_",Tab_4.DISP_INEX[[#This Row],[FORNECEDOR]])</f>
        <v>77_TR_NP Tecnologia e Gestão de Dados Ltda</v>
      </c>
      <c r="AR83" s="213" t="str">
        <f>_xlfn.CONCAT(AP83,"_","JUST","_",Tab_4.DISP_INEX[[#This Row],[FORNECEDOR]])</f>
        <v>77_JUST_NP Tecnologia e Gestão de Dados Ltda</v>
      </c>
      <c r="AS83" s="213" t="str">
        <f>_xlfn.CONCAT(AP83,"_","RAT","_",Tab_4.DISP_INEX[[#This Row],[FORNECEDOR]])</f>
        <v>77_RAT_NP Tecnologia e Gestão de Dados Ltda</v>
      </c>
    </row>
    <row r="84" spans="1:45" ht="75" x14ac:dyDescent="0.25">
      <c r="B84" s="68">
        <v>45944</v>
      </c>
      <c r="C84" s="11" t="s">
        <v>56</v>
      </c>
      <c r="D84" s="69" t="s">
        <v>53</v>
      </c>
      <c r="E84" s="7" t="s">
        <v>53</v>
      </c>
      <c r="F84" s="7" t="s">
        <v>701</v>
      </c>
      <c r="G84" s="57" t="s">
        <v>45</v>
      </c>
      <c r="H84" s="69" t="s">
        <v>185</v>
      </c>
      <c r="I84" s="7" t="s">
        <v>28</v>
      </c>
      <c r="J84" s="69" t="s">
        <v>702</v>
      </c>
      <c r="K84" s="22" t="s">
        <v>840</v>
      </c>
      <c r="L84" s="69" t="s">
        <v>68</v>
      </c>
      <c r="M84" s="70" t="s">
        <v>703</v>
      </c>
      <c r="N84" s="70" t="s">
        <v>359</v>
      </c>
      <c r="O84" s="70" t="s">
        <v>673</v>
      </c>
      <c r="P84" s="70" t="s">
        <v>704</v>
      </c>
      <c r="Q84" s="70" t="s">
        <v>944</v>
      </c>
      <c r="R84" s="70" t="s">
        <v>704</v>
      </c>
      <c r="S84" s="24">
        <v>45947</v>
      </c>
      <c r="T84" s="71">
        <v>45947</v>
      </c>
      <c r="U84" s="19">
        <v>45947</v>
      </c>
      <c r="V84" s="157">
        <v>2775</v>
      </c>
      <c r="W84" s="70" t="s">
        <v>705</v>
      </c>
      <c r="X84" s="70" t="s">
        <v>607</v>
      </c>
      <c r="Y84" s="70" t="s">
        <v>15</v>
      </c>
      <c r="Z84" s="72">
        <v>10016089</v>
      </c>
      <c r="AA84" s="48">
        <v>10004111</v>
      </c>
      <c r="AB84" s="48"/>
      <c r="AC84" s="68"/>
      <c r="AD84" s="69">
        <f>NETWORKDAYS.INTL(Tab_4.DISP_INEX[[#This Row],[DATA RECEBIDO]],Tab_4.DISP_INEX[[#This Row],[DATA 
FINALIZADO]],1,Lista!$U$3:$U$15)</f>
        <v>-32808</v>
      </c>
      <c r="AF84" s="69"/>
      <c r="AG84" s="69" t="s">
        <v>782</v>
      </c>
      <c r="AH84" s="69" t="s">
        <v>789</v>
      </c>
      <c r="AI84" s="7" t="s">
        <v>509</v>
      </c>
      <c r="AJ84" s="203" t="s">
        <v>972</v>
      </c>
      <c r="AK84" s="8" t="s">
        <v>65</v>
      </c>
      <c r="AL84" s="8" t="s">
        <v>65</v>
      </c>
      <c r="AM84" s="8" t="s">
        <v>65</v>
      </c>
      <c r="AP84" s="212">
        <v>79</v>
      </c>
      <c r="AQ84" s="213" t="str">
        <f>_xlfn.CONCAT(AP84,"_","TR","_",Tab_4.DISP_INEX[[#This Row],[FORNECEDOR]])</f>
        <v>79_TR_INSTITUTO DOS AUDITORES INTERNOS DO BRASIL</v>
      </c>
      <c r="AR84" s="213" t="str">
        <f>_xlfn.CONCAT(AP84,"_","JUST","_",Tab_4.DISP_INEX[[#This Row],[FORNECEDOR]])</f>
        <v>79_JUST_INSTITUTO DOS AUDITORES INTERNOS DO BRASIL</v>
      </c>
      <c r="AS84" s="213" t="str">
        <f>_xlfn.CONCAT(AP84,"_","RAT","_",Tab_4.DISP_INEX[[#This Row],[FORNECEDOR]])</f>
        <v>79_RAT_INSTITUTO DOS AUDITORES INTERNOS DO BRASIL</v>
      </c>
    </row>
    <row r="85" spans="1:45" ht="45" x14ac:dyDescent="0.25">
      <c r="B85" s="68">
        <v>45954</v>
      </c>
      <c r="C85" s="11" t="s">
        <v>56</v>
      </c>
      <c r="D85" s="69" t="s">
        <v>53</v>
      </c>
      <c r="E85" s="7" t="s">
        <v>53</v>
      </c>
      <c r="F85" s="7" t="s">
        <v>706</v>
      </c>
      <c r="G85" s="57" t="s">
        <v>45</v>
      </c>
      <c r="H85" s="69" t="s">
        <v>185</v>
      </c>
      <c r="I85" s="69" t="s">
        <v>28</v>
      </c>
      <c r="J85" s="69" t="s">
        <v>708</v>
      </c>
      <c r="K85" s="22" t="s">
        <v>840</v>
      </c>
      <c r="L85" s="69" t="s">
        <v>68</v>
      </c>
      <c r="M85" s="70" t="s">
        <v>707</v>
      </c>
      <c r="N85" s="70" t="s">
        <v>713</v>
      </c>
      <c r="O85" s="70" t="s">
        <v>673</v>
      </c>
      <c r="P85" s="70" t="s">
        <v>709</v>
      </c>
      <c r="Q85" s="70" t="s">
        <v>709</v>
      </c>
      <c r="R85" s="70" t="s">
        <v>709</v>
      </c>
      <c r="S85" s="24">
        <v>45958</v>
      </c>
      <c r="T85" s="71">
        <v>45958</v>
      </c>
      <c r="U85" s="19">
        <v>45958</v>
      </c>
      <c r="V85" s="157">
        <v>17500</v>
      </c>
      <c r="W85" s="70" t="s">
        <v>710</v>
      </c>
      <c r="X85" s="70" t="s">
        <v>607</v>
      </c>
      <c r="Y85" s="70" t="s">
        <v>15</v>
      </c>
      <c r="Z85" s="72">
        <v>10016133</v>
      </c>
      <c r="AA85" s="48">
        <v>10002161</v>
      </c>
      <c r="AB85" s="48" t="s">
        <v>709</v>
      </c>
      <c r="AC85" s="68"/>
      <c r="AD85" s="69">
        <f>NETWORKDAYS.INTL(Tab_4.DISP_INEX[[#This Row],[DATA RECEBIDO]],Tab_4.DISP_INEX[[#This Row],[DATA 
FINALIZADO]],1,Lista!$U$3:$U$15)</f>
        <v>-32816</v>
      </c>
      <c r="AF85" s="69"/>
      <c r="AG85" s="69" t="s">
        <v>783</v>
      </c>
      <c r="AH85" s="69" t="s">
        <v>790</v>
      </c>
      <c r="AI85" s="7" t="s">
        <v>509</v>
      </c>
      <c r="AJ85" s="203" t="s">
        <v>973</v>
      </c>
      <c r="AK85" s="8" t="s">
        <v>65</v>
      </c>
      <c r="AL85" s="8" t="s">
        <v>65</v>
      </c>
      <c r="AM85" s="8" t="s">
        <v>65</v>
      </c>
      <c r="AP85" s="212">
        <v>80</v>
      </c>
      <c r="AQ85" s="213" t="str">
        <f>_xlfn.CONCAT(AP85,"_","TR","_",Tab_4.DISP_INEX[[#This Row],[FORNECEDOR]])</f>
        <v>80_TR_MCI BRASIL LTDA</v>
      </c>
      <c r="AR85" s="213" t="str">
        <f>_xlfn.CONCAT(AP85,"_","JUST","_",Tab_4.DISP_INEX[[#This Row],[FORNECEDOR]])</f>
        <v>80_JUST_MCI BRASIL LTDA</v>
      </c>
      <c r="AS85" s="213" t="str">
        <f>_xlfn.CONCAT(AP85,"_","RAT","_",Tab_4.DISP_INEX[[#This Row],[FORNECEDOR]])</f>
        <v>80_RAT_MCI BRASIL LTDA</v>
      </c>
    </row>
    <row r="86" spans="1:45" ht="75" x14ac:dyDescent="0.25">
      <c r="B86" s="94">
        <v>45961</v>
      </c>
      <c r="C86" s="94" t="s">
        <v>56</v>
      </c>
      <c r="D86" s="95" t="s">
        <v>53</v>
      </c>
      <c r="E86" s="7" t="s">
        <v>53</v>
      </c>
      <c r="F86" s="95" t="s">
        <v>711</v>
      </c>
      <c r="G86" s="95" t="s">
        <v>45</v>
      </c>
      <c r="H86" s="95" t="s">
        <v>185</v>
      </c>
      <c r="I86" s="95" t="s">
        <v>28</v>
      </c>
      <c r="J86" s="95" t="s">
        <v>712</v>
      </c>
      <c r="K86" s="22" t="s">
        <v>840</v>
      </c>
      <c r="L86" s="95" t="s">
        <v>68</v>
      </c>
      <c r="M86" s="96" t="s">
        <v>478</v>
      </c>
      <c r="N86" s="96" t="s">
        <v>304</v>
      </c>
      <c r="O86" s="96" t="s">
        <v>673</v>
      </c>
      <c r="P86" s="96" t="s">
        <v>714</v>
      </c>
      <c r="Q86" s="96" t="s">
        <v>714</v>
      </c>
      <c r="R86" s="96" t="s">
        <v>714</v>
      </c>
      <c r="S86" s="24">
        <v>45966</v>
      </c>
      <c r="T86" s="97">
        <v>45966</v>
      </c>
      <c r="U86" s="19">
        <v>45966</v>
      </c>
      <c r="V86" s="158">
        <v>25500</v>
      </c>
      <c r="W86" s="96" t="s">
        <v>715</v>
      </c>
      <c r="X86" s="96" t="s">
        <v>607</v>
      </c>
      <c r="Y86" s="96" t="s">
        <v>15</v>
      </c>
      <c r="Z86" s="98">
        <v>10016135</v>
      </c>
      <c r="AA86" s="48">
        <v>10003951</v>
      </c>
      <c r="AB86" s="48"/>
      <c r="AC86" s="94">
        <v>45968</v>
      </c>
      <c r="AD86" s="69">
        <f>NETWORKDAYS.INTL(Tab_4.DISP_INEX[[#This Row],[DATA RECEBIDO]],Tab_4.DISP_INEX[[#This Row],[DATA 
FINALIZADO]],1,Lista!$U$3:$U$15)</f>
        <v>6</v>
      </c>
      <c r="AF86" s="95"/>
      <c r="AG86" s="7" t="s">
        <v>785</v>
      </c>
      <c r="AH86" s="95" t="s">
        <v>791</v>
      </c>
      <c r="AI86" s="7" t="s">
        <v>509</v>
      </c>
      <c r="AJ86" s="203" t="s">
        <v>974</v>
      </c>
      <c r="AK86" s="8" t="s">
        <v>65</v>
      </c>
      <c r="AL86" s="8" t="s">
        <v>65</v>
      </c>
      <c r="AM86" s="8" t="s">
        <v>65</v>
      </c>
      <c r="AP86" s="212">
        <v>81</v>
      </c>
      <c r="AQ86" s="213" t="str">
        <f>_xlfn.CONCAT(AP86,"_","TR","_",Tab_4.DISP_INEX[[#This Row],[FORNECEDOR]])</f>
        <v>81_TR_INSTITUTO BRASILEIRO DE GOVERNANÇA CORPORATIVA</v>
      </c>
      <c r="AR86" s="213" t="str">
        <f>_xlfn.CONCAT(AP86,"_","JUST","_",Tab_4.DISP_INEX[[#This Row],[FORNECEDOR]])</f>
        <v>81_JUST_INSTITUTO BRASILEIRO DE GOVERNANÇA CORPORATIVA</v>
      </c>
      <c r="AS86" s="213" t="str">
        <f>_xlfn.CONCAT(AP86,"_","RAT","_",Tab_4.DISP_INEX[[#This Row],[FORNECEDOR]])</f>
        <v>81_RAT_INSTITUTO BRASILEIRO DE GOVERNANÇA CORPORATIVA</v>
      </c>
    </row>
    <row r="87" spans="1:45" ht="45" x14ac:dyDescent="0.25">
      <c r="B87" s="94">
        <v>45968</v>
      </c>
      <c r="C87" s="94" t="s">
        <v>56</v>
      </c>
      <c r="D87" s="95" t="s">
        <v>53</v>
      </c>
      <c r="E87" s="7" t="s">
        <v>53</v>
      </c>
      <c r="F87" s="95" t="s">
        <v>716</v>
      </c>
      <c r="G87" s="95" t="s">
        <v>45</v>
      </c>
      <c r="H87" s="95" t="s">
        <v>185</v>
      </c>
      <c r="I87" s="95" t="s">
        <v>28</v>
      </c>
      <c r="J87" s="95" t="s">
        <v>717</v>
      </c>
      <c r="K87" s="22" t="s">
        <v>840</v>
      </c>
      <c r="L87" s="95" t="s">
        <v>68</v>
      </c>
      <c r="M87" s="96" t="s">
        <v>616</v>
      </c>
      <c r="N87" s="96" t="s">
        <v>718</v>
      </c>
      <c r="O87" s="96" t="s">
        <v>673</v>
      </c>
      <c r="P87" s="96" t="s">
        <v>722</v>
      </c>
      <c r="Q87" s="96" t="s">
        <v>945</v>
      </c>
      <c r="R87" s="96" t="s">
        <v>722</v>
      </c>
      <c r="S87" s="24">
        <v>45972</v>
      </c>
      <c r="T87" s="97">
        <v>45972</v>
      </c>
      <c r="U87" s="19">
        <v>45972</v>
      </c>
      <c r="V87" s="158">
        <v>17000</v>
      </c>
      <c r="W87" s="96" t="s">
        <v>724</v>
      </c>
      <c r="X87" s="96" t="s">
        <v>723</v>
      </c>
      <c r="Y87" s="96" t="s">
        <v>15</v>
      </c>
      <c r="Z87" s="98">
        <v>10016203</v>
      </c>
      <c r="AA87" s="48">
        <v>10003967</v>
      </c>
      <c r="AB87" s="48"/>
      <c r="AC87" s="94">
        <v>45974</v>
      </c>
      <c r="AD87" s="69">
        <f>NETWORKDAYS.INTL(Tab_4.DISP_INEX[[#This Row],[DATA RECEBIDO]],Tab_4.DISP_INEX[[#This Row],[DATA 
FINALIZADO]],1,Lista!$U$3:$U$15)</f>
        <v>5</v>
      </c>
      <c r="AF87" s="95"/>
      <c r="AG87" s="7" t="s">
        <v>786</v>
      </c>
      <c r="AH87" s="95" t="s">
        <v>792</v>
      </c>
      <c r="AI87" s="7" t="s">
        <v>509</v>
      </c>
      <c r="AJ87" s="203" t="s">
        <v>975</v>
      </c>
      <c r="AK87" s="8" t="s">
        <v>65</v>
      </c>
      <c r="AL87" s="8" t="s">
        <v>65</v>
      </c>
      <c r="AM87" s="8" t="s">
        <v>65</v>
      </c>
      <c r="AP87" s="212">
        <v>82</v>
      </c>
      <c r="AQ87" s="213" t="str">
        <f>_xlfn.CONCAT(AP87,"_","TR","_",Tab_4.DISP_INEX[[#This Row],[FORNECEDOR]])</f>
        <v>82_TR_IBMEC EDUCACIONAL LTDA</v>
      </c>
      <c r="AR87" s="213" t="str">
        <f>_xlfn.CONCAT(AP87,"_","JUST","_",Tab_4.DISP_INEX[[#This Row],[FORNECEDOR]])</f>
        <v>82_JUST_IBMEC EDUCACIONAL LTDA</v>
      </c>
      <c r="AS87" s="213" t="str">
        <f>_xlfn.CONCAT(AP87,"_","RAT","_",Tab_4.DISP_INEX[[#This Row],[FORNECEDOR]])</f>
        <v>82_RAT_IBMEC EDUCACIONAL LTDA</v>
      </c>
    </row>
    <row r="88" spans="1:45" ht="75" x14ac:dyDescent="0.25">
      <c r="B88" s="94">
        <v>45994</v>
      </c>
      <c r="C88" s="119" t="s">
        <v>763</v>
      </c>
      <c r="D88" s="69" t="s">
        <v>53</v>
      </c>
      <c r="E88" s="7" t="s">
        <v>53</v>
      </c>
      <c r="F88" s="95" t="s">
        <v>725</v>
      </c>
      <c r="G88" s="95" t="s">
        <v>45</v>
      </c>
      <c r="H88" s="95" t="s">
        <v>292</v>
      </c>
      <c r="I88" s="95" t="s">
        <v>28</v>
      </c>
      <c r="J88" s="95" t="s">
        <v>726</v>
      </c>
      <c r="K88" s="22" t="s">
        <v>840</v>
      </c>
      <c r="L88" s="95" t="s">
        <v>68</v>
      </c>
      <c r="M88" s="96" t="s">
        <v>727</v>
      </c>
      <c r="N88" s="96" t="s">
        <v>728</v>
      </c>
      <c r="O88" s="96" t="s">
        <v>445</v>
      </c>
      <c r="P88" s="17" t="s">
        <v>65</v>
      </c>
      <c r="Q88" s="96" t="s">
        <v>837</v>
      </c>
      <c r="R88" s="96" t="s">
        <v>837</v>
      </c>
      <c r="S88" s="97">
        <v>46036</v>
      </c>
      <c r="T88" s="97">
        <v>46036</v>
      </c>
      <c r="U88" s="19">
        <v>46401</v>
      </c>
      <c r="V88" s="158">
        <v>6353.64</v>
      </c>
      <c r="W88" s="96" t="s">
        <v>838</v>
      </c>
      <c r="X88" s="96" t="s">
        <v>839</v>
      </c>
      <c r="Y88" s="96"/>
      <c r="Z88" s="98"/>
      <c r="AA88" s="48"/>
      <c r="AB88" s="48"/>
      <c r="AC88" s="94"/>
      <c r="AD88" s="69">
        <f>NETWORKDAYS.INTL(Tab_4.DISP_INEX[[#This Row],[DATA RECEBIDO]],Tab_4.DISP_INEX[[#This Row],[DATA 
FINALIZADO]],1,Lista!$U$3:$U$15)</f>
        <v>-32844</v>
      </c>
      <c r="AF88" s="95"/>
      <c r="AG88" s="7" t="s">
        <v>914</v>
      </c>
      <c r="AH88" s="7" t="s">
        <v>509</v>
      </c>
      <c r="AI88" s="7" t="s">
        <v>509</v>
      </c>
      <c r="AJ88" s="204" t="s">
        <v>898</v>
      </c>
      <c r="AK88" s="247" t="s">
        <v>1175</v>
      </c>
      <c r="AL88" s="247" t="s">
        <v>1173</v>
      </c>
      <c r="AM88" s="247" t="s">
        <v>1174</v>
      </c>
      <c r="AP88" s="212">
        <v>83</v>
      </c>
      <c r="AQ88" s="213" t="str">
        <f>_xlfn.CONCAT(AP88,"_","TR","_",Tab_4.DISP_INEX[[#This Row],[FORNECEDOR]])</f>
        <v xml:space="preserve">83_TR_SERPRO - SERVIÇO FEDERAL DE PROCESSAMENTO DE DADOS </v>
      </c>
      <c r="AR88" s="213" t="str">
        <f>_xlfn.CONCAT(AP88,"_","JUST","_",Tab_4.DISP_INEX[[#This Row],[FORNECEDOR]])</f>
        <v xml:space="preserve">83_JUST_SERPRO - SERVIÇO FEDERAL DE PROCESSAMENTO DE DADOS </v>
      </c>
      <c r="AS88" s="213" t="str">
        <f>_xlfn.CONCAT(AP88,"_","RAT","_",Tab_4.DISP_INEX[[#This Row],[FORNECEDOR]])</f>
        <v xml:space="preserve">83_RAT_SERPRO - SERVIÇO FEDERAL DE PROCESSAMENTO DE DADOS </v>
      </c>
    </row>
    <row r="89" spans="1:45" ht="45" x14ac:dyDescent="0.25">
      <c r="A89" s="83"/>
      <c r="B89" s="108">
        <v>45925</v>
      </c>
      <c r="C89" s="134" t="s">
        <v>66</v>
      </c>
      <c r="D89" s="95" t="s">
        <v>53</v>
      </c>
      <c r="E89" s="7" t="s">
        <v>53</v>
      </c>
      <c r="F89" s="99" t="s">
        <v>729</v>
      </c>
      <c r="G89" s="117" t="s">
        <v>46</v>
      </c>
      <c r="H89" s="100" t="s">
        <v>731</v>
      </c>
      <c r="I89" s="100" t="s">
        <v>23</v>
      </c>
      <c r="J89" s="109" t="s">
        <v>730</v>
      </c>
      <c r="K89" s="7" t="s">
        <v>845</v>
      </c>
      <c r="L89" s="99" t="s">
        <v>68</v>
      </c>
      <c r="M89" s="101" t="s">
        <v>733</v>
      </c>
      <c r="N89" s="102" t="s">
        <v>734</v>
      </c>
      <c r="O89" s="102" t="s">
        <v>673</v>
      </c>
      <c r="P89" s="17" t="s">
        <v>65</v>
      </c>
      <c r="Q89" s="96" t="s">
        <v>735</v>
      </c>
      <c r="R89" s="103" t="s">
        <v>735</v>
      </c>
      <c r="S89" s="104">
        <v>45932</v>
      </c>
      <c r="T89" s="104">
        <v>45932</v>
      </c>
      <c r="U89" s="19">
        <v>45952</v>
      </c>
      <c r="V89" s="159">
        <v>7760</v>
      </c>
      <c r="W89" s="96" t="s">
        <v>736</v>
      </c>
      <c r="X89" s="103" t="s">
        <v>85</v>
      </c>
      <c r="Y89" s="96" t="s">
        <v>15</v>
      </c>
      <c r="Z89" s="105"/>
      <c r="AA89" s="48"/>
      <c r="AB89" s="48"/>
      <c r="AC89" s="106">
        <v>45940</v>
      </c>
      <c r="AD89" s="107">
        <f>NETWORKDAYS.INTL(Tab_4.DISP_INEX[[#This Row],[DATA RECEBIDO]],Tab_4.DISP_INEX[[#This Row],[DATA 
FINALIZADO]],1,Lista!$U$3:$U$15)</f>
        <v>12</v>
      </c>
      <c r="AE89" s="81"/>
      <c r="AF89" s="95"/>
      <c r="AG89" s="95" t="s">
        <v>787</v>
      </c>
      <c r="AH89" s="95" t="s">
        <v>793</v>
      </c>
      <c r="AI89" s="7" t="s">
        <v>509</v>
      </c>
      <c r="AJ89" s="203" t="s">
        <v>976</v>
      </c>
      <c r="AK89" s="8" t="s">
        <v>65</v>
      </c>
      <c r="AL89" s="8" t="s">
        <v>65</v>
      </c>
      <c r="AM89" s="8" t="s">
        <v>65</v>
      </c>
      <c r="AP89" s="212">
        <v>84</v>
      </c>
      <c r="AQ89" s="213" t="str">
        <f>_xlfn.CONCAT(AP89,"_","TR","_",Tab_4.DISP_INEX[[#This Row],[FORNECEDOR]])</f>
        <v>84_TR_MARFAP COMERCIAL LTDA</v>
      </c>
      <c r="AR89" s="213" t="str">
        <f>_xlfn.CONCAT(AP89,"_","JUST","_",Tab_4.DISP_INEX[[#This Row],[FORNECEDOR]])</f>
        <v>84_JUST_MARFAP COMERCIAL LTDA</v>
      </c>
      <c r="AS89" s="213" t="str">
        <f>_xlfn.CONCAT(AP89,"_","RAT","_",Tab_4.DISP_INEX[[#This Row],[FORNECEDOR]])</f>
        <v>84_RAT_MARFAP COMERCIAL LTDA</v>
      </c>
    </row>
    <row r="90" spans="1:45" ht="90" x14ac:dyDescent="0.25">
      <c r="A90" s="84"/>
      <c r="B90" s="119">
        <v>45932</v>
      </c>
      <c r="C90" s="135" t="s">
        <v>66</v>
      </c>
      <c r="D90" s="95" t="s">
        <v>53</v>
      </c>
      <c r="E90" s="7" t="s">
        <v>53</v>
      </c>
      <c r="F90" s="87" t="s">
        <v>737</v>
      </c>
      <c r="G90" s="117" t="s">
        <v>46</v>
      </c>
      <c r="H90" s="7" t="s">
        <v>739</v>
      </c>
      <c r="I90" s="88" t="s">
        <v>23</v>
      </c>
      <c r="J90" s="88" t="s">
        <v>738</v>
      </c>
      <c r="K90" s="7" t="s">
        <v>845</v>
      </c>
      <c r="L90" s="87" t="s">
        <v>68</v>
      </c>
      <c r="M90" s="120" t="s">
        <v>740</v>
      </c>
      <c r="N90" s="121" t="s">
        <v>741</v>
      </c>
      <c r="O90" s="121" t="s">
        <v>673</v>
      </c>
      <c r="P90" s="17" t="s">
        <v>65</v>
      </c>
      <c r="Q90" s="17" t="s">
        <v>742</v>
      </c>
      <c r="R90" s="122" t="s">
        <v>742</v>
      </c>
      <c r="S90" s="123">
        <v>45982</v>
      </c>
      <c r="T90" s="123">
        <v>45982</v>
      </c>
      <c r="U90" s="19">
        <v>46003</v>
      </c>
      <c r="V90" s="160">
        <v>12680</v>
      </c>
      <c r="W90" s="17" t="s">
        <v>744</v>
      </c>
      <c r="X90" s="122" t="s">
        <v>743</v>
      </c>
      <c r="Y90" s="17" t="s">
        <v>15</v>
      </c>
      <c r="Z90" s="124"/>
      <c r="AA90" s="48"/>
      <c r="AB90" s="48"/>
      <c r="AC90" s="125">
        <v>45996</v>
      </c>
      <c r="AD90" s="117">
        <f>NETWORKDAYS.INTL(Tab_4.DISP_INEX[[#This Row],[DATA RECEBIDO]],Tab_4.DISP_INEX[[#This Row],[DATA 
FINALIZADO]],1,Lista!$U$3:$U$15)</f>
        <v>47</v>
      </c>
      <c r="AF90" s="7"/>
      <c r="AG90" s="7" t="s">
        <v>781</v>
      </c>
      <c r="AH90" s="7" t="s">
        <v>788</v>
      </c>
      <c r="AI90" s="7" t="s">
        <v>509</v>
      </c>
      <c r="AJ90" s="203" t="s">
        <v>977</v>
      </c>
      <c r="AK90" s="8" t="s">
        <v>65</v>
      </c>
      <c r="AL90" s="8" t="s">
        <v>65</v>
      </c>
      <c r="AM90" s="8" t="s">
        <v>65</v>
      </c>
      <c r="AP90" s="212">
        <v>85</v>
      </c>
      <c r="AQ90" s="213" t="str">
        <f>_xlfn.CONCAT(AP90,"_","TR","_",Tab_4.DISP_INEX[[#This Row],[FORNECEDOR]])</f>
        <v>85_TR_SOUL DISTRIBUIDORA DE PRODUTOS E EQUIPAMENTOS INDUSTRIAIS LTDA</v>
      </c>
      <c r="AR90" s="213" t="str">
        <f>_xlfn.CONCAT(AP90,"_","JUST","_",Tab_4.DISP_INEX[[#This Row],[FORNECEDOR]])</f>
        <v>85_JUST_SOUL DISTRIBUIDORA DE PRODUTOS E EQUIPAMENTOS INDUSTRIAIS LTDA</v>
      </c>
      <c r="AS90" s="213" t="str">
        <f>_xlfn.CONCAT(AP90,"_","RAT","_",Tab_4.DISP_INEX[[#This Row],[FORNECEDOR]])</f>
        <v>85_RAT_SOUL DISTRIBUIDORA DE PRODUTOS E EQUIPAMENTOS INDUSTRIAIS LTDA</v>
      </c>
    </row>
    <row r="91" spans="1:45" ht="90" x14ac:dyDescent="0.25">
      <c r="A91" s="84"/>
      <c r="B91" s="119">
        <v>45932</v>
      </c>
      <c r="C91" s="135" t="s">
        <v>66</v>
      </c>
      <c r="D91" s="95" t="s">
        <v>53</v>
      </c>
      <c r="E91" s="7" t="s">
        <v>53</v>
      </c>
      <c r="F91" s="87" t="s">
        <v>745</v>
      </c>
      <c r="G91" s="117" t="s">
        <v>46</v>
      </c>
      <c r="H91" s="7" t="s">
        <v>747</v>
      </c>
      <c r="I91" s="88" t="s">
        <v>28</v>
      </c>
      <c r="J91" s="88" t="s">
        <v>746</v>
      </c>
      <c r="K91" s="7" t="s">
        <v>845</v>
      </c>
      <c r="L91" s="87" t="s">
        <v>68</v>
      </c>
      <c r="M91" s="120" t="s">
        <v>748</v>
      </c>
      <c r="N91" s="121" t="s">
        <v>749</v>
      </c>
      <c r="O91" s="121" t="s">
        <v>442</v>
      </c>
      <c r="P91" s="17" t="s">
        <v>65</v>
      </c>
      <c r="Q91" s="17" t="s">
        <v>750</v>
      </c>
      <c r="R91" s="122" t="s">
        <v>750</v>
      </c>
      <c r="S91" s="123">
        <v>45924</v>
      </c>
      <c r="T91" s="123">
        <v>45936</v>
      </c>
      <c r="U91" s="19">
        <v>46301</v>
      </c>
      <c r="V91" s="160">
        <v>19500</v>
      </c>
      <c r="W91" s="17" t="s">
        <v>752</v>
      </c>
      <c r="X91" s="122" t="s">
        <v>753</v>
      </c>
      <c r="Y91" s="17" t="s">
        <v>15</v>
      </c>
      <c r="Z91" s="124">
        <v>4400003101</v>
      </c>
      <c r="AA91" s="48">
        <v>4400003101</v>
      </c>
      <c r="AB91" s="48" t="s">
        <v>751</v>
      </c>
      <c r="AC91" s="125">
        <v>45951</v>
      </c>
      <c r="AD91" s="117">
        <f>NETWORKDAYS.INTL(Tab_4.DISP_INEX[[#This Row],[DATA RECEBIDO]],Tab_4.DISP_INEX[[#This Row],[DATA 
FINALIZADO]],1,Lista!$U$3:$U$15)</f>
        <v>14</v>
      </c>
      <c r="AF91" s="7"/>
      <c r="AG91" s="7"/>
      <c r="AH91" s="7"/>
      <c r="AI91" s="7"/>
      <c r="AJ91" s="203" t="s">
        <v>989</v>
      </c>
      <c r="AK91" s="8" t="s">
        <v>65</v>
      </c>
      <c r="AL91" s="8" t="s">
        <v>65</v>
      </c>
      <c r="AM91" s="8" t="s">
        <v>65</v>
      </c>
      <c r="AP91" s="212">
        <v>86</v>
      </c>
      <c r="AQ91" s="213" t="str">
        <f>_xlfn.CONCAT(AP91,"_","TR","_",Tab_4.DISP_INEX[[#This Row],[FORNECEDOR]])</f>
        <v>86_TR_FONNET COMÉRCIO DE EQUIPAMENTOS DE TELECOMUNICAÇÕES LTDA</v>
      </c>
      <c r="AR91" s="213" t="str">
        <f>_xlfn.CONCAT(AP91,"_","JUST","_",Tab_4.DISP_INEX[[#This Row],[FORNECEDOR]])</f>
        <v>86_JUST_FONNET COMÉRCIO DE EQUIPAMENTOS DE TELECOMUNICAÇÕES LTDA</v>
      </c>
      <c r="AS91" s="213" t="str">
        <f>_xlfn.CONCAT(AP91,"_","RAT","_",Tab_4.DISP_INEX[[#This Row],[FORNECEDOR]])</f>
        <v>86_RAT_FONNET COMÉRCIO DE EQUIPAMENTOS DE TELECOMUNICAÇÕES LTDA</v>
      </c>
    </row>
    <row r="92" spans="1:45" ht="120" x14ac:dyDescent="0.25">
      <c r="A92" s="84"/>
      <c r="B92" s="119">
        <v>45946</v>
      </c>
      <c r="C92" s="135" t="s">
        <v>66</v>
      </c>
      <c r="D92" s="95" t="s">
        <v>53</v>
      </c>
      <c r="E92" s="7" t="s">
        <v>53</v>
      </c>
      <c r="F92" s="87" t="s">
        <v>754</v>
      </c>
      <c r="G92" s="117" t="s">
        <v>45</v>
      </c>
      <c r="H92" s="7" t="s">
        <v>185</v>
      </c>
      <c r="I92" s="88" t="s">
        <v>28</v>
      </c>
      <c r="J92" s="88" t="s">
        <v>755</v>
      </c>
      <c r="K92" s="7" t="s">
        <v>845</v>
      </c>
      <c r="L92" s="87" t="s">
        <v>68</v>
      </c>
      <c r="M92" s="120" t="s">
        <v>756</v>
      </c>
      <c r="N92" s="121" t="s">
        <v>761</v>
      </c>
      <c r="O92" s="121" t="s">
        <v>442</v>
      </c>
      <c r="P92" s="17" t="s">
        <v>65</v>
      </c>
      <c r="Q92" s="17" t="s">
        <v>760</v>
      </c>
      <c r="R92" s="122" t="s">
        <v>760</v>
      </c>
      <c r="S92" s="123">
        <v>45986</v>
      </c>
      <c r="T92" s="123">
        <v>45986</v>
      </c>
      <c r="U92" s="19">
        <v>47812</v>
      </c>
      <c r="V92" s="160" t="s">
        <v>844</v>
      </c>
      <c r="W92" s="17" t="s">
        <v>759</v>
      </c>
      <c r="X92" s="122" t="s">
        <v>758</v>
      </c>
      <c r="Y92" s="17" t="s">
        <v>15</v>
      </c>
      <c r="Z92" s="124">
        <v>4400003111</v>
      </c>
      <c r="AA92" s="48">
        <v>4400003111</v>
      </c>
      <c r="AB92" s="48" t="s">
        <v>757</v>
      </c>
      <c r="AC92" s="125">
        <v>46001</v>
      </c>
      <c r="AD92" s="117">
        <f>NETWORKDAYS.INTL(Tab_4.DISP_INEX[[#This Row],[DATA RECEBIDO]],Tab_4.DISP_INEX[[#This Row],[DATA 
FINALIZADO]],1,Lista!$U$3:$U$15)</f>
        <v>40</v>
      </c>
      <c r="AF92" s="7"/>
      <c r="AG92" s="7"/>
      <c r="AH92" s="7"/>
      <c r="AI92" s="7"/>
      <c r="AJ92" s="203" t="s">
        <v>990</v>
      </c>
      <c r="AK92" s="8" t="s">
        <v>65</v>
      </c>
      <c r="AL92" s="8" t="s">
        <v>65</v>
      </c>
      <c r="AM92" s="8" t="s">
        <v>65</v>
      </c>
      <c r="AP92" s="212">
        <v>87</v>
      </c>
      <c r="AQ92" s="213" t="str">
        <f>_xlfn.CONCAT(AP92,"_","TR","_",Tab_4.DISP_INEX[[#This Row],[FORNECEDOR]])</f>
        <v>87_TR_CENTRO BRASILEIRO DE PESQUISA EM AVALIAÇÃO E SELEÇÃO E DE PROMOÇÃO DE EVENTOS (CEBRASPE)</v>
      </c>
      <c r="AR92" s="213" t="str">
        <f>_xlfn.CONCAT(AP92,"_","JUST","_",Tab_4.DISP_INEX[[#This Row],[FORNECEDOR]])</f>
        <v>87_JUST_CENTRO BRASILEIRO DE PESQUISA EM AVALIAÇÃO E SELEÇÃO E DE PROMOÇÃO DE EVENTOS (CEBRASPE)</v>
      </c>
      <c r="AS92" s="213" t="str">
        <f>_xlfn.CONCAT(AP92,"_","RAT","_",Tab_4.DISP_INEX[[#This Row],[FORNECEDOR]])</f>
        <v>87_RAT_CENTRO BRASILEIRO DE PESQUISA EM AVALIAÇÃO E SELEÇÃO E DE PROMOÇÃO DE EVENTOS (CEBRASPE)</v>
      </c>
    </row>
    <row r="93" spans="1:45" ht="45" x14ac:dyDescent="0.25">
      <c r="A93" s="84"/>
      <c r="B93" s="126">
        <v>45960</v>
      </c>
      <c r="C93" s="119" t="s">
        <v>763</v>
      </c>
      <c r="D93" s="95" t="s">
        <v>53</v>
      </c>
      <c r="E93" s="7" t="s">
        <v>53</v>
      </c>
      <c r="F93" s="87" t="s">
        <v>762</v>
      </c>
      <c r="G93" s="95" t="s">
        <v>45</v>
      </c>
      <c r="H93" s="7" t="s">
        <v>59</v>
      </c>
      <c r="I93" s="88" t="s">
        <v>23</v>
      </c>
      <c r="J93" s="88" t="s">
        <v>764</v>
      </c>
      <c r="K93" s="7" t="s">
        <v>845</v>
      </c>
      <c r="L93" s="127" t="s">
        <v>68</v>
      </c>
      <c r="M93" s="120" t="s">
        <v>814</v>
      </c>
      <c r="N93" s="128" t="s">
        <v>813</v>
      </c>
      <c r="O93" s="121" t="s">
        <v>673</v>
      </c>
      <c r="P93" s="17" t="s">
        <v>65</v>
      </c>
      <c r="Q93" s="129" t="s">
        <v>812</v>
      </c>
      <c r="R93" s="129" t="s">
        <v>812</v>
      </c>
      <c r="S93" s="123">
        <v>46036</v>
      </c>
      <c r="T93" s="123">
        <v>46036</v>
      </c>
      <c r="U93" s="19">
        <v>46053</v>
      </c>
      <c r="V93" s="170">
        <v>4188.1000000000004</v>
      </c>
      <c r="W93" s="17" t="s">
        <v>815</v>
      </c>
      <c r="X93" s="122" t="s">
        <v>816</v>
      </c>
      <c r="Y93" s="17" t="s">
        <v>15</v>
      </c>
      <c r="Z93" s="124"/>
      <c r="AA93" s="48"/>
      <c r="AB93" s="48"/>
      <c r="AC93" s="130">
        <v>46003</v>
      </c>
      <c r="AD93" s="131">
        <f>NETWORKDAYS.INTL(Tab_4.DISP_INEX[[#This Row],[DATA RECEBIDO]],Tab_4.DISP_INEX[[#This Row],[DATA 
FINALIZADO]],1,Lista!$U$3:$U$15)</f>
        <v>32</v>
      </c>
      <c r="AF93" s="7"/>
      <c r="AG93" s="7" t="s">
        <v>916</v>
      </c>
      <c r="AH93" s="7" t="s">
        <v>509</v>
      </c>
      <c r="AI93" s="7" t="s">
        <v>509</v>
      </c>
      <c r="AJ93" s="204" t="s">
        <v>899</v>
      </c>
      <c r="AK93" s="247" t="s">
        <v>1176</v>
      </c>
      <c r="AL93" s="247" t="s">
        <v>1177</v>
      </c>
      <c r="AM93" s="247" t="s">
        <v>1178</v>
      </c>
      <c r="AP93" s="212">
        <v>88</v>
      </c>
      <c r="AQ93" s="213" t="str">
        <f>_xlfn.CONCAT(AP93,"_","TR","_",Tab_4.DISP_INEX[[#This Row],[FORNECEDOR]])</f>
        <v>88_TR_G2 AR CONDICIONADO LTDA</v>
      </c>
      <c r="AR93" s="213" t="str">
        <f>_xlfn.CONCAT(AP93,"_","JUST","_",Tab_4.DISP_INEX[[#This Row],[FORNECEDOR]])</f>
        <v>88_JUST_G2 AR CONDICIONADO LTDA</v>
      </c>
      <c r="AS93" s="213" t="str">
        <f>_xlfn.CONCAT(AP93,"_","RAT","_",Tab_4.DISP_INEX[[#This Row],[FORNECEDOR]])</f>
        <v>88_RAT_G2 AR CONDICIONADO LTDA</v>
      </c>
    </row>
    <row r="94" spans="1:45" ht="75" x14ac:dyDescent="0.25">
      <c r="A94" s="84"/>
      <c r="B94" s="11">
        <v>45982</v>
      </c>
      <c r="C94" s="119" t="s">
        <v>763</v>
      </c>
      <c r="D94" s="95" t="s">
        <v>53</v>
      </c>
      <c r="E94" s="7" t="s">
        <v>53</v>
      </c>
      <c r="F94" s="87" t="s">
        <v>765</v>
      </c>
      <c r="G94" s="95" t="s">
        <v>45</v>
      </c>
      <c r="H94" s="7" t="s">
        <v>59</v>
      </c>
      <c r="I94" s="88" t="s">
        <v>28</v>
      </c>
      <c r="J94" s="88" t="s">
        <v>766</v>
      </c>
      <c r="K94" s="7" t="s">
        <v>840</v>
      </c>
      <c r="L94" s="87" t="s">
        <v>68</v>
      </c>
      <c r="M94" s="122" t="s">
        <v>768</v>
      </c>
      <c r="N94" s="121" t="s">
        <v>767</v>
      </c>
      <c r="O94" s="121" t="s">
        <v>445</v>
      </c>
      <c r="P94" s="17" t="s">
        <v>65</v>
      </c>
      <c r="Q94" s="17" t="s">
        <v>805</v>
      </c>
      <c r="R94" s="17" t="s">
        <v>805</v>
      </c>
      <c r="S94" s="133">
        <v>46038</v>
      </c>
      <c r="T94" s="133">
        <v>46038</v>
      </c>
      <c r="U94" s="19">
        <v>47864</v>
      </c>
      <c r="V94" s="170">
        <v>1200000</v>
      </c>
      <c r="W94" s="17" t="s">
        <v>806</v>
      </c>
      <c r="X94" s="122" t="s">
        <v>807</v>
      </c>
      <c r="Y94" s="17" t="s">
        <v>15</v>
      </c>
      <c r="Z94" s="124">
        <v>4400003301</v>
      </c>
      <c r="AA94" s="48"/>
      <c r="AB94" s="48"/>
      <c r="AC94" s="11"/>
      <c r="AD94" s="117">
        <f>NETWORKDAYS.INTL(Tab_4.DISP_INEX[[#This Row],[DATA RECEBIDO]],Tab_4.DISP_INEX[[#This Row],[DATA 
FINALIZADO]],1,Lista!$U$3:$U$15)</f>
        <v>-32836</v>
      </c>
      <c r="AF94" s="7"/>
      <c r="AG94" s="7" t="s">
        <v>917</v>
      </c>
      <c r="AH94" s="7" t="s">
        <v>509</v>
      </c>
      <c r="AI94" s="7" t="s">
        <v>509</v>
      </c>
      <c r="AJ94" s="204" t="s">
        <v>900</v>
      </c>
      <c r="AK94" s="247" t="s">
        <v>1180</v>
      </c>
      <c r="AL94" s="247" t="s">
        <v>1179</v>
      </c>
      <c r="AM94" s="247" t="s">
        <v>1180</v>
      </c>
      <c r="AP94" s="212">
        <v>89</v>
      </c>
      <c r="AQ94" s="213" t="str">
        <f>_xlfn.CONCAT(AP94,"_","TR","_",Tab_4.DISP_INEX[[#This Row],[FORNECEDOR]])</f>
        <v>89_TR_Empresa Brasileira de Correios e Telégrafos</v>
      </c>
      <c r="AR94" s="213" t="str">
        <f>_xlfn.CONCAT(AP94,"_","JUST","_",Tab_4.DISP_INEX[[#This Row],[FORNECEDOR]])</f>
        <v>89_JUST_Empresa Brasileira de Correios e Telégrafos</v>
      </c>
      <c r="AS94" s="213" t="str">
        <f>_xlfn.CONCAT(AP94,"_","RAT","_",Tab_4.DISP_INEX[[#This Row],[FORNECEDOR]])</f>
        <v>89_RAT_Empresa Brasileira de Correios e Telégrafos</v>
      </c>
    </row>
    <row r="95" spans="1:45" ht="125.25" customHeight="1" x14ac:dyDescent="0.25">
      <c r="A95" s="84"/>
      <c r="B95" s="94">
        <v>45982</v>
      </c>
      <c r="C95" s="119" t="s">
        <v>763</v>
      </c>
      <c r="D95" s="95" t="s">
        <v>53</v>
      </c>
      <c r="E95" s="7" t="s">
        <v>53</v>
      </c>
      <c r="F95" s="137" t="s">
        <v>772</v>
      </c>
      <c r="G95" s="109" t="s">
        <v>45</v>
      </c>
      <c r="H95" s="95" t="s">
        <v>185</v>
      </c>
      <c r="I95" s="109" t="s">
        <v>28</v>
      </c>
      <c r="J95" s="109" t="s">
        <v>773</v>
      </c>
      <c r="K95" s="7" t="s">
        <v>845</v>
      </c>
      <c r="L95" s="99" t="s">
        <v>68</v>
      </c>
      <c r="M95" s="103" t="s">
        <v>774</v>
      </c>
      <c r="N95" s="121" t="s">
        <v>775</v>
      </c>
      <c r="O95" s="118" t="s">
        <v>442</v>
      </c>
      <c r="P95" s="17" t="s">
        <v>65</v>
      </c>
      <c r="Q95" s="17" t="s">
        <v>808</v>
      </c>
      <c r="R95" s="103" t="s">
        <v>809</v>
      </c>
      <c r="S95" s="104">
        <v>46010</v>
      </c>
      <c r="T95" s="104">
        <v>46010</v>
      </c>
      <c r="U95" s="19">
        <v>46190</v>
      </c>
      <c r="V95" s="170">
        <v>213535.56</v>
      </c>
      <c r="W95" s="96" t="s">
        <v>810</v>
      </c>
      <c r="X95" s="103" t="s">
        <v>811</v>
      </c>
      <c r="Y95" s="17" t="s">
        <v>15</v>
      </c>
      <c r="Z95" s="105"/>
      <c r="AA95" s="48"/>
      <c r="AB95" s="48"/>
      <c r="AC95" s="94"/>
      <c r="AD95" s="100">
        <f>NETWORKDAYS.INTL(Tab_4.DISP_INEX[[#This Row],[DATA RECEBIDO]],Tab_4.DISP_INEX[[#This Row],[DATA 
FINALIZADO]],1,Lista!$U$3:$U$15)</f>
        <v>-32836</v>
      </c>
      <c r="AF95" s="95"/>
      <c r="AG95" s="95"/>
      <c r="AH95" s="95"/>
      <c r="AI95" s="95"/>
      <c r="AJ95" s="203" t="s">
        <v>991</v>
      </c>
      <c r="AK95" s="8" t="s">
        <v>65</v>
      </c>
      <c r="AL95" s="8" t="s">
        <v>65</v>
      </c>
      <c r="AM95" s="8" t="s">
        <v>65</v>
      </c>
      <c r="AP95" s="212">
        <v>90</v>
      </c>
      <c r="AQ95" s="213" t="str">
        <f>_xlfn.CONCAT(AP95,"_","TR","_",Tab_4.DISP_INEX[[#This Row],[FORNECEDOR]])</f>
        <v>90_TR_MPV - SERVIÇOS DE CLÍNICA MÉDICA, CARDIOLOGIA E CIRURGIA GERAL LTD</v>
      </c>
      <c r="AR95" s="213" t="str">
        <f>_xlfn.CONCAT(AP95,"_","JUST","_",Tab_4.DISP_INEX[[#This Row],[FORNECEDOR]])</f>
        <v>90_JUST_MPV - SERVIÇOS DE CLÍNICA MÉDICA, CARDIOLOGIA E CIRURGIA GERAL LTD</v>
      </c>
      <c r="AS95" s="213" t="str">
        <f>_xlfn.CONCAT(AP95,"_","RAT","_",Tab_4.DISP_INEX[[#This Row],[FORNECEDOR]])</f>
        <v>90_RAT_MPV - SERVIÇOS DE CLÍNICA MÉDICA, CARDIOLOGIA E CIRURGIA GERAL LTD</v>
      </c>
    </row>
    <row r="96" spans="1:45" ht="60" x14ac:dyDescent="0.25">
      <c r="A96" s="84"/>
      <c r="B96" s="94">
        <v>46044</v>
      </c>
      <c r="C96" s="119" t="s">
        <v>794</v>
      </c>
      <c r="D96" s="7" t="s">
        <v>53</v>
      </c>
      <c r="E96" s="7" t="s">
        <v>53</v>
      </c>
      <c r="F96" s="87" t="s">
        <v>796</v>
      </c>
      <c r="G96" s="95" t="s">
        <v>45</v>
      </c>
      <c r="H96" s="7" t="s">
        <v>185</v>
      </c>
      <c r="I96" s="88" t="s">
        <v>28</v>
      </c>
      <c r="J96" s="88" t="s">
        <v>802</v>
      </c>
      <c r="K96" s="22" t="s">
        <v>840</v>
      </c>
      <c r="L96" s="87" t="s">
        <v>68</v>
      </c>
      <c r="M96" s="122" t="s">
        <v>799</v>
      </c>
      <c r="N96" s="121" t="s">
        <v>800</v>
      </c>
      <c r="O96" s="102" t="s">
        <v>673</v>
      </c>
      <c r="P96" s="17" t="s">
        <v>65</v>
      </c>
      <c r="Q96" s="132" t="s">
        <v>801</v>
      </c>
      <c r="R96" s="132" t="s">
        <v>801</v>
      </c>
      <c r="S96" s="104">
        <v>46048</v>
      </c>
      <c r="T96" s="104">
        <v>46048</v>
      </c>
      <c r="U96" s="19">
        <v>46048</v>
      </c>
      <c r="V96" s="170">
        <v>2650</v>
      </c>
      <c r="W96" s="96" t="s">
        <v>817</v>
      </c>
      <c r="X96" s="103" t="s">
        <v>818</v>
      </c>
      <c r="Y96" s="17" t="s">
        <v>15</v>
      </c>
      <c r="Z96" s="105">
        <v>10016598</v>
      </c>
      <c r="AA96" s="48"/>
      <c r="AB96" s="48"/>
      <c r="AC96" s="94">
        <v>46049</v>
      </c>
      <c r="AD96" s="100">
        <f>NETWORKDAYS.INTL(Tab_4.DISP_INEX[[#This Row],[DATA RECEBIDO]],Tab_4.DISP_INEX[[#This Row],[DATA 
FINALIZADO]],1,Lista!$U$3:$U$15)</f>
        <v>4</v>
      </c>
      <c r="AF96" s="95"/>
      <c r="AG96" s="7" t="s">
        <v>918</v>
      </c>
      <c r="AH96" s="7" t="s">
        <v>509</v>
      </c>
      <c r="AI96" s="7" t="s">
        <v>509</v>
      </c>
      <c r="AJ96" s="204" t="s">
        <v>901</v>
      </c>
      <c r="AK96" s="249" t="s">
        <v>65</v>
      </c>
      <c r="AL96" s="116" t="s">
        <v>65</v>
      </c>
      <c r="AM96" s="116" t="s">
        <v>65</v>
      </c>
      <c r="AP96" s="212">
        <v>91</v>
      </c>
      <c r="AQ96" s="213" t="str">
        <f>_xlfn.CONCAT(AP96,"_","TR","_",Tab_4.DISP_INEX[[#This Row],[FORNECEDOR]])</f>
        <v>91_TR_TOSTAO FURADO LTDA</v>
      </c>
      <c r="AR96" s="213" t="str">
        <f>_xlfn.CONCAT(AP96,"_","JUST","_",Tab_4.DISP_INEX[[#This Row],[FORNECEDOR]])</f>
        <v>91_JUST_TOSTAO FURADO LTDA</v>
      </c>
      <c r="AS96" s="213" t="str">
        <f>_xlfn.CONCAT(AP96,"_","RAT","_",Tab_4.DISP_INEX[[#This Row],[FORNECEDOR]])</f>
        <v>91_RAT_TOSTAO FURADO LTDA</v>
      </c>
    </row>
    <row r="97" spans="1:45" ht="113.25" customHeight="1" x14ac:dyDescent="0.25">
      <c r="A97" s="84"/>
      <c r="B97" s="11">
        <v>45988</v>
      </c>
      <c r="C97" s="119" t="s">
        <v>763</v>
      </c>
      <c r="D97" s="7" t="s">
        <v>53</v>
      </c>
      <c r="E97" s="7" t="s">
        <v>1003</v>
      </c>
      <c r="F97" s="87" t="s">
        <v>769</v>
      </c>
      <c r="G97" s="88" t="s">
        <v>44</v>
      </c>
      <c r="H97" s="7" t="s">
        <v>771</v>
      </c>
      <c r="I97" s="88" t="s">
        <v>28</v>
      </c>
      <c r="J97" s="88" t="s">
        <v>770</v>
      </c>
      <c r="K97" s="7" t="s">
        <v>845</v>
      </c>
      <c r="L97" s="87" t="s">
        <v>68</v>
      </c>
      <c r="M97" s="122"/>
      <c r="N97" s="121"/>
      <c r="O97" s="121"/>
      <c r="P97" s="132" t="s">
        <v>65</v>
      </c>
      <c r="Q97" s="17"/>
      <c r="R97" s="122"/>
      <c r="S97" s="123"/>
      <c r="T97" s="123"/>
      <c r="U97" s="19"/>
      <c r="V97" s="160"/>
      <c r="W97" s="17"/>
      <c r="X97" s="122"/>
      <c r="Y97" s="17"/>
      <c r="Z97" s="124"/>
      <c r="AA97" s="48"/>
      <c r="AB97" s="48"/>
      <c r="AC97" s="11"/>
      <c r="AD97" s="117">
        <f>NETWORKDAYS.INTL(Tab_4.DISP_INEX[[#This Row],[DATA RECEBIDO]],Tab_4.DISP_INEX[[#This Row],[DATA 
FINALIZADO]],1,Lista!$U$3:$U$15)</f>
        <v>-32840</v>
      </c>
      <c r="AF97" s="7"/>
      <c r="AG97" s="7"/>
      <c r="AH97" s="7"/>
      <c r="AI97" s="7"/>
      <c r="AJ97" s="205" t="s">
        <v>65</v>
      </c>
      <c r="AK97" s="8" t="s">
        <v>65</v>
      </c>
      <c r="AL97" s="8" t="s">
        <v>65</v>
      </c>
      <c r="AM97" s="8" t="s">
        <v>65</v>
      </c>
      <c r="AP97" s="212">
        <v>92</v>
      </c>
      <c r="AQ97" s="213" t="str">
        <f>_xlfn.CONCAT(AP97,"_","TR","_",Tab_4.DISP_INEX[[#This Row],[FORNECEDOR]])</f>
        <v>92_TR_</v>
      </c>
      <c r="AR97" s="213" t="str">
        <f>_xlfn.CONCAT(AP97,"_","JUST","_",Tab_4.DISP_INEX[[#This Row],[FORNECEDOR]])</f>
        <v>92_JUST_</v>
      </c>
      <c r="AS97" s="213" t="str">
        <f>_xlfn.CONCAT(AP97,"_","RAT","_",Tab_4.DISP_INEX[[#This Row],[FORNECEDOR]])</f>
        <v>92_RAT_</v>
      </c>
    </row>
    <row r="98" spans="1:45" ht="45" x14ac:dyDescent="0.25">
      <c r="A98" s="84"/>
      <c r="B98" s="94">
        <v>46044</v>
      </c>
      <c r="C98" s="119" t="s">
        <v>794</v>
      </c>
      <c r="D98" s="7" t="s">
        <v>53</v>
      </c>
      <c r="E98" s="7" t="s">
        <v>53</v>
      </c>
      <c r="F98" s="7" t="s">
        <v>797</v>
      </c>
      <c r="G98" s="95" t="s">
        <v>45</v>
      </c>
      <c r="H98" s="7" t="s">
        <v>185</v>
      </c>
      <c r="I98" s="88" t="s">
        <v>28</v>
      </c>
      <c r="J98" s="7" t="s">
        <v>798</v>
      </c>
      <c r="K98" s="22" t="s">
        <v>840</v>
      </c>
      <c r="L98" s="87" t="s">
        <v>68</v>
      </c>
      <c r="M98" s="17" t="s">
        <v>616</v>
      </c>
      <c r="N98" s="17" t="s">
        <v>718</v>
      </c>
      <c r="O98" s="102" t="s">
        <v>673</v>
      </c>
      <c r="P98" s="132" t="s">
        <v>65</v>
      </c>
      <c r="Q98" s="17" t="s">
        <v>857</v>
      </c>
      <c r="R98" s="17" t="s">
        <v>857</v>
      </c>
      <c r="S98" s="104">
        <v>46057</v>
      </c>
      <c r="T98" s="104">
        <v>46057</v>
      </c>
      <c r="U98" s="19">
        <v>46057</v>
      </c>
      <c r="V98" s="170">
        <v>29900</v>
      </c>
      <c r="W98" s="17" t="s">
        <v>859</v>
      </c>
      <c r="X98" s="103" t="s">
        <v>818</v>
      </c>
      <c r="Y98" s="17" t="s">
        <v>15</v>
      </c>
      <c r="Z98" s="105">
        <v>10016135</v>
      </c>
      <c r="AA98" s="48">
        <v>10003967</v>
      </c>
      <c r="AB98" s="48"/>
      <c r="AC98" s="94">
        <v>46057</v>
      </c>
      <c r="AD98" s="100">
        <f>NETWORKDAYS.INTL(Tab_4.DISP_INEX[[#This Row],[DATA RECEBIDO]],Tab_4.DISP_INEX[[#This Row],[DATA 
FINALIZADO]],1,Lista!$U$3:$U$15)</f>
        <v>10</v>
      </c>
      <c r="AF98" s="95"/>
      <c r="AG98" s="7" t="s">
        <v>919</v>
      </c>
      <c r="AH98" s="7" t="s">
        <v>509</v>
      </c>
      <c r="AI98" s="7" t="s">
        <v>509</v>
      </c>
      <c r="AJ98" s="204" t="s">
        <v>902</v>
      </c>
      <c r="AK98" s="247" t="s">
        <v>1182</v>
      </c>
      <c r="AL98" s="247" t="s">
        <v>1183</v>
      </c>
      <c r="AM98" s="247" t="s">
        <v>1181</v>
      </c>
      <c r="AP98" s="212">
        <v>93</v>
      </c>
      <c r="AQ98" s="213" t="str">
        <f>_xlfn.CONCAT(AP98,"_","TR","_",Tab_4.DISP_INEX[[#This Row],[FORNECEDOR]])</f>
        <v>93_TR_IBMEC EDUCACIONAL LTDA</v>
      </c>
      <c r="AR98" s="213" t="str">
        <f>_xlfn.CONCAT(AP98,"_","JUST","_",Tab_4.DISP_INEX[[#This Row],[FORNECEDOR]])</f>
        <v>93_JUST_IBMEC EDUCACIONAL LTDA</v>
      </c>
      <c r="AS98" s="213" t="str">
        <f>_xlfn.CONCAT(AP98,"_","RAT","_",Tab_4.DISP_INEX[[#This Row],[FORNECEDOR]])</f>
        <v>93_RAT_IBMEC EDUCACIONAL LTDA</v>
      </c>
    </row>
    <row r="99" spans="1:45" ht="75" x14ac:dyDescent="0.25">
      <c r="B99" s="94">
        <v>46048</v>
      </c>
      <c r="C99" s="119" t="s">
        <v>794</v>
      </c>
      <c r="D99" s="7" t="s">
        <v>53</v>
      </c>
      <c r="E99" s="7" t="s">
        <v>53</v>
      </c>
      <c r="F99" s="117" t="s">
        <v>842</v>
      </c>
      <c r="G99" s="95" t="s">
        <v>45</v>
      </c>
      <c r="H99" s="7" t="s">
        <v>185</v>
      </c>
      <c r="I99" s="146" t="s">
        <v>28</v>
      </c>
      <c r="J99" s="88" t="s">
        <v>841</v>
      </c>
      <c r="K99" s="22" t="s">
        <v>840</v>
      </c>
      <c r="L99" s="87" t="s">
        <v>68</v>
      </c>
      <c r="M99" s="147" t="s">
        <v>703</v>
      </c>
      <c r="N99" s="17" t="s">
        <v>359</v>
      </c>
      <c r="O99" s="140" t="s">
        <v>673</v>
      </c>
      <c r="P99" s="132" t="s">
        <v>65</v>
      </c>
      <c r="Q99" s="17" t="s">
        <v>843</v>
      </c>
      <c r="R99" s="122" t="s">
        <v>843</v>
      </c>
      <c r="S99" s="141">
        <v>46049</v>
      </c>
      <c r="T99" s="141">
        <v>46049</v>
      </c>
      <c r="U99" s="19">
        <v>46049</v>
      </c>
      <c r="V99" s="170">
        <v>5550</v>
      </c>
      <c r="W99" s="17" t="s">
        <v>860</v>
      </c>
      <c r="X99" s="96" t="s">
        <v>607</v>
      </c>
      <c r="Y99" s="17" t="s">
        <v>15</v>
      </c>
      <c r="Z99" s="142">
        <v>10016645</v>
      </c>
      <c r="AA99" s="48">
        <v>10004111</v>
      </c>
      <c r="AB99" s="48"/>
      <c r="AC99" s="143">
        <v>46049</v>
      </c>
      <c r="AD99" s="144">
        <f>NETWORKDAYS.INTL(Tab_4.DISP_INEX[[#This Row],[DATA RECEBIDO]],Tab_4.DISP_INEX[[#This Row],[DATA 
FINALIZADO]],1,Lista!$U$3:$U$15)</f>
        <v>2</v>
      </c>
      <c r="AF99" s="145"/>
      <c r="AG99" s="7" t="s">
        <v>920</v>
      </c>
      <c r="AH99" s="7" t="s">
        <v>509</v>
      </c>
      <c r="AI99" s="7" t="s">
        <v>509</v>
      </c>
      <c r="AJ99" s="204" t="s">
        <v>903</v>
      </c>
      <c r="AK99" s="247" t="s">
        <v>1186</v>
      </c>
      <c r="AL99" s="247" t="s">
        <v>1184</v>
      </c>
      <c r="AM99" s="247" t="s">
        <v>1185</v>
      </c>
      <c r="AP99" s="212">
        <v>94</v>
      </c>
      <c r="AQ99" s="213" t="str">
        <f>_xlfn.CONCAT(AP99,"_","TR","_",Tab_4.DISP_INEX[[#This Row],[FORNECEDOR]])</f>
        <v>94_TR_INSTITUTO DOS AUDITORES INTERNOS DO BRASIL</v>
      </c>
      <c r="AR99" s="213" t="str">
        <f>_xlfn.CONCAT(AP99,"_","JUST","_",Tab_4.DISP_INEX[[#This Row],[FORNECEDOR]])</f>
        <v>94_JUST_INSTITUTO DOS AUDITORES INTERNOS DO BRASIL</v>
      </c>
      <c r="AS99" s="213" t="str">
        <f>_xlfn.CONCAT(AP99,"_","RAT","_",Tab_4.DISP_INEX[[#This Row],[FORNECEDOR]])</f>
        <v>94_RAT_INSTITUTO DOS AUDITORES INTERNOS DO BRASIL</v>
      </c>
    </row>
    <row r="100" spans="1:45" ht="105" x14ac:dyDescent="0.25">
      <c r="B100" s="94">
        <v>46057</v>
      </c>
      <c r="C100" s="119" t="s">
        <v>56</v>
      </c>
      <c r="D100" s="7" t="s">
        <v>53</v>
      </c>
      <c r="E100" s="7" t="s">
        <v>53</v>
      </c>
      <c r="F100" s="161" t="s">
        <v>850</v>
      </c>
      <c r="G100" s="95" t="s">
        <v>45</v>
      </c>
      <c r="H100" s="7" t="s">
        <v>185</v>
      </c>
      <c r="I100" s="146" t="s">
        <v>28</v>
      </c>
      <c r="J100" s="88" t="s">
        <v>851</v>
      </c>
      <c r="K100" s="22" t="s">
        <v>840</v>
      </c>
      <c r="L100" s="87" t="s">
        <v>68</v>
      </c>
      <c r="M100" s="162" t="s">
        <v>852</v>
      </c>
      <c r="N100" s="121" t="s">
        <v>853</v>
      </c>
      <c r="O100" s="140" t="s">
        <v>673</v>
      </c>
      <c r="P100" s="132" t="s">
        <v>65</v>
      </c>
      <c r="Q100" s="17" t="s">
        <v>858</v>
      </c>
      <c r="R100" s="122" t="s">
        <v>858</v>
      </c>
      <c r="S100" s="141">
        <v>46059</v>
      </c>
      <c r="T100" s="141">
        <v>46059</v>
      </c>
      <c r="U100" s="19">
        <v>46059</v>
      </c>
      <c r="V100" s="170">
        <v>11172</v>
      </c>
      <c r="W100" s="17" t="s">
        <v>861</v>
      </c>
      <c r="X100" s="103" t="s">
        <v>818</v>
      </c>
      <c r="Y100" s="17" t="s">
        <v>15</v>
      </c>
      <c r="Z100" s="142">
        <v>10016660</v>
      </c>
      <c r="AA100" s="48">
        <v>10004257</v>
      </c>
      <c r="AB100" s="48"/>
      <c r="AC100" s="143">
        <v>46059</v>
      </c>
      <c r="AD100" s="144">
        <f>NETWORKDAYS.INTL(Tab_4.DISP_INEX[[#This Row],[DATA RECEBIDO]],Tab_4.DISP_INEX[[#This Row],[DATA 
FINALIZADO]],1,Lista!$U$3:$U$15)</f>
        <v>3</v>
      </c>
      <c r="AF100" s="145"/>
      <c r="AG100" s="7" t="s">
        <v>921</v>
      </c>
      <c r="AH100" s="7" t="s">
        <v>509</v>
      </c>
      <c r="AI100" s="7" t="s">
        <v>509</v>
      </c>
      <c r="AJ100" s="204" t="s">
        <v>904</v>
      </c>
      <c r="AK100" s="247" t="s">
        <v>1189</v>
      </c>
      <c r="AL100" s="247" t="s">
        <v>1187</v>
      </c>
      <c r="AM100" s="247" t="s">
        <v>1188</v>
      </c>
      <c r="AP100" s="212">
        <v>95</v>
      </c>
      <c r="AQ100" s="213" t="str">
        <f>_xlfn.CONCAT(AP100,"_","TR","_",Tab_4.DISP_INEX[[#This Row],[FORNECEDOR]])</f>
        <v>95_TR_ QSP - Centro da Qualidade, Segurança e Produtividade para o Brasil e América Latina</v>
      </c>
      <c r="AR100" s="213" t="str">
        <f>_xlfn.CONCAT(AP100,"_","JUST","_",Tab_4.DISP_INEX[[#This Row],[FORNECEDOR]])</f>
        <v>95_JUST_ QSP - Centro da Qualidade, Segurança e Produtividade para o Brasil e América Latina</v>
      </c>
      <c r="AS100" s="213" t="str">
        <f>_xlfn.CONCAT(AP100,"_","RAT","_",Tab_4.DISP_INEX[[#This Row],[FORNECEDOR]])</f>
        <v>95_RAT_ QSP - Centro da Qualidade, Segurança e Produtividade para o Brasil e América Latina</v>
      </c>
    </row>
    <row r="101" spans="1:45" ht="75" x14ac:dyDescent="0.25">
      <c r="B101" s="167">
        <v>46058</v>
      </c>
      <c r="C101" s="119" t="s">
        <v>56</v>
      </c>
      <c r="D101" s="7" t="s">
        <v>53</v>
      </c>
      <c r="E101" s="7" t="s">
        <v>53</v>
      </c>
      <c r="F101" s="161" t="s">
        <v>854</v>
      </c>
      <c r="G101" s="168" t="s">
        <v>45</v>
      </c>
      <c r="H101" s="7" t="s">
        <v>185</v>
      </c>
      <c r="I101" s="117" t="s">
        <v>28</v>
      </c>
      <c r="J101" s="88" t="s">
        <v>855</v>
      </c>
      <c r="K101" s="168" t="s">
        <v>840</v>
      </c>
      <c r="L101" s="87" t="s">
        <v>68</v>
      </c>
      <c r="M101" s="122" t="s">
        <v>856</v>
      </c>
      <c r="N101" s="121" t="s">
        <v>881</v>
      </c>
      <c r="O101" s="163" t="s">
        <v>673</v>
      </c>
      <c r="P101" s="132" t="s">
        <v>65</v>
      </c>
      <c r="Q101" s="17" t="s">
        <v>946</v>
      </c>
      <c r="R101" s="122" t="s">
        <v>862</v>
      </c>
      <c r="S101" s="164">
        <v>46062</v>
      </c>
      <c r="T101" s="164">
        <v>46062</v>
      </c>
      <c r="U101" s="19">
        <v>46062</v>
      </c>
      <c r="V101" s="170">
        <v>4740</v>
      </c>
      <c r="W101" s="17" t="s">
        <v>874</v>
      </c>
      <c r="X101" s="103" t="s">
        <v>818</v>
      </c>
      <c r="Y101" s="17" t="s">
        <v>15</v>
      </c>
      <c r="Z101" s="165">
        <v>10016667</v>
      </c>
      <c r="AA101" s="48">
        <v>10004411</v>
      </c>
      <c r="AB101" s="48"/>
      <c r="AC101" s="167">
        <v>46066</v>
      </c>
      <c r="AD101" s="166">
        <f>NETWORKDAYS.INTL(Tab_4.DISP_INEX[[#This Row],[DATA RECEBIDO]],Tab_4.DISP_INEX[[#This Row],[DATA 
FINALIZADO]],1,Lista!$U$3:$U$15)</f>
        <v>7</v>
      </c>
      <c r="AF101" s="168"/>
      <c r="AG101" s="7" t="s">
        <v>922</v>
      </c>
      <c r="AH101" s="7" t="s">
        <v>509</v>
      </c>
      <c r="AI101" s="7" t="s">
        <v>509</v>
      </c>
      <c r="AJ101" s="204" t="s">
        <v>905</v>
      </c>
      <c r="AK101" s="247" t="s">
        <v>1192</v>
      </c>
      <c r="AL101" s="247" t="s">
        <v>1191</v>
      </c>
      <c r="AM101" s="247" t="s">
        <v>1190</v>
      </c>
      <c r="AP101" s="212">
        <v>96</v>
      </c>
      <c r="AQ101" s="213" t="str">
        <f>_xlfn.CONCAT(AP101,"_","TR","_",Tab_4.DISP_INEX[[#This Row],[FORNECEDOR]])</f>
        <v>96_TR_ SUPREME CAPACITAÇÃO E TREINAMENTO LTDA</v>
      </c>
      <c r="AR101" s="213" t="str">
        <f>_xlfn.CONCAT(AP101,"_","JUST","_",Tab_4.DISP_INEX[[#This Row],[FORNECEDOR]])</f>
        <v>96_JUST_ SUPREME CAPACITAÇÃO E TREINAMENTO LTDA</v>
      </c>
      <c r="AS101" s="213" t="str">
        <f>_xlfn.CONCAT(AP101,"_","RAT","_",Tab_4.DISP_INEX[[#This Row],[FORNECEDOR]])</f>
        <v>96_RAT_ SUPREME CAPACITAÇÃO E TREINAMENTO LTDA</v>
      </c>
    </row>
    <row r="102" spans="1:45" ht="63.75" customHeight="1" x14ac:dyDescent="0.25">
      <c r="B102" s="169">
        <v>46062</v>
      </c>
      <c r="C102" s="171" t="s">
        <v>794</v>
      </c>
      <c r="D102" s="7" t="s">
        <v>53</v>
      </c>
      <c r="E102" s="7" t="s">
        <v>53</v>
      </c>
      <c r="F102" s="161" t="s">
        <v>863</v>
      </c>
      <c r="G102" s="168" t="s">
        <v>45</v>
      </c>
      <c r="H102" s="7" t="s">
        <v>185</v>
      </c>
      <c r="I102" s="117" t="s">
        <v>28</v>
      </c>
      <c r="J102" s="7" t="s">
        <v>864</v>
      </c>
      <c r="K102" s="168" t="s">
        <v>840</v>
      </c>
      <c r="L102" s="7" t="s">
        <v>68</v>
      </c>
      <c r="M102" s="147" t="s">
        <v>703</v>
      </c>
      <c r="N102" s="17" t="s">
        <v>359</v>
      </c>
      <c r="O102" s="140" t="s">
        <v>673</v>
      </c>
      <c r="P102" s="132" t="s">
        <v>65</v>
      </c>
      <c r="Q102" s="17" t="s">
        <v>947</v>
      </c>
      <c r="R102" s="132" t="s">
        <v>872</v>
      </c>
      <c r="S102" s="164">
        <v>46071</v>
      </c>
      <c r="T102" s="164">
        <v>46071</v>
      </c>
      <c r="U102" s="19">
        <v>46071</v>
      </c>
      <c r="V102" s="170">
        <v>5000</v>
      </c>
      <c r="W102" s="17" t="s">
        <v>873</v>
      </c>
      <c r="X102" s="103" t="s">
        <v>818</v>
      </c>
      <c r="Y102" s="17" t="s">
        <v>15</v>
      </c>
      <c r="Z102" s="165">
        <v>10016714</v>
      </c>
      <c r="AA102" s="48">
        <v>10004111</v>
      </c>
      <c r="AB102" s="48"/>
      <c r="AC102" s="167">
        <v>46071</v>
      </c>
      <c r="AD102" s="166">
        <f>NETWORKDAYS.INTL(Tab_4.DISP_INEX[[#This Row],[DATA RECEBIDO]],Tab_4.DISP_INEX[[#This Row],[DATA 
FINALIZADO]],1,Lista!$U$3:$U$15)</f>
        <v>8</v>
      </c>
      <c r="AF102" s="168"/>
      <c r="AG102" s="7" t="s">
        <v>924</v>
      </c>
      <c r="AH102" s="7" t="s">
        <v>509</v>
      </c>
      <c r="AI102" s="7" t="s">
        <v>509</v>
      </c>
      <c r="AJ102" s="204" t="s">
        <v>907</v>
      </c>
      <c r="AK102" s="247" t="s">
        <v>1195</v>
      </c>
      <c r="AL102" s="247" t="s">
        <v>1193</v>
      </c>
      <c r="AM102" s="250" t="s">
        <v>1194</v>
      </c>
      <c r="AP102" s="212">
        <v>97</v>
      </c>
      <c r="AQ102" s="213" t="str">
        <f>_xlfn.CONCAT(AP102,"_","TR","_",Tab_4.DISP_INEX[[#This Row],[FORNECEDOR]])</f>
        <v>97_TR_INSTITUTO DOS AUDITORES INTERNOS DO BRASIL</v>
      </c>
      <c r="AR102" s="213" t="str">
        <f>_xlfn.CONCAT(AP102,"_","JUST","_",Tab_4.DISP_INEX[[#This Row],[FORNECEDOR]])</f>
        <v>97_JUST_INSTITUTO DOS AUDITORES INTERNOS DO BRASIL</v>
      </c>
      <c r="AS102" s="213" t="str">
        <f>_xlfn.CONCAT(AP102,"_","RAT","_",Tab_4.DISP_INEX[[#This Row],[FORNECEDOR]])</f>
        <v>97_RAT_INSTITUTO DOS AUDITORES INTERNOS DO BRASIL</v>
      </c>
    </row>
    <row r="103" spans="1:45" ht="117.75" customHeight="1" x14ac:dyDescent="0.25">
      <c r="B103" s="167">
        <v>46062</v>
      </c>
      <c r="C103" s="119" t="s">
        <v>56</v>
      </c>
      <c r="D103" s="7" t="s">
        <v>53</v>
      </c>
      <c r="E103" s="7" t="s">
        <v>53</v>
      </c>
      <c r="F103" s="161" t="s">
        <v>865</v>
      </c>
      <c r="G103" s="168" t="s">
        <v>45</v>
      </c>
      <c r="H103" s="7" t="s">
        <v>185</v>
      </c>
      <c r="I103" s="117" t="s">
        <v>28</v>
      </c>
      <c r="J103" s="88" t="s">
        <v>867</v>
      </c>
      <c r="K103" s="168" t="s">
        <v>840</v>
      </c>
      <c r="L103" s="87" t="s">
        <v>68</v>
      </c>
      <c r="M103" s="122" t="s">
        <v>868</v>
      </c>
      <c r="N103" s="121" t="s">
        <v>355</v>
      </c>
      <c r="O103" s="140" t="s">
        <v>673</v>
      </c>
      <c r="P103" s="132" t="s">
        <v>65</v>
      </c>
      <c r="Q103" s="17" t="s">
        <v>870</v>
      </c>
      <c r="R103" s="122" t="s">
        <v>870</v>
      </c>
      <c r="S103" s="164">
        <v>46071</v>
      </c>
      <c r="T103" s="164">
        <v>46071</v>
      </c>
      <c r="U103" s="19">
        <v>46071</v>
      </c>
      <c r="V103" s="170">
        <v>3450</v>
      </c>
      <c r="W103" s="17" t="s">
        <v>871</v>
      </c>
      <c r="X103" s="103" t="s">
        <v>818</v>
      </c>
      <c r="Y103" s="17" t="s">
        <v>15</v>
      </c>
      <c r="Z103" s="165">
        <v>10016713</v>
      </c>
      <c r="AA103" s="48">
        <v>10003765</v>
      </c>
      <c r="AB103" s="48"/>
      <c r="AC103" s="167">
        <v>46071</v>
      </c>
      <c r="AD103" s="166">
        <f>NETWORKDAYS.INTL(Tab_4.DISP_INEX[[#This Row],[DATA RECEBIDO]],Tab_4.DISP_INEX[[#This Row],[DATA 
FINALIZADO]],1,Lista!$U$3:$U$15)</f>
        <v>8</v>
      </c>
      <c r="AF103" s="168"/>
      <c r="AG103" s="7" t="s">
        <v>925</v>
      </c>
      <c r="AH103" s="7" t="s">
        <v>509</v>
      </c>
      <c r="AI103" s="7" t="s">
        <v>509</v>
      </c>
      <c r="AJ103" s="204" t="s">
        <v>906</v>
      </c>
      <c r="AK103" s="247" t="s">
        <v>1198</v>
      </c>
      <c r="AL103" s="247" t="s">
        <v>1196</v>
      </c>
      <c r="AM103" s="250" t="s">
        <v>1197</v>
      </c>
      <c r="AP103" s="212">
        <v>98</v>
      </c>
      <c r="AQ103" s="213" t="str">
        <f>_xlfn.CONCAT(AP103,"_","TR","_",Tab_4.DISP_INEX[[#This Row],[FORNECEDOR]])</f>
        <v>98_TR_BIOSEG BRASILIA SOLUCOES EM SEGURANCA E MEDICINA DO TRABALHO LTDA</v>
      </c>
      <c r="AR103" s="213" t="str">
        <f>_xlfn.CONCAT(AP103,"_","JUST","_",Tab_4.DISP_INEX[[#This Row],[FORNECEDOR]])</f>
        <v>98_JUST_BIOSEG BRASILIA SOLUCOES EM SEGURANCA E MEDICINA DO TRABALHO LTDA</v>
      </c>
      <c r="AS103" s="213" t="str">
        <f>_xlfn.CONCAT(AP103,"_","RAT","_",Tab_4.DISP_INEX[[#This Row],[FORNECEDOR]])</f>
        <v>98_RAT_BIOSEG BRASILIA SOLUCOES EM SEGURANCA E MEDICINA DO TRABALHO LTDA</v>
      </c>
    </row>
    <row r="104" spans="1:45" ht="119.25" customHeight="1" x14ac:dyDescent="0.25">
      <c r="B104" s="169">
        <v>46062</v>
      </c>
      <c r="C104" s="171" t="s">
        <v>56</v>
      </c>
      <c r="D104" s="7" t="s">
        <v>53</v>
      </c>
      <c r="E104" s="7" t="s">
        <v>53</v>
      </c>
      <c r="F104" s="161" t="s">
        <v>866</v>
      </c>
      <c r="G104" s="168" t="s">
        <v>45</v>
      </c>
      <c r="H104" s="7" t="s">
        <v>185</v>
      </c>
      <c r="I104" s="117" t="s">
        <v>28</v>
      </c>
      <c r="J104" s="7" t="s">
        <v>869</v>
      </c>
      <c r="K104" s="168" t="s">
        <v>840</v>
      </c>
      <c r="L104" s="7" t="s">
        <v>68</v>
      </c>
      <c r="M104" s="122" t="s">
        <v>868</v>
      </c>
      <c r="N104" s="17" t="s">
        <v>355</v>
      </c>
      <c r="O104" s="140" t="s">
        <v>673</v>
      </c>
      <c r="P104" s="132" t="s">
        <v>65</v>
      </c>
      <c r="Q104" s="17" t="s">
        <v>948</v>
      </c>
      <c r="R104" s="132" t="s">
        <v>875</v>
      </c>
      <c r="S104" s="172">
        <v>46071</v>
      </c>
      <c r="T104" s="164">
        <v>46071</v>
      </c>
      <c r="U104" s="19">
        <v>46071</v>
      </c>
      <c r="V104" s="170">
        <v>999.5</v>
      </c>
      <c r="W104" s="17" t="s">
        <v>880</v>
      </c>
      <c r="X104" s="103" t="s">
        <v>818</v>
      </c>
      <c r="Y104" s="17" t="s">
        <v>15</v>
      </c>
      <c r="Z104" s="165">
        <v>10016711</v>
      </c>
      <c r="AA104" s="48">
        <v>10003765</v>
      </c>
      <c r="AB104" s="48"/>
      <c r="AC104" s="167">
        <v>46076</v>
      </c>
      <c r="AD104" s="166">
        <f>NETWORKDAYS.INTL(Tab_4.DISP_INEX[[#This Row],[DATA RECEBIDO]],Tab_4.DISP_INEX[[#This Row],[DATA 
FINALIZADO]],1,Lista!$U$3:$U$15)</f>
        <v>11</v>
      </c>
      <c r="AF104" s="168"/>
      <c r="AG104" s="7" t="s">
        <v>926</v>
      </c>
      <c r="AH104" s="7" t="s">
        <v>509</v>
      </c>
      <c r="AI104" s="7" t="s">
        <v>509</v>
      </c>
      <c r="AJ104" s="204" t="s">
        <v>908</v>
      </c>
      <c r="AK104" s="247" t="s">
        <v>1201</v>
      </c>
      <c r="AL104" s="247" t="s">
        <v>1199</v>
      </c>
      <c r="AM104" s="247" t="s">
        <v>1200</v>
      </c>
      <c r="AP104" s="212">
        <v>99</v>
      </c>
      <c r="AQ104" s="213" t="str">
        <f>_xlfn.CONCAT(AP104,"_","TR","_",Tab_4.DISP_INEX[[#This Row],[FORNECEDOR]])</f>
        <v>99_TR_BIOSEG BRASILIA SOLUCOES EM SEGURANCA E MEDICINA DO TRABALHO LTDA</v>
      </c>
      <c r="AR104" s="213" t="str">
        <f>_xlfn.CONCAT(AP104,"_","JUST","_",Tab_4.DISP_INEX[[#This Row],[FORNECEDOR]])</f>
        <v>99_JUST_BIOSEG BRASILIA SOLUCOES EM SEGURANCA E MEDICINA DO TRABALHO LTDA</v>
      </c>
      <c r="AS104" s="213" t="str">
        <f>_xlfn.CONCAT(AP104,"_","RAT","_",Tab_4.DISP_INEX[[#This Row],[FORNECEDOR]])</f>
        <v>99_RAT_BIOSEG BRASILIA SOLUCOES EM SEGURANCA E MEDICINA DO TRABALHO LTDA</v>
      </c>
    </row>
    <row r="105" spans="1:45" ht="54.75" customHeight="1" x14ac:dyDescent="0.25">
      <c r="B105" s="167">
        <v>46074</v>
      </c>
      <c r="C105" s="119" t="s">
        <v>56</v>
      </c>
      <c r="D105" s="7" t="s">
        <v>53</v>
      </c>
      <c r="E105" s="7" t="s">
        <v>53</v>
      </c>
      <c r="F105" s="161" t="s">
        <v>876</v>
      </c>
      <c r="G105" s="168" t="s">
        <v>45</v>
      </c>
      <c r="H105" s="7" t="s">
        <v>185</v>
      </c>
      <c r="I105" s="117" t="s">
        <v>28</v>
      </c>
      <c r="J105" s="88" t="s">
        <v>877</v>
      </c>
      <c r="K105" s="168" t="s">
        <v>840</v>
      </c>
      <c r="L105" s="87" t="s">
        <v>68</v>
      </c>
      <c r="M105" s="122" t="s">
        <v>878</v>
      </c>
      <c r="N105" s="121" t="s">
        <v>879</v>
      </c>
      <c r="O105" s="163" t="s">
        <v>673</v>
      </c>
      <c r="P105" s="132" t="s">
        <v>65</v>
      </c>
      <c r="Q105" s="17" t="s">
        <v>892</v>
      </c>
      <c r="R105" s="122" t="s">
        <v>892</v>
      </c>
      <c r="S105" s="164">
        <v>46076</v>
      </c>
      <c r="T105" s="164">
        <v>46076</v>
      </c>
      <c r="U105" s="19">
        <v>46076</v>
      </c>
      <c r="V105" s="170">
        <v>10500</v>
      </c>
      <c r="W105" s="17" t="s">
        <v>882</v>
      </c>
      <c r="X105" s="103" t="s">
        <v>818</v>
      </c>
      <c r="Y105" s="17" t="s">
        <v>15</v>
      </c>
      <c r="Z105" s="165">
        <v>10016743</v>
      </c>
      <c r="AA105" s="48">
        <v>10004413</v>
      </c>
      <c r="AB105" s="48"/>
      <c r="AC105" s="167">
        <v>46077</v>
      </c>
      <c r="AD105" s="166">
        <f>NETWORKDAYS.INTL(Tab_4.DISP_INEX[[#This Row],[DATA RECEBIDO]],Tab_4.DISP_INEX[[#This Row],[DATA 
FINALIZADO]],1,Lista!$U$3:$U$15)</f>
        <v>2</v>
      </c>
      <c r="AF105" s="168"/>
      <c r="AG105" s="7" t="s">
        <v>927</v>
      </c>
      <c r="AH105" s="7" t="s">
        <v>509</v>
      </c>
      <c r="AI105" s="7" t="s">
        <v>509</v>
      </c>
      <c r="AJ105" s="204" t="s">
        <v>909</v>
      </c>
      <c r="AK105" s="247" t="s">
        <v>1204</v>
      </c>
      <c r="AL105" s="247" t="s">
        <v>1202</v>
      </c>
      <c r="AM105" s="247" t="s">
        <v>1203</v>
      </c>
      <c r="AP105" s="212">
        <v>100</v>
      </c>
      <c r="AQ105" s="213" t="str">
        <f>_xlfn.CONCAT(AP105,"_","TR","_",Tab_4.DISP_INEX[[#This Row],[FORNECEDOR]])</f>
        <v xml:space="preserve">100_TR_SAVE PRODUÇÕES EDITORIAIS LTDA </v>
      </c>
      <c r="AR105" s="213" t="str">
        <f>_xlfn.CONCAT(AP105,"_","JUST","_",Tab_4.DISP_INEX[[#This Row],[FORNECEDOR]])</f>
        <v xml:space="preserve">100_JUST_SAVE PRODUÇÕES EDITORIAIS LTDA </v>
      </c>
      <c r="AS105" s="213" t="str">
        <f>_xlfn.CONCAT(AP105,"_","RAT","_",Tab_4.DISP_INEX[[#This Row],[FORNECEDOR]])</f>
        <v xml:space="preserve">100_RAT_SAVE PRODUÇÕES EDITORIAIS LTDA </v>
      </c>
    </row>
    <row r="106" spans="1:45" ht="111.75" customHeight="1" x14ac:dyDescent="0.25">
      <c r="B106" s="125">
        <v>46093</v>
      </c>
      <c r="C106" s="171" t="s">
        <v>56</v>
      </c>
      <c r="D106" s="7" t="s">
        <v>53</v>
      </c>
      <c r="E106" s="7" t="s">
        <v>53</v>
      </c>
      <c r="F106" s="161" t="s">
        <v>923</v>
      </c>
      <c r="G106" s="7" t="s">
        <v>45</v>
      </c>
      <c r="H106" s="7" t="s">
        <v>185</v>
      </c>
      <c r="I106" s="117" t="s">
        <v>28</v>
      </c>
      <c r="J106" s="7" t="s">
        <v>886</v>
      </c>
      <c r="K106" s="7" t="s">
        <v>840</v>
      </c>
      <c r="L106" s="7" t="s">
        <v>68</v>
      </c>
      <c r="M106" s="122" t="s">
        <v>887</v>
      </c>
      <c r="N106" s="17" t="s">
        <v>65</v>
      </c>
      <c r="O106" s="120" t="s">
        <v>673</v>
      </c>
      <c r="P106" s="132" t="s">
        <v>65</v>
      </c>
      <c r="Q106" s="17" t="s">
        <v>888</v>
      </c>
      <c r="R106" s="132" t="s">
        <v>888</v>
      </c>
      <c r="S106" s="19">
        <v>46093</v>
      </c>
      <c r="T106" s="123">
        <v>46093</v>
      </c>
      <c r="U106" s="19">
        <v>46093</v>
      </c>
      <c r="V106" s="160">
        <v>7388.3</v>
      </c>
      <c r="W106" s="17" t="s">
        <v>889</v>
      </c>
      <c r="X106" s="103" t="s">
        <v>818</v>
      </c>
      <c r="Y106" s="17" t="s">
        <v>15</v>
      </c>
      <c r="Z106" s="124">
        <v>10016812</v>
      </c>
      <c r="AA106" s="48">
        <v>30000020</v>
      </c>
      <c r="AB106" s="48"/>
      <c r="AC106" s="11">
        <v>46094</v>
      </c>
      <c r="AD106" s="117">
        <f>NETWORKDAYS.INTL(Tab_4.DISP_INEX[[#This Row],[DATA RECEBIDO]],Tab_4.DISP_INEX[[#This Row],[DATA 
FINALIZADO]],1,Lista!$U$3:$U$15)</f>
        <v>2</v>
      </c>
      <c r="AF106" s="7"/>
      <c r="AG106" s="7" t="s">
        <v>696</v>
      </c>
      <c r="AH106" s="7" t="s">
        <v>696</v>
      </c>
      <c r="AI106" s="7" t="s">
        <v>696</v>
      </c>
      <c r="AJ106" s="204" t="s">
        <v>910</v>
      </c>
      <c r="AK106" s="247" t="s">
        <v>1207</v>
      </c>
      <c r="AL106" s="247" t="s">
        <v>1205</v>
      </c>
      <c r="AM106" s="247" t="s">
        <v>1206</v>
      </c>
      <c r="AP106" s="212">
        <v>101</v>
      </c>
      <c r="AQ106" s="213" t="str">
        <f>_xlfn.CONCAT(AP106,"_","TR","_",Tab_4.DISP_INEX[[#This Row],[FORNECEDOR]])</f>
        <v>101_TR_ Access Intelligence, LLC</v>
      </c>
      <c r="AR106" s="213" t="str">
        <f>_xlfn.CONCAT(AP106,"_","JUST","_",Tab_4.DISP_INEX[[#This Row],[FORNECEDOR]])</f>
        <v>101_JUST_ Access Intelligence, LLC</v>
      </c>
      <c r="AS106" s="213" t="str">
        <f>_xlfn.CONCAT(AP106,"_","RAT","_",Tab_4.DISP_INEX[[#This Row],[FORNECEDOR]])</f>
        <v>101_RAT_ Access Intelligence, LLC</v>
      </c>
    </row>
    <row r="107" spans="1:45" ht="79.5" customHeight="1" x14ac:dyDescent="0.25">
      <c r="B107" s="11">
        <v>46093</v>
      </c>
      <c r="C107" s="119" t="s">
        <v>56</v>
      </c>
      <c r="D107" s="7" t="s">
        <v>53</v>
      </c>
      <c r="E107" s="7" t="s">
        <v>53</v>
      </c>
      <c r="F107" s="161" t="s">
        <v>885</v>
      </c>
      <c r="G107" s="7" t="s">
        <v>45</v>
      </c>
      <c r="H107" s="7" t="s">
        <v>185</v>
      </c>
      <c r="I107" s="117" t="s">
        <v>28</v>
      </c>
      <c r="J107" s="88" t="s">
        <v>890</v>
      </c>
      <c r="K107" s="7" t="s">
        <v>840</v>
      </c>
      <c r="L107" s="87" t="s">
        <v>68</v>
      </c>
      <c r="M107" s="122" t="s">
        <v>603</v>
      </c>
      <c r="N107" s="121" t="s">
        <v>604</v>
      </c>
      <c r="O107" s="120" t="s">
        <v>673</v>
      </c>
      <c r="P107" s="132" t="s">
        <v>65</v>
      </c>
      <c r="Q107" s="17" t="s">
        <v>949</v>
      </c>
      <c r="R107" s="122" t="s">
        <v>894</v>
      </c>
      <c r="S107" s="123">
        <v>46097</v>
      </c>
      <c r="T107" s="123">
        <v>46097</v>
      </c>
      <c r="U107" s="19">
        <v>46097</v>
      </c>
      <c r="V107" s="160">
        <v>15594</v>
      </c>
      <c r="W107" s="17" t="s">
        <v>895</v>
      </c>
      <c r="X107" s="103" t="s">
        <v>818</v>
      </c>
      <c r="Y107" s="17" t="s">
        <v>15</v>
      </c>
      <c r="Z107" s="124">
        <v>10016766</v>
      </c>
      <c r="AA107" s="48">
        <v>10004285</v>
      </c>
      <c r="AB107" s="48"/>
      <c r="AC107" s="11">
        <v>46098</v>
      </c>
      <c r="AD107" s="117">
        <f>NETWORKDAYS.INTL(Tab_4.DISP_INEX[[#This Row],[DATA RECEBIDO]],Tab_4.DISP_INEX[[#This Row],[DATA 
FINALIZADO]],1,Lista!$U$3:$U$15)</f>
        <v>4</v>
      </c>
      <c r="AF107" s="7"/>
      <c r="AG107" s="7" t="s">
        <v>928</v>
      </c>
      <c r="AH107" s="7" t="s">
        <v>509</v>
      </c>
      <c r="AI107" s="7" t="s">
        <v>509</v>
      </c>
      <c r="AJ107" s="206" t="s">
        <v>897</v>
      </c>
      <c r="AK107" s="247" t="s">
        <v>1210</v>
      </c>
      <c r="AL107" s="247" t="s">
        <v>1208</v>
      </c>
      <c r="AM107" s="247" t="s">
        <v>1209</v>
      </c>
      <c r="AP107" s="212">
        <v>102</v>
      </c>
      <c r="AQ107" s="213" t="str">
        <f>_xlfn.CONCAT(AP107,"_","TR","_",Tab_4.DISP_INEX[[#This Row],[FORNECEDOR]])</f>
        <v>102_TR_Neurobox Tecnologia em Informática Ltda</v>
      </c>
      <c r="AR107" s="213" t="str">
        <f>_xlfn.CONCAT(AP107,"_","JUST","_",Tab_4.DISP_INEX[[#This Row],[FORNECEDOR]])</f>
        <v>102_JUST_Neurobox Tecnologia em Informática Ltda</v>
      </c>
      <c r="AS107" s="213" t="str">
        <f>_xlfn.CONCAT(AP107,"_","RAT","_",Tab_4.DISP_INEX[[#This Row],[FORNECEDOR]])</f>
        <v>102_RAT_Neurobox Tecnologia em Informática Ltda</v>
      </c>
    </row>
    <row r="108" spans="1:45" ht="105" x14ac:dyDescent="0.25">
      <c r="B108" s="186">
        <v>46104</v>
      </c>
      <c r="C108" s="171" t="s">
        <v>794</v>
      </c>
      <c r="D108" s="187" t="s">
        <v>53</v>
      </c>
      <c r="E108" s="7" t="s">
        <v>53</v>
      </c>
      <c r="F108" s="88" t="s">
        <v>938</v>
      </c>
      <c r="G108" s="187" t="s">
        <v>45</v>
      </c>
      <c r="H108" s="87" t="s">
        <v>185</v>
      </c>
      <c r="I108" s="117" t="s">
        <v>28</v>
      </c>
      <c r="J108" s="88" t="s">
        <v>1006</v>
      </c>
      <c r="K108" s="187" t="s">
        <v>840</v>
      </c>
      <c r="L108" s="161" t="s">
        <v>68</v>
      </c>
      <c r="M108" s="17" t="s">
        <v>939</v>
      </c>
      <c r="N108" s="122" t="s">
        <v>65</v>
      </c>
      <c r="O108" s="188" t="s">
        <v>673</v>
      </c>
      <c r="P108" s="122" t="s">
        <v>65</v>
      </c>
      <c r="Q108" s="122" t="s">
        <v>1044</v>
      </c>
      <c r="R108" s="121" t="s">
        <v>1044</v>
      </c>
      <c r="S108" s="183">
        <v>46106</v>
      </c>
      <c r="T108" s="184">
        <v>46106</v>
      </c>
      <c r="U108" s="185">
        <v>46106</v>
      </c>
      <c r="V108" s="160">
        <v>8475.74</v>
      </c>
      <c r="W108" s="132" t="s">
        <v>1045</v>
      </c>
      <c r="X108" s="103" t="s">
        <v>818</v>
      </c>
      <c r="Y108" s="17" t="s">
        <v>15</v>
      </c>
      <c r="Z108" s="189">
        <v>10016850</v>
      </c>
      <c r="AA108" s="48">
        <v>30000105</v>
      </c>
      <c r="AB108" s="48"/>
      <c r="AC108" s="190">
        <v>46108</v>
      </c>
      <c r="AD108" s="187">
        <f>NETWORKDAYS.INTL(Tab_4.DISP_INEX[[#This Row],[DATA RECEBIDO]],Tab_4.DISP_INEX[[#This Row],[DATA 
FINALIZADO]],1,Lista!$U$3:$U$15)</f>
        <v>5</v>
      </c>
      <c r="AF108" s="187"/>
      <c r="AG108" s="7" t="s">
        <v>696</v>
      </c>
      <c r="AH108" s="7" t="s">
        <v>696</v>
      </c>
      <c r="AI108" s="7" t="s">
        <v>696</v>
      </c>
      <c r="AJ108" s="207" t="s">
        <v>1069</v>
      </c>
      <c r="AK108" s="247" t="s">
        <v>1213</v>
      </c>
      <c r="AL108" s="247" t="s">
        <v>1211</v>
      </c>
      <c r="AM108" s="247" t="s">
        <v>1212</v>
      </c>
      <c r="AP108" s="212">
        <v>103</v>
      </c>
      <c r="AQ108" s="213" t="str">
        <f>_xlfn.CONCAT(AP108,"_","TR","_",Tab_4.DISP_INEX[[#This Row],[FORNECEDOR]])</f>
        <v>103_TR_ French Space Agency</v>
      </c>
      <c r="AR108" s="213" t="str">
        <f>_xlfn.CONCAT(AP108,"_","JUST","_",Tab_4.DISP_INEX[[#This Row],[FORNECEDOR]])</f>
        <v>103_JUST_ French Space Agency</v>
      </c>
      <c r="AS108" s="213" t="str">
        <f>_xlfn.CONCAT(AP108,"_","RAT","_",Tab_4.DISP_INEX[[#This Row],[FORNECEDOR]])</f>
        <v>103_RAT_ French Space Agency</v>
      </c>
    </row>
    <row r="109" spans="1:45" ht="90" x14ac:dyDescent="0.25">
      <c r="B109" s="190">
        <v>46105</v>
      </c>
      <c r="C109" s="11" t="s">
        <v>56</v>
      </c>
      <c r="D109" s="187" t="s">
        <v>53</v>
      </c>
      <c r="E109" s="7" t="s">
        <v>53</v>
      </c>
      <c r="F109" s="7" t="s">
        <v>1008</v>
      </c>
      <c r="G109" s="187" t="s">
        <v>45</v>
      </c>
      <c r="H109" s="87" t="s">
        <v>185</v>
      </c>
      <c r="I109" s="117" t="s">
        <v>28</v>
      </c>
      <c r="J109" s="88" t="s">
        <v>1007</v>
      </c>
      <c r="K109" s="187" t="s">
        <v>840</v>
      </c>
      <c r="L109" s="117" t="s">
        <v>68</v>
      </c>
      <c r="M109" s="17" t="s">
        <v>1009</v>
      </c>
      <c r="N109" s="122" t="s">
        <v>1010</v>
      </c>
      <c r="O109" s="188" t="s">
        <v>673</v>
      </c>
      <c r="P109" s="122" t="s">
        <v>65</v>
      </c>
      <c r="Q109" s="122" t="s">
        <v>1070</v>
      </c>
      <c r="R109" s="121" t="s">
        <v>1070</v>
      </c>
      <c r="S109" s="183">
        <v>46119</v>
      </c>
      <c r="T109" s="191">
        <v>46119</v>
      </c>
      <c r="U109" s="192">
        <v>46119</v>
      </c>
      <c r="V109" s="160">
        <v>8694</v>
      </c>
      <c r="W109" s="132" t="s">
        <v>1080</v>
      </c>
      <c r="X109" s="103" t="s">
        <v>818</v>
      </c>
      <c r="Y109" s="17" t="s">
        <v>15</v>
      </c>
      <c r="Z109" s="193">
        <v>10016851</v>
      </c>
      <c r="AA109" s="48">
        <v>10004441</v>
      </c>
      <c r="AB109" s="48"/>
      <c r="AC109" s="190">
        <v>46122</v>
      </c>
      <c r="AD109" s="187">
        <f>NETWORKDAYS.INTL(Tab_4.DISP_INEX[[#This Row],[DATA RECEBIDO]],Tab_4.DISP_INEX[[#This Row],[DATA 
FINALIZADO]],1,Lista!$U$3:$U$15)</f>
        <v>14</v>
      </c>
      <c r="AF109" s="187"/>
      <c r="AG109" s="7" t="s">
        <v>1128</v>
      </c>
      <c r="AH109" s="7" t="s">
        <v>509</v>
      </c>
      <c r="AI109" s="7" t="s">
        <v>509</v>
      </c>
      <c r="AJ109" s="220" t="s">
        <v>1113</v>
      </c>
      <c r="AK109" s="247" t="s">
        <v>1216</v>
      </c>
      <c r="AL109" s="247" t="s">
        <v>1214</v>
      </c>
      <c r="AM109" s="247" t="s">
        <v>1215</v>
      </c>
      <c r="AP109" s="212">
        <v>104</v>
      </c>
      <c r="AQ109" s="213" t="str">
        <f>_xlfn.CONCAT(AP109,"_","TR","_",Tab_4.DISP_INEX[[#This Row],[FORNECEDOR]])</f>
        <v>104_TR_AABC Organização de Eventos Ltda</v>
      </c>
      <c r="AR109" s="213" t="str">
        <f>_xlfn.CONCAT(AP109,"_","JUST","_",Tab_4.DISP_INEX[[#This Row],[FORNECEDOR]])</f>
        <v>104_JUST_AABC Organização de Eventos Ltda</v>
      </c>
      <c r="AS109" s="213" t="str">
        <f>_xlfn.CONCAT(AP109,"_","RAT","_",Tab_4.DISP_INEX[[#This Row],[FORNECEDOR]])</f>
        <v>104_RAT_AABC Organização de Eventos Ltda</v>
      </c>
    </row>
    <row r="110" spans="1:45" ht="90" x14ac:dyDescent="0.25">
      <c r="B110" s="190">
        <v>46113</v>
      </c>
      <c r="C110" s="11" t="s">
        <v>66</v>
      </c>
      <c r="D110" s="187" t="s">
        <v>53</v>
      </c>
      <c r="E110" s="7" t="s">
        <v>53</v>
      </c>
      <c r="F110" s="187" t="s">
        <v>1046</v>
      </c>
      <c r="G110" s="187" t="s">
        <v>47</v>
      </c>
      <c r="H110" s="7" t="s">
        <v>221</v>
      </c>
      <c r="I110" s="88" t="s">
        <v>23</v>
      </c>
      <c r="J110" s="208" t="s">
        <v>1072</v>
      </c>
      <c r="K110" s="187" t="s">
        <v>845</v>
      </c>
      <c r="L110" s="117" t="s">
        <v>68</v>
      </c>
      <c r="M110" s="17" t="s">
        <v>1101</v>
      </c>
      <c r="N110" s="122" t="s">
        <v>1102</v>
      </c>
      <c r="O110" s="188" t="s">
        <v>673</v>
      </c>
      <c r="P110" s="122" t="s">
        <v>65</v>
      </c>
      <c r="Q110" s="122" t="s">
        <v>1100</v>
      </c>
      <c r="R110" s="122" t="s">
        <v>1100</v>
      </c>
      <c r="S110" s="183">
        <v>46142</v>
      </c>
      <c r="T110" s="183">
        <v>46142</v>
      </c>
      <c r="U110" s="192">
        <v>46387</v>
      </c>
      <c r="V110" s="196">
        <v>28500</v>
      </c>
      <c r="W110" s="132" t="s">
        <v>1103</v>
      </c>
      <c r="X110" s="132" t="s">
        <v>489</v>
      </c>
      <c r="Y110" s="17" t="s">
        <v>15</v>
      </c>
      <c r="Z110" s="193"/>
      <c r="AA110" s="48"/>
      <c r="AB110" s="48"/>
      <c r="AC110" s="190">
        <f ca="1">TODAY()</f>
        <v>46190</v>
      </c>
      <c r="AD110" s="187">
        <f ca="1">NETWORKDAYS.INTL(Tab_4.DISP_INEX[[#This Row],[DATA RECEBIDO]],Tab_4.DISP_INEX[[#This Row],[DATA 
FINALIZADO]],1,Lista!$U$3:$U$15)</f>
        <v>56</v>
      </c>
      <c r="AF110" s="187"/>
      <c r="AG110" s="187" t="s">
        <v>1073</v>
      </c>
      <c r="AH110" s="7" t="s">
        <v>509</v>
      </c>
      <c r="AI110" s="7" t="s">
        <v>509</v>
      </c>
      <c r="AJ110" s="220" t="s">
        <v>1104</v>
      </c>
      <c r="AK110" s="247" t="s">
        <v>1219</v>
      </c>
      <c r="AL110" s="247" t="s">
        <v>1217</v>
      </c>
      <c r="AM110" s="247" t="s">
        <v>1218</v>
      </c>
      <c r="AP110" s="212">
        <v>105</v>
      </c>
      <c r="AQ110" s="213" t="str">
        <f>_xlfn.CONCAT(AP110,"_","TR","_",Tab_4.DISP_INEX[[#This Row],[FORNECEDOR]])</f>
        <v>105_TR_RUTE ARANTES DE AZEVEDO - ME</v>
      </c>
      <c r="AR110" s="213" t="str">
        <f>_xlfn.CONCAT(AP110,"_","JUST","_",Tab_4.DISP_INEX[[#This Row],[FORNECEDOR]])</f>
        <v>105_JUST_RUTE ARANTES DE AZEVEDO - ME</v>
      </c>
      <c r="AS110" s="213" t="str">
        <f>_xlfn.CONCAT(AP110,"_","RAT","_",Tab_4.DISP_INEX[[#This Row],[FORNECEDOR]])</f>
        <v>105_RAT_RUTE ARANTES DE AZEVEDO - ME</v>
      </c>
    </row>
    <row r="111" spans="1:45" ht="105" x14ac:dyDescent="0.25">
      <c r="B111" s="190">
        <v>46118</v>
      </c>
      <c r="C111" s="11" t="s">
        <v>66</v>
      </c>
      <c r="D111" s="187" t="s">
        <v>53</v>
      </c>
      <c r="E111" s="7" t="s">
        <v>53</v>
      </c>
      <c r="F111" s="7" t="s">
        <v>1047</v>
      </c>
      <c r="G111" s="187" t="s">
        <v>47</v>
      </c>
      <c r="H111" s="7" t="s">
        <v>221</v>
      </c>
      <c r="I111" s="117" t="s">
        <v>28</v>
      </c>
      <c r="J111" s="7" t="s">
        <v>1050</v>
      </c>
      <c r="K111" s="187" t="s">
        <v>840</v>
      </c>
      <c r="L111" s="117" t="s">
        <v>68</v>
      </c>
      <c r="M111" s="17" t="s">
        <v>1048</v>
      </c>
      <c r="N111" s="122" t="s">
        <v>336</v>
      </c>
      <c r="O111" s="188" t="s">
        <v>446</v>
      </c>
      <c r="P111" s="122" t="s">
        <v>65</v>
      </c>
      <c r="Q111" s="122" t="s">
        <v>1105</v>
      </c>
      <c r="R111" s="121" t="s">
        <v>1105</v>
      </c>
      <c r="S111" s="197">
        <v>46146</v>
      </c>
      <c r="T111" s="197">
        <v>46146</v>
      </c>
      <c r="U111" s="183">
        <v>46242</v>
      </c>
      <c r="V111" s="196">
        <v>219751.44</v>
      </c>
      <c r="W111" s="122" t="s">
        <v>1106</v>
      </c>
      <c r="X111" s="132" t="s">
        <v>489</v>
      </c>
      <c r="Y111" s="17" t="s">
        <v>15</v>
      </c>
      <c r="Z111" s="198"/>
      <c r="AA111" s="48"/>
      <c r="AB111" s="48"/>
      <c r="AC111" s="190">
        <f ca="1">TODAY()</f>
        <v>46190</v>
      </c>
      <c r="AD111" s="187">
        <f ca="1">NETWORKDAYS.INTL(Tab_4.DISP_INEX[[#This Row],[DATA RECEBIDO]],Tab_4.DISP_INEX[[#This Row],[DATA 
FINALIZADO]],1,Lista!$U$3:$U$15)</f>
        <v>53</v>
      </c>
      <c r="AF111" s="187"/>
      <c r="AG111" s="7" t="s">
        <v>1129</v>
      </c>
      <c r="AH111" s="7" t="s">
        <v>509</v>
      </c>
      <c r="AI111" s="7" t="s">
        <v>509</v>
      </c>
      <c r="AJ111" s="221" t="s">
        <v>1107</v>
      </c>
      <c r="AK111" s="247" t="s">
        <v>1222</v>
      </c>
      <c r="AL111" s="247" t="s">
        <v>1220</v>
      </c>
      <c r="AM111" s="247" t="s">
        <v>1221</v>
      </c>
      <c r="AP111" s="212">
        <v>106</v>
      </c>
      <c r="AQ111" s="213" t="str">
        <f>_xlfn.CONCAT(AP111,"_","TR","_",Tab_4.DISP_INEX[[#This Row],[FORNECEDOR]])</f>
        <v>106_TR_ASSOCIACAO BRASILEIRA DE PROVEDORES DE INTERNET E TELECOMUNICACOES</v>
      </c>
      <c r="AR111" s="213" t="str">
        <f>_xlfn.CONCAT(AP111,"_","JUST","_",Tab_4.DISP_INEX[[#This Row],[FORNECEDOR]])</f>
        <v>106_JUST_ASSOCIACAO BRASILEIRA DE PROVEDORES DE INTERNET E TELECOMUNICACOES</v>
      </c>
      <c r="AS111" s="213" t="str">
        <f>_xlfn.CONCAT(AP111,"_","RAT","_",Tab_4.DISP_INEX[[#This Row],[FORNECEDOR]])</f>
        <v>106_RAT_ASSOCIACAO BRASILEIRA DE PROVEDORES DE INTERNET E TELECOMUNICACOES</v>
      </c>
    </row>
    <row r="112" spans="1:45" ht="75" x14ac:dyDescent="0.25">
      <c r="B112" s="190">
        <v>46119</v>
      </c>
      <c r="C112" s="11" t="s">
        <v>56</v>
      </c>
      <c r="D112" s="187" t="s">
        <v>53</v>
      </c>
      <c r="E112" s="7" t="s">
        <v>53</v>
      </c>
      <c r="F112" s="7" t="s">
        <v>1049</v>
      </c>
      <c r="G112" s="187" t="s">
        <v>45</v>
      </c>
      <c r="H112" s="7" t="s">
        <v>185</v>
      </c>
      <c r="I112" s="117" t="s">
        <v>28</v>
      </c>
      <c r="J112" s="88" t="s">
        <v>1051</v>
      </c>
      <c r="K112" s="187" t="s">
        <v>840</v>
      </c>
      <c r="L112" s="117" t="s">
        <v>68</v>
      </c>
      <c r="M112" s="17" t="s">
        <v>1052</v>
      </c>
      <c r="N112" s="122" t="s">
        <v>1053</v>
      </c>
      <c r="O112" s="188" t="s">
        <v>673</v>
      </c>
      <c r="P112" s="122" t="s">
        <v>65</v>
      </c>
      <c r="Q112" s="122" t="s">
        <v>1071</v>
      </c>
      <c r="R112" s="121" t="s">
        <v>1071</v>
      </c>
      <c r="S112" s="197">
        <v>46119</v>
      </c>
      <c r="T112" s="183">
        <v>46119</v>
      </c>
      <c r="U112" s="199">
        <v>46119</v>
      </c>
      <c r="V112" s="214">
        <v>26950</v>
      </c>
      <c r="W112" s="122" t="s">
        <v>1081</v>
      </c>
      <c r="X112" s="132" t="s">
        <v>578</v>
      </c>
      <c r="Y112" s="17" t="s">
        <v>15</v>
      </c>
      <c r="Z112" s="193">
        <v>10016871</v>
      </c>
      <c r="AA112" s="48">
        <v>10004440</v>
      </c>
      <c r="AB112" s="48"/>
      <c r="AC112" s="190">
        <v>46122</v>
      </c>
      <c r="AD112" s="187">
        <f>NETWORKDAYS.INTL(Tab_4.DISP_INEX[[#This Row],[DATA RECEBIDO]],Tab_4.DISP_INEX[[#This Row],[DATA 
FINALIZADO]],1,Lista!$U$3:$U$15)</f>
        <v>4</v>
      </c>
      <c r="AF112" s="187"/>
      <c r="AG112" s="7" t="s">
        <v>1130</v>
      </c>
      <c r="AH112" s="7" t="s">
        <v>509</v>
      </c>
      <c r="AI112" s="7" t="s">
        <v>509</v>
      </c>
      <c r="AJ112" s="221" t="s">
        <v>1111</v>
      </c>
      <c r="AK112" s="247" t="s">
        <v>1225</v>
      </c>
      <c r="AL112" s="247" t="s">
        <v>1223</v>
      </c>
      <c r="AM112" s="247" t="s">
        <v>1224</v>
      </c>
      <c r="AP112" s="212">
        <v>107</v>
      </c>
      <c r="AQ112" s="213" t="str">
        <f>_xlfn.CONCAT(AP112,"_","TR","_",Tab_4.DISP_INEX[[#This Row],[FORNECEDOR]])</f>
        <v>107_TR_Eleva Soluções Públicas Ltda</v>
      </c>
      <c r="AR112" s="213" t="str">
        <f>_xlfn.CONCAT(AP112,"_","JUST","_",Tab_4.DISP_INEX[[#This Row],[FORNECEDOR]])</f>
        <v>107_JUST_Eleva Soluções Públicas Ltda</v>
      </c>
      <c r="AS112" s="213" t="str">
        <f>_xlfn.CONCAT(AP112,"_","RAT","_",Tab_4.DISP_INEX[[#This Row],[FORNECEDOR]])</f>
        <v>107_RAT_Eleva Soluções Públicas Ltda</v>
      </c>
    </row>
    <row r="113" spans="2:45" ht="74.25" customHeight="1" x14ac:dyDescent="0.25">
      <c r="B113" s="190">
        <v>46140</v>
      </c>
      <c r="C113" s="11" t="s">
        <v>56</v>
      </c>
      <c r="D113" s="187" t="s">
        <v>53</v>
      </c>
      <c r="E113" s="7" t="s">
        <v>53</v>
      </c>
      <c r="F113" s="7" t="s">
        <v>1077</v>
      </c>
      <c r="G113" s="187" t="s">
        <v>45</v>
      </c>
      <c r="H113" s="7" t="s">
        <v>185</v>
      </c>
      <c r="I113" s="209" t="s">
        <v>28</v>
      </c>
      <c r="J113" s="88" t="s">
        <v>1078</v>
      </c>
      <c r="K113" s="187" t="s">
        <v>840</v>
      </c>
      <c r="L113" s="117" t="s">
        <v>68</v>
      </c>
      <c r="M113" s="17" t="s">
        <v>1082</v>
      </c>
      <c r="N113" s="122" t="s">
        <v>65</v>
      </c>
      <c r="O113" s="188" t="s">
        <v>673</v>
      </c>
      <c r="P113" s="122" t="s">
        <v>65</v>
      </c>
      <c r="Q113" s="120" t="s">
        <v>1079</v>
      </c>
      <c r="R113" s="17" t="s">
        <v>1079</v>
      </c>
      <c r="S113" s="197">
        <v>46146</v>
      </c>
      <c r="T113" s="197">
        <v>46147</v>
      </c>
      <c r="U113" s="197">
        <v>46148</v>
      </c>
      <c r="V113" s="214">
        <v>19869.330000000002</v>
      </c>
      <c r="W113" s="122" t="s">
        <v>1084</v>
      </c>
      <c r="X113" s="132" t="s">
        <v>1083</v>
      </c>
      <c r="Y113" s="17" t="s">
        <v>15</v>
      </c>
      <c r="Z113" s="193">
        <v>10016917</v>
      </c>
      <c r="AA113" s="48">
        <v>30000080</v>
      </c>
      <c r="AB113" s="48"/>
      <c r="AC113" s="190">
        <v>46147</v>
      </c>
      <c r="AD113" s="187">
        <f>NETWORKDAYS.INTL(Tab_4.DISP_INEX[[#This Row],[DATA RECEBIDO]],Tab_4.DISP_INEX[[#This Row],[DATA 
FINALIZADO]],1,Lista!$U$3:$U$15)</f>
        <v>6</v>
      </c>
      <c r="AF113" s="187"/>
      <c r="AG113" s="7" t="s">
        <v>696</v>
      </c>
      <c r="AH113" s="7" t="s">
        <v>696</v>
      </c>
      <c r="AI113" s="7" t="s">
        <v>696</v>
      </c>
      <c r="AJ113" s="221" t="s">
        <v>1110</v>
      </c>
      <c r="AK113" s="247" t="s">
        <v>1228</v>
      </c>
      <c r="AL113" s="247" t="s">
        <v>1226</v>
      </c>
      <c r="AM113" s="247" t="s">
        <v>1227</v>
      </c>
      <c r="AP113" s="212">
        <v>108</v>
      </c>
      <c r="AQ113" s="213" t="str">
        <f>_xlfn.CONCAT(AP113,"_","TR","_",Tab_4.DISP_INEX[[#This Row],[FORNECEDOR]])</f>
        <v>108_TR_IEEE - International Conference on Communications</v>
      </c>
      <c r="AR113" s="213" t="str">
        <f>_xlfn.CONCAT(AP113,"_","JUST","_",Tab_4.DISP_INEX[[#This Row],[FORNECEDOR]])</f>
        <v>108_JUST_IEEE - International Conference on Communications</v>
      </c>
      <c r="AS113" s="213" t="str">
        <f>_xlfn.CONCAT(AP113,"_","RAT","_",Tab_4.DISP_INEX[[#This Row],[FORNECEDOR]])</f>
        <v>108_RAT_IEEE - International Conference on Communications</v>
      </c>
    </row>
    <row r="114" spans="2:45" ht="105" x14ac:dyDescent="0.25">
      <c r="B114" s="190">
        <v>46148</v>
      </c>
      <c r="C114" s="11" t="s">
        <v>794</v>
      </c>
      <c r="D114" s="187" t="s">
        <v>53</v>
      </c>
      <c r="E114" s="7" t="s">
        <v>53</v>
      </c>
      <c r="F114" s="7" t="s">
        <v>1085</v>
      </c>
      <c r="G114" s="187" t="s">
        <v>45</v>
      </c>
      <c r="H114" s="7" t="s">
        <v>185</v>
      </c>
      <c r="I114" s="209" t="s">
        <v>28</v>
      </c>
      <c r="J114" s="88" t="s">
        <v>1086</v>
      </c>
      <c r="K114" s="187" t="s">
        <v>840</v>
      </c>
      <c r="L114" s="117" t="s">
        <v>68</v>
      </c>
      <c r="M114" s="17" t="s">
        <v>549</v>
      </c>
      <c r="N114" s="122" t="s">
        <v>550</v>
      </c>
      <c r="O114" s="188" t="s">
        <v>673</v>
      </c>
      <c r="P114" s="122" t="s">
        <v>65</v>
      </c>
      <c r="Q114" s="122" t="s">
        <v>1096</v>
      </c>
      <c r="R114" s="17" t="s">
        <v>1096</v>
      </c>
      <c r="S114" s="197">
        <v>46155</v>
      </c>
      <c r="T114" s="215">
        <v>46155</v>
      </c>
      <c r="U114" s="199">
        <v>46155</v>
      </c>
      <c r="V114" s="214">
        <v>14700</v>
      </c>
      <c r="W114" s="214">
        <v>14700</v>
      </c>
      <c r="X114" s="132" t="s">
        <v>1083</v>
      </c>
      <c r="Y114" s="17" t="s">
        <v>15</v>
      </c>
      <c r="Z114" s="193">
        <v>10016911</v>
      </c>
      <c r="AA114" s="193">
        <v>10003939</v>
      </c>
      <c r="AB114" s="193"/>
      <c r="AC114" s="190">
        <v>46157</v>
      </c>
      <c r="AD114" s="187">
        <f>NETWORKDAYS.INTL(Tab_4.DISP_INEX[[#This Row],[DATA RECEBIDO]],Tab_4.DISP_INEX[[#This Row],[DATA 
FINALIZADO]],1,Lista!$U$3:$U$15)</f>
        <v>8</v>
      </c>
      <c r="AF114" s="187"/>
      <c r="AG114" s="7" t="s">
        <v>1131</v>
      </c>
      <c r="AH114" s="7" t="s">
        <v>509</v>
      </c>
      <c r="AI114" s="7" t="s">
        <v>509</v>
      </c>
      <c r="AJ114" s="221" t="s">
        <v>1108</v>
      </c>
      <c r="AK114" s="247" t="s">
        <v>1231</v>
      </c>
      <c r="AL114" s="247" t="s">
        <v>1229</v>
      </c>
      <c r="AM114" s="247" t="s">
        <v>1230</v>
      </c>
      <c r="AP114" s="212">
        <v>109</v>
      </c>
      <c r="AQ114" s="213" t="str">
        <f>_xlfn.CONCAT(AP114,"_","TR","_",Tab_4.DISP_INEX[[#This Row],[FORNECEDOR]])</f>
        <v>109_TR_ABRH- Associação Brasileira de Recursos Humanos</v>
      </c>
      <c r="AR114" s="213" t="str">
        <f>_xlfn.CONCAT(AP114,"_","JUST","_",Tab_4.DISP_INEX[[#This Row],[FORNECEDOR]])</f>
        <v>109_JUST_ABRH- Associação Brasileira de Recursos Humanos</v>
      </c>
      <c r="AS114" s="213" t="str">
        <f>_xlfn.CONCAT(AP114,"_","RAT","_",Tab_4.DISP_INEX[[#This Row],[FORNECEDOR]])</f>
        <v>109_RAT_ABRH- Associação Brasileira de Recursos Humanos</v>
      </c>
    </row>
    <row r="115" spans="2:45" ht="105" x14ac:dyDescent="0.25">
      <c r="B115" s="11">
        <v>46151</v>
      </c>
      <c r="C115" s="11" t="s">
        <v>56</v>
      </c>
      <c r="D115" s="7" t="s">
        <v>53</v>
      </c>
      <c r="E115" s="7" t="s">
        <v>53</v>
      </c>
      <c r="F115" s="7" t="s">
        <v>1087</v>
      </c>
      <c r="G115" s="7" t="s">
        <v>45</v>
      </c>
      <c r="H115" s="7" t="s">
        <v>185</v>
      </c>
      <c r="I115" s="117" t="s">
        <v>28</v>
      </c>
      <c r="J115" s="88" t="s">
        <v>1088</v>
      </c>
      <c r="K115" s="187" t="s">
        <v>840</v>
      </c>
      <c r="L115" s="117" t="s">
        <v>68</v>
      </c>
      <c r="M115" s="17" t="s">
        <v>414</v>
      </c>
      <c r="N115" s="122" t="s">
        <v>415</v>
      </c>
      <c r="O115" s="17" t="s">
        <v>673</v>
      </c>
      <c r="P115" s="122" t="s">
        <v>65</v>
      </c>
      <c r="Q115" s="122" t="s">
        <v>1093</v>
      </c>
      <c r="R115" s="17" t="s">
        <v>1093</v>
      </c>
      <c r="S115" s="133">
        <v>46153</v>
      </c>
      <c r="T115" s="133">
        <v>46153</v>
      </c>
      <c r="U115" s="133">
        <v>46153</v>
      </c>
      <c r="V115" s="214">
        <v>17880</v>
      </c>
      <c r="W115" s="122" t="s">
        <v>1097</v>
      </c>
      <c r="X115" s="132" t="s">
        <v>1083</v>
      </c>
      <c r="Y115" s="17" t="s">
        <v>15</v>
      </c>
      <c r="Z115" s="45">
        <v>10016920</v>
      </c>
      <c r="AA115" s="46">
        <v>10004145</v>
      </c>
      <c r="AB115" s="193"/>
      <c r="AC115" s="190">
        <v>46155</v>
      </c>
      <c r="AD115" s="7">
        <f>NETWORKDAYS.INTL(Tab_4.DISP_INEX[[#This Row],[DATA RECEBIDO]],Tab_4.DISP_INEX[[#This Row],[DATA 
FINALIZADO]],1,Lista!$U$3:$U$15)</f>
        <v>3</v>
      </c>
      <c r="AF115" s="7"/>
      <c r="AG115" s="7" t="s">
        <v>1132</v>
      </c>
      <c r="AH115" s="7" t="s">
        <v>509</v>
      </c>
      <c r="AI115" s="7" t="s">
        <v>509</v>
      </c>
      <c r="AJ115" s="221" t="s">
        <v>1109</v>
      </c>
      <c r="AK115" s="247" t="s">
        <v>1234</v>
      </c>
      <c r="AL115" s="247" t="s">
        <v>1232</v>
      </c>
      <c r="AM115" s="247" t="s">
        <v>1233</v>
      </c>
      <c r="AP115" s="212">
        <v>110</v>
      </c>
      <c r="AQ115" s="213" t="str">
        <f>_xlfn.CONCAT(AP115,"_","TR","_",Tab_4.DISP_INEX[[#This Row],[FORNECEDOR]])</f>
        <v>110_TR_ABTD ASSOCIAÇÃO BRASILEIRA DE TREINAMENTO</v>
      </c>
      <c r="AR115" s="213" t="str">
        <f>_xlfn.CONCAT(AP115,"_","JUST","_",Tab_4.DISP_INEX[[#This Row],[FORNECEDOR]])</f>
        <v>110_JUST_ABTD ASSOCIAÇÃO BRASILEIRA DE TREINAMENTO</v>
      </c>
      <c r="AS115" s="213" t="str">
        <f>_xlfn.CONCAT(AP115,"_","RAT","_",Tab_4.DISP_INEX[[#This Row],[FORNECEDOR]])</f>
        <v>110_RAT_ABTD ASSOCIAÇÃO BRASILEIRA DE TREINAMENTO</v>
      </c>
    </row>
    <row r="116" spans="2:45" ht="105" x14ac:dyDescent="0.25">
      <c r="B116" s="190">
        <v>46153</v>
      </c>
      <c r="C116" s="11" t="s">
        <v>56</v>
      </c>
      <c r="D116" s="187" t="s">
        <v>53</v>
      </c>
      <c r="E116" s="7" t="s">
        <v>53</v>
      </c>
      <c r="F116" s="7" t="s">
        <v>1089</v>
      </c>
      <c r="G116" s="187" t="s">
        <v>45</v>
      </c>
      <c r="H116" s="7" t="s">
        <v>185</v>
      </c>
      <c r="I116" s="216" t="s">
        <v>28</v>
      </c>
      <c r="J116" s="88" t="s">
        <v>1090</v>
      </c>
      <c r="K116" s="187" t="s">
        <v>840</v>
      </c>
      <c r="L116" s="117" t="s">
        <v>68</v>
      </c>
      <c r="M116" s="17" t="s">
        <v>1091</v>
      </c>
      <c r="N116" s="122" t="s">
        <v>1092</v>
      </c>
      <c r="O116" s="188" t="s">
        <v>673</v>
      </c>
      <c r="P116" s="122" t="s">
        <v>65</v>
      </c>
      <c r="Q116" s="217" t="s">
        <v>1094</v>
      </c>
      <c r="R116" s="218" t="s">
        <v>1094</v>
      </c>
      <c r="S116" s="133">
        <v>46153</v>
      </c>
      <c r="T116" s="133">
        <v>46153</v>
      </c>
      <c r="U116" s="133">
        <v>46153</v>
      </c>
      <c r="V116" s="219">
        <v>9960</v>
      </c>
      <c r="W116" s="120" t="s">
        <v>1095</v>
      </c>
      <c r="X116" s="132" t="s">
        <v>1083</v>
      </c>
      <c r="Y116" s="17" t="s">
        <v>15</v>
      </c>
      <c r="Z116" s="193">
        <v>10016953</v>
      </c>
      <c r="AA116" s="193">
        <v>10004443</v>
      </c>
      <c r="AB116" s="193"/>
      <c r="AC116" s="190">
        <v>46154</v>
      </c>
      <c r="AD116" s="187">
        <f>NETWORKDAYS.INTL(Tab_4.DISP_INEX[[#This Row],[DATA RECEBIDO]],Tab_4.DISP_INEX[[#This Row],[DATA 
FINALIZADO]],1,Lista!$U$3:$U$15)</f>
        <v>2</v>
      </c>
      <c r="AF116" s="187"/>
      <c r="AG116" s="7" t="s">
        <v>1133</v>
      </c>
      <c r="AH116" s="7" t="s">
        <v>509</v>
      </c>
      <c r="AI116" s="7" t="s">
        <v>509</v>
      </c>
      <c r="AJ116" s="221" t="s">
        <v>1112</v>
      </c>
      <c r="AK116" s="247" t="s">
        <v>1237</v>
      </c>
      <c r="AL116" s="247" t="s">
        <v>1235</v>
      </c>
      <c r="AM116" s="247" t="s">
        <v>1236</v>
      </c>
      <c r="AP116" s="212">
        <v>111</v>
      </c>
      <c r="AQ116" s="213" t="str">
        <f>_xlfn.CONCAT(AP116,"_","TR","_",Tab_4.DISP_INEX[[#This Row],[FORNECEDOR]])</f>
        <v>111_TR_ESPM - Associação Escola Superior de Propaganda e Marketing</v>
      </c>
      <c r="AR116" s="213" t="str">
        <f>_xlfn.CONCAT(AP116,"_","JUST","_",Tab_4.DISP_INEX[[#This Row],[FORNECEDOR]])</f>
        <v>111_JUST_ESPM - Associação Escola Superior de Propaganda e Marketing</v>
      </c>
      <c r="AS116" s="213" t="str">
        <f>_xlfn.CONCAT(AP116,"_","RAT","_",Tab_4.DISP_INEX[[#This Row],[FORNECEDOR]])</f>
        <v>111_RAT_ESPM - Associação Escola Superior de Propaganda e Marketing</v>
      </c>
    </row>
    <row r="117" spans="2:45" ht="90" x14ac:dyDescent="0.25">
      <c r="B117" s="190">
        <v>46168</v>
      </c>
      <c r="C117" s="11" t="s">
        <v>56</v>
      </c>
      <c r="D117" s="187" t="s">
        <v>53</v>
      </c>
      <c r="E117" s="7" t="s">
        <v>53</v>
      </c>
      <c r="F117" s="187" t="s">
        <v>1098</v>
      </c>
      <c r="G117" s="187" t="s">
        <v>45</v>
      </c>
      <c r="H117" s="7" t="s">
        <v>185</v>
      </c>
      <c r="I117" s="209" t="s">
        <v>28</v>
      </c>
      <c r="J117" s="88" t="s">
        <v>1099</v>
      </c>
      <c r="K117" s="187" t="s">
        <v>840</v>
      </c>
      <c r="L117" s="117" t="s">
        <v>68</v>
      </c>
      <c r="M117" s="147" t="s">
        <v>703</v>
      </c>
      <c r="N117" s="17" t="s">
        <v>359</v>
      </c>
      <c r="O117" s="140" t="s">
        <v>673</v>
      </c>
      <c r="P117" s="17" t="s">
        <v>65</v>
      </c>
      <c r="Q117" s="121" t="s">
        <v>1123</v>
      </c>
      <c r="R117" s="17" t="s">
        <v>1123</v>
      </c>
      <c r="S117" s="215">
        <v>46170</v>
      </c>
      <c r="T117" s="215">
        <v>46170</v>
      </c>
      <c r="U117" s="215">
        <v>46170</v>
      </c>
      <c r="V117" s="236">
        <v>27000</v>
      </c>
      <c r="W117" s="17" t="s">
        <v>1124</v>
      </c>
      <c r="X117" s="132" t="s">
        <v>1083</v>
      </c>
      <c r="Y117" s="17" t="s">
        <v>15</v>
      </c>
      <c r="Z117" s="193">
        <v>10016871</v>
      </c>
      <c r="AA117" s="48">
        <v>10004111</v>
      </c>
      <c r="AB117" s="193"/>
      <c r="AC117" s="190">
        <v>46174</v>
      </c>
      <c r="AD117" s="187">
        <f>NETWORKDAYS.INTL(Tab_4.DISP_INEX[[#This Row],[DATA RECEBIDO]],Tab_4.DISP_INEX[[#This Row],[DATA 
FINALIZADO]],1,Lista!$U$3:$U$15)</f>
        <v>5</v>
      </c>
      <c r="AF117" s="187"/>
      <c r="AG117" s="7" t="s">
        <v>1134</v>
      </c>
      <c r="AH117" s="7" t="s">
        <v>509</v>
      </c>
      <c r="AI117" s="7" t="s">
        <v>509</v>
      </c>
      <c r="AJ117" s="221" t="s">
        <v>1136</v>
      </c>
      <c r="AK117" s="247" t="s">
        <v>1240</v>
      </c>
      <c r="AL117" s="247" t="s">
        <v>1238</v>
      </c>
      <c r="AM117" s="247" t="s">
        <v>1239</v>
      </c>
      <c r="AP117" s="212">
        <v>112</v>
      </c>
      <c r="AQ117" s="213" t="str">
        <f>_xlfn.CONCAT(AP117,"_","TR","_",Tab_4.DISP_INEX[[#This Row],[FORNECEDOR]])</f>
        <v>112_TR_INSTITUTO DOS AUDITORES INTERNOS DO BRASIL</v>
      </c>
      <c r="AR117" s="213" t="str">
        <f>_xlfn.CONCAT(AP117,"_","JUST","_",Tab_4.DISP_INEX[[#This Row],[FORNECEDOR]])</f>
        <v>112_JUST_INSTITUTO DOS AUDITORES INTERNOS DO BRASIL</v>
      </c>
      <c r="AS117" s="213" t="str">
        <f>_xlfn.CONCAT(AP117,"_","RAT","_",Tab_4.DISP_INEX[[#This Row],[FORNECEDOR]])</f>
        <v>112_RAT_INSTITUTO DOS AUDITORES INTERNOS DO BRASIL</v>
      </c>
    </row>
    <row r="118" spans="2:45" ht="90" x14ac:dyDescent="0.25">
      <c r="B118" s="225">
        <v>46168</v>
      </c>
      <c r="C118" s="11" t="s">
        <v>794</v>
      </c>
      <c r="D118" s="226" t="s">
        <v>53</v>
      </c>
      <c r="E118" s="7" t="s">
        <v>53</v>
      </c>
      <c r="F118" s="7" t="s">
        <v>1115</v>
      </c>
      <c r="G118" s="187" t="s">
        <v>45</v>
      </c>
      <c r="H118" s="7" t="s">
        <v>185</v>
      </c>
      <c r="I118" s="209" t="s">
        <v>28</v>
      </c>
      <c r="J118" s="7" t="s">
        <v>1117</v>
      </c>
      <c r="K118" s="187" t="s">
        <v>840</v>
      </c>
      <c r="L118" s="117" t="s">
        <v>68</v>
      </c>
      <c r="M118" s="147" t="s">
        <v>703</v>
      </c>
      <c r="N118" s="17" t="s">
        <v>1116</v>
      </c>
      <c r="O118" s="140" t="s">
        <v>673</v>
      </c>
      <c r="P118" s="17" t="s">
        <v>65</v>
      </c>
      <c r="Q118" s="17" t="s">
        <v>1125</v>
      </c>
      <c r="R118" s="17" t="s">
        <v>1125</v>
      </c>
      <c r="S118" s="227">
        <v>46174</v>
      </c>
      <c r="T118" s="227">
        <v>46174</v>
      </c>
      <c r="U118" s="227">
        <v>46174</v>
      </c>
      <c r="V118" s="229">
        <v>13325</v>
      </c>
      <c r="W118" s="17" t="s">
        <v>1126</v>
      </c>
      <c r="X118" s="132" t="s">
        <v>1083</v>
      </c>
      <c r="Y118" s="17" t="s">
        <v>15</v>
      </c>
      <c r="Z118" s="228">
        <v>10016983</v>
      </c>
      <c r="AA118" s="48">
        <v>10004111</v>
      </c>
      <c r="AB118" s="193"/>
      <c r="AC118" s="225">
        <v>46181</v>
      </c>
      <c r="AD118" s="226">
        <f>NETWORKDAYS.INTL(Tab_4.DISP_INEX[[#This Row],[DATA RECEBIDO]],Tab_4.DISP_INEX[[#This Row],[DATA 
FINALIZADO]],1,Lista!$U$3:$U$15)</f>
        <v>10</v>
      </c>
      <c r="AF118" s="226"/>
      <c r="AG118" s="7" t="s">
        <v>1135</v>
      </c>
      <c r="AH118" s="7" t="s">
        <v>509</v>
      </c>
      <c r="AI118" s="7" t="s">
        <v>509</v>
      </c>
      <c r="AJ118" s="221" t="s">
        <v>1137</v>
      </c>
      <c r="AK118" s="247" t="s">
        <v>1243</v>
      </c>
      <c r="AL118" s="247" t="s">
        <v>1241</v>
      </c>
      <c r="AM118" s="247" t="s">
        <v>1242</v>
      </c>
      <c r="AP118" s="212">
        <v>113</v>
      </c>
      <c r="AQ118" s="213" t="str">
        <f>_xlfn.CONCAT(AP118,"_","TR","_",Tab_4.DISP_INEX[[#This Row],[FORNECEDOR]])</f>
        <v>113_TR_INSTITUTO DOS AUDITORES INTERNOS DO BRASIL</v>
      </c>
      <c r="AR118" s="213" t="str">
        <f>_xlfn.CONCAT(AP118,"_","JUST","_",Tab_4.DISP_INEX[[#This Row],[FORNECEDOR]])</f>
        <v>113_JUST_INSTITUTO DOS AUDITORES INTERNOS DO BRASIL</v>
      </c>
      <c r="AS118" s="213" t="str">
        <f>_xlfn.CONCAT(AP118,"_","RAT","_",Tab_4.DISP_INEX[[#This Row],[FORNECEDOR]])</f>
        <v>113_RAT_INSTITUTO DOS AUDITORES INTERNOS DO BRASIL</v>
      </c>
    </row>
    <row r="119" spans="2:45" ht="45" x14ac:dyDescent="0.25">
      <c r="B119" s="230">
        <v>46127</v>
      </c>
      <c r="C119" s="230" t="s">
        <v>763</v>
      </c>
      <c r="D119" s="231" t="s">
        <v>936</v>
      </c>
      <c r="E119" s="7" t="s">
        <v>994</v>
      </c>
      <c r="F119" s="231" t="s">
        <v>1138</v>
      </c>
      <c r="G119" s="231" t="s">
        <v>46</v>
      </c>
      <c r="H119" s="7" t="s">
        <v>292</v>
      </c>
      <c r="I119" s="237" t="s">
        <v>28</v>
      </c>
      <c r="J119" s="231" t="s">
        <v>1139</v>
      </c>
      <c r="K119" s="231" t="s">
        <v>845</v>
      </c>
      <c r="L119" s="117" t="s">
        <v>68</v>
      </c>
      <c r="M119" s="232"/>
      <c r="N119" s="232"/>
      <c r="O119" s="232"/>
      <c r="P119" s="17" t="s">
        <v>65</v>
      </c>
      <c r="Q119" s="232"/>
      <c r="R119" s="232"/>
      <c r="S119" s="233"/>
      <c r="T119" s="233"/>
      <c r="U119" s="238"/>
      <c r="V119" s="239">
        <v>0</v>
      </c>
      <c r="W119" s="232"/>
      <c r="X119" s="232"/>
      <c r="Y119" s="232"/>
      <c r="Z119" s="234"/>
      <c r="AA119" s="240"/>
      <c r="AB119" s="193"/>
      <c r="AC119" s="230">
        <f ca="1">TODAY()</f>
        <v>46190</v>
      </c>
      <c r="AD119" s="231">
        <f ca="1">NETWORKDAYS.INTL(Tab_4.DISP_INEX[[#This Row],[DATA RECEBIDO]],Tab_4.DISP_INEX[[#This Row],[DATA 
FINALIZADO]],1,Lista!$U$3:$U$15)</f>
        <v>46</v>
      </c>
      <c r="AF119" s="231"/>
      <c r="AG119" s="231"/>
      <c r="AH119" s="231"/>
      <c r="AI119" s="231"/>
      <c r="AJ119" s="8" t="s">
        <v>65</v>
      </c>
      <c r="AK119" s="8" t="s">
        <v>65</v>
      </c>
      <c r="AL119" s="8" t="s">
        <v>65</v>
      </c>
      <c r="AM119" s="8" t="s">
        <v>65</v>
      </c>
      <c r="AP119" s="212">
        <v>114</v>
      </c>
      <c r="AQ119" s="213" t="str">
        <f>_xlfn.CONCAT(AP119,"_","TR","_",Tab_4.DISP_INEX[[#This Row],[FORNECEDOR]])</f>
        <v>114_TR_</v>
      </c>
      <c r="AR119" s="213" t="str">
        <f>_xlfn.CONCAT(AP119,"_","JUST","_",Tab_4.DISP_INEX[[#This Row],[FORNECEDOR]])</f>
        <v>114_JUST_</v>
      </c>
      <c r="AS119" s="213" t="str">
        <f>_xlfn.CONCAT(AP119,"_","RAT","_",Tab_4.DISP_INEX[[#This Row],[FORNECEDOR]])</f>
        <v>114_RAT_</v>
      </c>
    </row>
    <row r="120" spans="2:45" ht="90" x14ac:dyDescent="0.25">
      <c r="B120" s="230">
        <v>46105</v>
      </c>
      <c r="C120" s="230" t="s">
        <v>66</v>
      </c>
      <c r="D120" s="231" t="s">
        <v>53</v>
      </c>
      <c r="E120" s="7" t="s">
        <v>53</v>
      </c>
      <c r="F120" s="231" t="s">
        <v>1140</v>
      </c>
      <c r="G120" s="231" t="s">
        <v>46</v>
      </c>
      <c r="H120" s="7" t="s">
        <v>686</v>
      </c>
      <c r="I120" s="237" t="s">
        <v>28</v>
      </c>
      <c r="J120" s="231" t="s">
        <v>1141</v>
      </c>
      <c r="K120" s="231" t="s">
        <v>840</v>
      </c>
      <c r="L120" s="117" t="s">
        <v>68</v>
      </c>
      <c r="M120" s="17" t="s">
        <v>1142</v>
      </c>
      <c r="N120" s="232" t="s">
        <v>1143</v>
      </c>
      <c r="O120" s="232" t="s">
        <v>442</v>
      </c>
      <c r="P120" s="17" t="s">
        <v>65</v>
      </c>
      <c r="Q120" s="17" t="s">
        <v>1247</v>
      </c>
      <c r="R120" s="232" t="s">
        <v>1144</v>
      </c>
      <c r="S120" s="233"/>
      <c r="T120" s="233"/>
      <c r="U120" s="238"/>
      <c r="V120" s="239"/>
      <c r="W120" s="232"/>
      <c r="X120" s="232"/>
      <c r="Y120" s="232"/>
      <c r="Z120" s="234"/>
      <c r="AA120" s="240"/>
      <c r="AB120" s="232"/>
      <c r="AC120" s="230">
        <f ca="1">TODAY()</f>
        <v>46190</v>
      </c>
      <c r="AD120" s="231">
        <f ca="1">NETWORKDAYS.INTL(Tab_4.DISP_INEX[[#This Row],[DATA RECEBIDO]],Tab_4.DISP_INEX[[#This Row],[DATA 
FINALIZADO]],1,Lista!$U$3:$U$15)</f>
        <v>62</v>
      </c>
      <c r="AF120" s="231"/>
      <c r="AG120" s="231"/>
      <c r="AH120" s="231"/>
      <c r="AI120" s="231"/>
      <c r="AJ120" s="221" t="s">
        <v>1244</v>
      </c>
      <c r="AK120" s="247" t="s">
        <v>1250</v>
      </c>
      <c r="AL120" s="247" t="s">
        <v>1248</v>
      </c>
      <c r="AM120" s="247" t="s">
        <v>1249</v>
      </c>
      <c r="AP120" s="212">
        <v>115</v>
      </c>
      <c r="AQ120" s="213" t="str">
        <f>_xlfn.CONCAT(AP120,"_","TR","_",Tab_4.DISP_INEX[[#This Row],[FORNECEDOR]])</f>
        <v>115_TR_PADTEC S.A </v>
      </c>
      <c r="AR120" s="213" t="str">
        <f>_xlfn.CONCAT(AP120,"_","JUST","_",Tab_4.DISP_INEX[[#This Row],[FORNECEDOR]])</f>
        <v>115_JUST_PADTEC S.A </v>
      </c>
      <c r="AS120" s="213" t="str">
        <f>_xlfn.CONCAT(AP120,"_","RAT","_",Tab_4.DISP_INEX[[#This Row],[FORNECEDOR]])</f>
        <v>115_RAT_PADTEC S.A </v>
      </c>
    </row>
    <row r="121" spans="2:45" ht="75" x14ac:dyDescent="0.25">
      <c r="B121" s="230">
        <v>46150</v>
      </c>
      <c r="C121" s="230" t="s">
        <v>763</v>
      </c>
      <c r="D121" s="231" t="s">
        <v>936</v>
      </c>
      <c r="E121" s="7" t="s">
        <v>999</v>
      </c>
      <c r="F121" s="231" t="s">
        <v>1145</v>
      </c>
      <c r="G121" s="231" t="s">
        <v>44</v>
      </c>
      <c r="H121" s="231" t="s">
        <v>1147</v>
      </c>
      <c r="I121" s="237" t="s">
        <v>23</v>
      </c>
      <c r="J121" s="231" t="s">
        <v>1146</v>
      </c>
      <c r="K121" s="231" t="s">
        <v>845</v>
      </c>
      <c r="L121" s="117" t="s">
        <v>68</v>
      </c>
      <c r="M121" s="232" t="s">
        <v>1148</v>
      </c>
      <c r="N121" s="232" t="s">
        <v>1149</v>
      </c>
      <c r="O121" s="232" t="s">
        <v>673</v>
      </c>
      <c r="P121" s="17" t="s">
        <v>65</v>
      </c>
      <c r="Q121" s="232" t="s">
        <v>1150</v>
      </c>
      <c r="R121" s="232" t="s">
        <v>1150</v>
      </c>
      <c r="S121" s="233">
        <v>46156</v>
      </c>
      <c r="T121" s="233">
        <v>46156</v>
      </c>
      <c r="U121" s="238">
        <v>46161</v>
      </c>
      <c r="V121" s="239">
        <v>28364.9</v>
      </c>
      <c r="W121" s="232"/>
      <c r="X121" s="232"/>
      <c r="Y121" s="232"/>
      <c r="Z121" s="234"/>
      <c r="AA121" s="240"/>
      <c r="AB121" s="232"/>
      <c r="AC121" s="230">
        <f ca="1">TODAY()</f>
        <v>46190</v>
      </c>
      <c r="AD121" s="231">
        <f ca="1">NETWORKDAYS.INTL(Tab_4.DISP_INEX[[#This Row],[DATA RECEBIDO]],Tab_4.DISP_INEX[[#This Row],[DATA 
FINALIZADO]],1,Lista!$U$3:$U$15)</f>
        <v>29</v>
      </c>
      <c r="AF121" s="231"/>
      <c r="AG121" s="231"/>
      <c r="AH121" s="231"/>
      <c r="AI121" s="231"/>
      <c r="AJ121" s="221" t="s">
        <v>1246</v>
      </c>
      <c r="AK121" s="247" t="s">
        <v>1253</v>
      </c>
      <c r="AL121" s="247" t="s">
        <v>1251</v>
      </c>
      <c r="AM121" s="247" t="s">
        <v>1252</v>
      </c>
      <c r="AP121" s="212">
        <v>116</v>
      </c>
      <c r="AQ121" s="213" t="str">
        <f>_xlfn.CONCAT(AP121,"_","TR","_",Tab_4.DISP_INEX[[#This Row],[FORNECEDOR]])</f>
        <v>116_TR_NOBRE BRINDES LTDA</v>
      </c>
      <c r="AR121" s="213" t="str">
        <f>_xlfn.CONCAT(AP121,"_","JUST","_",Tab_4.DISP_INEX[[#This Row],[FORNECEDOR]])</f>
        <v>116_JUST_NOBRE BRINDES LTDA</v>
      </c>
      <c r="AS121" s="213" t="str">
        <f>_xlfn.CONCAT(AP121,"_","RAT","_",Tab_4.DISP_INEX[[#This Row],[FORNECEDOR]])</f>
        <v>116_RAT_NOBRE BRINDES LTDA</v>
      </c>
    </row>
    <row r="122" spans="2:45" ht="60" x14ac:dyDescent="0.25">
      <c r="B122" s="230">
        <v>46149</v>
      </c>
      <c r="C122" s="230" t="s">
        <v>763</v>
      </c>
      <c r="D122" s="7" t="s">
        <v>936</v>
      </c>
      <c r="E122" s="7" t="s">
        <v>994</v>
      </c>
      <c r="F122" s="7" t="s">
        <v>1151</v>
      </c>
      <c r="G122" s="7" t="s">
        <v>46</v>
      </c>
      <c r="H122" s="231" t="s">
        <v>686</v>
      </c>
      <c r="I122" s="117" t="s">
        <v>23</v>
      </c>
      <c r="J122" s="231" t="s">
        <v>1152</v>
      </c>
      <c r="K122" s="7" t="s">
        <v>840</v>
      </c>
      <c r="L122" s="117" t="s">
        <v>68</v>
      </c>
      <c r="M122" s="17"/>
      <c r="N122" s="17"/>
      <c r="O122" s="17"/>
      <c r="P122" s="17" t="s">
        <v>65</v>
      </c>
      <c r="Q122" s="17"/>
      <c r="R122" s="17"/>
      <c r="S122" s="19"/>
      <c r="T122" s="19"/>
      <c r="U122" s="245"/>
      <c r="V122" s="239">
        <v>0</v>
      </c>
      <c r="W122" s="17"/>
      <c r="X122" s="17"/>
      <c r="Y122" s="17"/>
      <c r="Z122" s="45"/>
      <c r="AA122" s="240"/>
      <c r="AB122" s="17"/>
      <c r="AC122" s="11">
        <f ca="1">TODAY()</f>
        <v>46190</v>
      </c>
      <c r="AD122" s="7">
        <f ca="1">NETWORKDAYS.INTL(Tab_4.DISP_INEX[[#This Row],[DATA RECEBIDO]],Tab_4.DISP_INEX[[#This Row],[DATA 
FINALIZADO]],1,Lista!$U$3:$U$15)</f>
        <v>30</v>
      </c>
      <c r="AF122" s="7"/>
      <c r="AG122" s="7"/>
      <c r="AH122" s="7"/>
      <c r="AI122" s="7"/>
      <c r="AJ122" s="8" t="s">
        <v>65</v>
      </c>
      <c r="AK122" s="8" t="s">
        <v>65</v>
      </c>
      <c r="AL122" s="8" t="s">
        <v>65</v>
      </c>
      <c r="AM122" s="8" t="s">
        <v>65</v>
      </c>
      <c r="AP122" s="212">
        <v>117</v>
      </c>
      <c r="AQ122" s="213" t="str">
        <f>_xlfn.CONCAT(AP122,"_","TR","_",Tab_4.DISP_INEX[[#This Row],[FORNECEDOR]])</f>
        <v>117_TR_</v>
      </c>
      <c r="AR122" s="213" t="str">
        <f>_xlfn.CONCAT(AP122,"_","JUST","_",Tab_4.DISP_INEX[[#This Row],[FORNECEDOR]])</f>
        <v>117_JUST_</v>
      </c>
      <c r="AS122" s="213" t="str">
        <f>_xlfn.CONCAT(AP122,"_","RAT","_",Tab_4.DISP_INEX[[#This Row],[FORNECEDOR]])</f>
        <v>117_RAT_</v>
      </c>
    </row>
    <row r="123" spans="2:45" ht="60" x14ac:dyDescent="0.25">
      <c r="B123" s="230">
        <v>46167</v>
      </c>
      <c r="C123" s="230" t="s">
        <v>763</v>
      </c>
      <c r="D123" s="7" t="s">
        <v>936</v>
      </c>
      <c r="E123" s="7" t="s">
        <v>994</v>
      </c>
      <c r="F123" s="231" t="s">
        <v>1153</v>
      </c>
      <c r="G123" s="231" t="s">
        <v>45</v>
      </c>
      <c r="H123" s="231" t="s">
        <v>214</v>
      </c>
      <c r="I123" s="241" t="s">
        <v>28</v>
      </c>
      <c r="J123" s="231" t="s">
        <v>1154</v>
      </c>
      <c r="K123" s="237" t="s">
        <v>845</v>
      </c>
      <c r="L123" s="117" t="s">
        <v>68</v>
      </c>
      <c r="M123" s="232"/>
      <c r="N123" s="232"/>
      <c r="O123" s="232"/>
      <c r="P123" s="17" t="s">
        <v>65</v>
      </c>
      <c r="Q123" s="232"/>
      <c r="R123" s="232"/>
      <c r="S123" s="233"/>
      <c r="T123" s="233"/>
      <c r="U123" s="243"/>
      <c r="V123" s="239">
        <v>0</v>
      </c>
      <c r="W123" s="232"/>
      <c r="X123" s="232"/>
      <c r="Y123" s="232"/>
      <c r="Z123" s="234"/>
      <c r="AB123" s="232"/>
      <c r="AC123" s="230">
        <f t="shared" ref="AC123:AC124" ca="1" si="3">TODAY()</f>
        <v>46190</v>
      </c>
      <c r="AD123" s="231">
        <f ca="1">NETWORKDAYS.INTL(Tab_4.DISP_INEX[[#This Row],[DATA RECEBIDO]],Tab_4.DISP_INEX[[#This Row],[DATA 
FINALIZADO]],1,Lista!$U$3:$U$15)</f>
        <v>18</v>
      </c>
      <c r="AF123" s="231"/>
      <c r="AG123" s="231"/>
      <c r="AH123" s="231"/>
      <c r="AI123" s="231"/>
      <c r="AJ123" s="8" t="s">
        <v>65</v>
      </c>
      <c r="AK123" s="8" t="s">
        <v>65</v>
      </c>
      <c r="AL123" s="8" t="s">
        <v>65</v>
      </c>
      <c r="AM123" s="8" t="s">
        <v>65</v>
      </c>
      <c r="AP123" s="212">
        <v>118</v>
      </c>
      <c r="AQ123" s="213" t="str">
        <f>_xlfn.CONCAT(AP123,"_","TR","_",Tab_4.DISP_INEX[[#This Row],[FORNECEDOR]])</f>
        <v>118_TR_</v>
      </c>
      <c r="AR123" s="213" t="str">
        <f>_xlfn.CONCAT(AP123,"_","JUST","_",Tab_4.DISP_INEX[[#This Row],[FORNECEDOR]])</f>
        <v>118_JUST_</v>
      </c>
      <c r="AS123" s="213" t="str">
        <f>_xlfn.CONCAT(AP123,"_","RAT","_",Tab_4.DISP_INEX[[#This Row],[FORNECEDOR]])</f>
        <v>118_RAT_</v>
      </c>
    </row>
    <row r="124" spans="2:45" ht="60" x14ac:dyDescent="0.25">
      <c r="B124" s="230">
        <v>46167</v>
      </c>
      <c r="C124" s="230" t="s">
        <v>763</v>
      </c>
      <c r="D124" s="7" t="s">
        <v>936</v>
      </c>
      <c r="E124" s="7" t="s">
        <v>993</v>
      </c>
      <c r="F124" s="231" t="s">
        <v>1155</v>
      </c>
      <c r="G124" s="231" t="s">
        <v>46</v>
      </c>
      <c r="H124" s="231" t="s">
        <v>686</v>
      </c>
      <c r="I124" s="242" t="s">
        <v>28</v>
      </c>
      <c r="J124" s="231" t="s">
        <v>1156</v>
      </c>
      <c r="K124" s="237" t="s">
        <v>845</v>
      </c>
      <c r="L124" s="117" t="s">
        <v>68</v>
      </c>
      <c r="M124" s="232"/>
      <c r="N124" s="232"/>
      <c r="O124" s="232"/>
      <c r="P124" s="17" t="s">
        <v>65</v>
      </c>
      <c r="Q124" s="232"/>
      <c r="R124" s="232"/>
      <c r="S124" s="233"/>
      <c r="T124" s="233"/>
      <c r="U124" s="243"/>
      <c r="V124" s="239">
        <v>0</v>
      </c>
      <c r="W124" s="232"/>
      <c r="X124" s="232"/>
      <c r="Y124" s="232"/>
      <c r="Z124" s="234"/>
      <c r="AB124" s="232"/>
      <c r="AC124" s="230">
        <f t="shared" ca="1" si="3"/>
        <v>46190</v>
      </c>
      <c r="AD124" s="231">
        <f ca="1">NETWORKDAYS.INTL(Tab_4.DISP_INEX[[#This Row],[DATA RECEBIDO]],Tab_4.DISP_INEX[[#This Row],[DATA 
FINALIZADO]],1,Lista!$U$3:$U$15)</f>
        <v>18</v>
      </c>
      <c r="AF124" s="231"/>
      <c r="AG124" s="231"/>
      <c r="AH124" s="231"/>
      <c r="AI124" s="231"/>
      <c r="AJ124" s="8" t="s">
        <v>65</v>
      </c>
      <c r="AK124" s="8" t="s">
        <v>65</v>
      </c>
      <c r="AL124" s="8" t="s">
        <v>65</v>
      </c>
      <c r="AM124" s="8" t="s">
        <v>65</v>
      </c>
      <c r="AP124" s="212">
        <v>119</v>
      </c>
      <c r="AQ124" s="213" t="str">
        <f>_xlfn.CONCAT(AP124,"_","TR","_",Tab_4.DISP_INEX[[#This Row],[FORNECEDOR]])</f>
        <v>119_TR_</v>
      </c>
      <c r="AR124" s="213" t="str">
        <f>_xlfn.CONCAT(AP124,"_","JUST","_",Tab_4.DISP_INEX[[#This Row],[FORNECEDOR]])</f>
        <v>119_JUST_</v>
      </c>
      <c r="AS124" s="213" t="str">
        <f>_xlfn.CONCAT(AP124,"_","RAT","_",Tab_4.DISP_INEX[[#This Row],[FORNECEDOR]])</f>
        <v>119_RAT_</v>
      </c>
    </row>
    <row r="125" spans="2:45" ht="90" x14ac:dyDescent="0.25">
      <c r="B125" s="11">
        <v>46168</v>
      </c>
      <c r="C125" s="230" t="s">
        <v>763</v>
      </c>
      <c r="D125" s="7" t="s">
        <v>53</v>
      </c>
      <c r="E125" s="7" t="s">
        <v>53</v>
      </c>
      <c r="F125" s="7" t="s">
        <v>1157</v>
      </c>
      <c r="G125" s="7" t="s">
        <v>45</v>
      </c>
      <c r="H125" s="7" t="s">
        <v>185</v>
      </c>
      <c r="I125" s="87" t="s">
        <v>28</v>
      </c>
      <c r="J125" s="7" t="s">
        <v>1158</v>
      </c>
      <c r="K125" s="117" t="s">
        <v>845</v>
      </c>
      <c r="L125" s="117" t="s">
        <v>68</v>
      </c>
      <c r="M125" s="17" t="s">
        <v>1159</v>
      </c>
      <c r="N125" s="17" t="s">
        <v>1161</v>
      </c>
      <c r="O125" s="17" t="s">
        <v>673</v>
      </c>
      <c r="P125" s="17" t="s">
        <v>65</v>
      </c>
      <c r="Q125" s="17" t="s">
        <v>1160</v>
      </c>
      <c r="R125" s="17" t="s">
        <v>1160</v>
      </c>
      <c r="S125" s="19"/>
      <c r="T125" s="19"/>
      <c r="U125" s="246"/>
      <c r="V125" s="151"/>
      <c r="W125" s="17"/>
      <c r="X125" s="17"/>
      <c r="Y125" s="17"/>
      <c r="Z125" s="45"/>
      <c r="AB125" s="17"/>
      <c r="AC125" s="11">
        <f ca="1">TODAY()</f>
        <v>46190</v>
      </c>
      <c r="AD125" s="7">
        <f ca="1">NETWORKDAYS.INTL(Tab_4.DISP_INEX[[#This Row],[DATA RECEBIDO]],Tab_4.DISP_INEX[[#This Row],[DATA 
FINALIZADO]],1,Lista!$U$3:$U$15)</f>
        <v>17</v>
      </c>
      <c r="AF125" s="7"/>
      <c r="AG125" s="7"/>
      <c r="AH125" s="7"/>
      <c r="AI125" s="7"/>
      <c r="AJ125" s="221" t="s">
        <v>1245</v>
      </c>
      <c r="AK125" s="247" t="s">
        <v>1255</v>
      </c>
      <c r="AL125" s="247" t="s">
        <v>1256</v>
      </c>
      <c r="AM125" s="247" t="s">
        <v>1254</v>
      </c>
      <c r="AP125" s="212">
        <v>120</v>
      </c>
      <c r="AQ125" s="213" t="str">
        <f>_xlfn.CONCAT(AP125,"_","TR","_",Tab_4.DISP_INEX[[#This Row],[FORNECEDOR]])</f>
        <v>120_TR_HMD BAR E LANCHONETE LTDA</v>
      </c>
      <c r="AR125" s="213" t="str">
        <f>_xlfn.CONCAT(AP125,"_","JUST","_",Tab_4.DISP_INEX[[#This Row],[FORNECEDOR]])</f>
        <v>120_JUST_HMD BAR E LANCHONETE LTDA</v>
      </c>
      <c r="AS125" s="213" t="str">
        <f>_xlfn.CONCAT(AP125,"_","RAT","_",Tab_4.DISP_INEX[[#This Row],[FORNECEDOR]])</f>
        <v>120_RAT_HMD BAR E LANCHONETE LTDA</v>
      </c>
    </row>
    <row r="126" spans="2:45" ht="45" x14ac:dyDescent="0.25">
      <c r="B126" s="11">
        <v>46174</v>
      </c>
      <c r="C126" s="230" t="s">
        <v>763</v>
      </c>
      <c r="D126" s="7" t="s">
        <v>936</v>
      </c>
      <c r="E126" s="7" t="s">
        <v>993</v>
      </c>
      <c r="F126" s="7" t="s">
        <v>1162</v>
      </c>
      <c r="G126" s="7" t="s">
        <v>46</v>
      </c>
      <c r="H126" s="7" t="s">
        <v>87</v>
      </c>
      <c r="I126" s="87" t="s">
        <v>28</v>
      </c>
      <c r="J126" s="7" t="s">
        <v>1163</v>
      </c>
      <c r="K126" s="117" t="s">
        <v>840</v>
      </c>
      <c r="L126" s="117" t="s">
        <v>68</v>
      </c>
      <c r="M126" s="17" t="s">
        <v>1164</v>
      </c>
      <c r="N126" s="17" t="s">
        <v>1165</v>
      </c>
      <c r="O126" s="17"/>
      <c r="P126" s="17" t="s">
        <v>65</v>
      </c>
      <c r="Q126" s="17"/>
      <c r="R126" s="17"/>
      <c r="S126" s="19"/>
      <c r="T126" s="19"/>
      <c r="U126" s="246"/>
      <c r="V126" s="239">
        <v>0</v>
      </c>
      <c r="W126" s="17"/>
      <c r="X126" s="17"/>
      <c r="Y126" s="17"/>
      <c r="Z126" s="45"/>
      <c r="AB126" s="17"/>
      <c r="AC126" s="11">
        <f ca="1">TODAY()</f>
        <v>46190</v>
      </c>
      <c r="AD126" s="7">
        <f ca="1">NETWORKDAYS.INTL(Tab_4.DISP_INEX[[#This Row],[DATA RECEBIDO]],Tab_4.DISP_INEX[[#This Row],[DATA 
FINALIZADO]],1,Lista!$U$3:$U$15)</f>
        <v>13</v>
      </c>
      <c r="AF126" s="7"/>
      <c r="AG126" s="7"/>
      <c r="AH126" s="7"/>
      <c r="AI126" s="7"/>
      <c r="AJ126" s="8" t="s">
        <v>65</v>
      </c>
      <c r="AK126" s="8" t="s">
        <v>65</v>
      </c>
      <c r="AL126" s="8" t="s">
        <v>65</v>
      </c>
      <c r="AM126" s="8" t="s">
        <v>65</v>
      </c>
      <c r="AP126" s="212">
        <v>121</v>
      </c>
      <c r="AQ126" s="213" t="str">
        <f>_xlfn.CONCAT(AP126,"_","TR","_",Tab_4.DISP_INEX[[#This Row],[FORNECEDOR]])</f>
        <v>121_TR_SCHNEIDER ELECTRIC BRASIL LTDA</v>
      </c>
      <c r="AR126" s="213" t="str">
        <f>_xlfn.CONCAT(AP126,"_","JUST","_",Tab_4.DISP_INEX[[#This Row],[FORNECEDOR]])</f>
        <v>121_JUST_SCHNEIDER ELECTRIC BRASIL LTDA</v>
      </c>
      <c r="AS126" s="213" t="str">
        <f>_xlfn.CONCAT(AP126,"_","RAT","_",Tab_4.DISP_INEX[[#This Row],[FORNECEDOR]])</f>
        <v>121_RAT_SCHNEIDER ELECTRIC BRASIL LTDA</v>
      </c>
    </row>
    <row r="127" spans="2:45" ht="60" x14ac:dyDescent="0.25">
      <c r="B127" s="230">
        <v>46176</v>
      </c>
      <c r="C127" s="230" t="s">
        <v>763</v>
      </c>
      <c r="D127" s="7" t="s">
        <v>936</v>
      </c>
      <c r="E127" s="7" t="s">
        <v>993</v>
      </c>
      <c r="F127" s="231" t="s">
        <v>1166</v>
      </c>
      <c r="G127" s="231" t="s">
        <v>45</v>
      </c>
      <c r="H127" s="231" t="s">
        <v>589</v>
      </c>
      <c r="I127" s="242" t="s">
        <v>28</v>
      </c>
      <c r="J127" s="231" t="s">
        <v>1167</v>
      </c>
      <c r="K127" s="237" t="s">
        <v>840</v>
      </c>
      <c r="L127" s="231" t="s">
        <v>68</v>
      </c>
      <c r="M127" s="232" t="s">
        <v>1168</v>
      </c>
      <c r="N127" s="17" t="s">
        <v>1169</v>
      </c>
      <c r="O127" s="232"/>
      <c r="P127" s="17" t="s">
        <v>65</v>
      </c>
      <c r="Q127" s="232"/>
      <c r="R127" s="232"/>
      <c r="S127" s="233"/>
      <c r="T127" s="233"/>
      <c r="U127" s="243"/>
      <c r="V127" s="239">
        <v>0</v>
      </c>
      <c r="W127" s="232"/>
      <c r="X127" s="232"/>
      <c r="Y127" s="232"/>
      <c r="Z127" s="234"/>
      <c r="AB127" s="232"/>
      <c r="AC127" s="230">
        <f ca="1">TODAY()</f>
        <v>46190</v>
      </c>
      <c r="AD127" s="231">
        <f ca="1">NETWORKDAYS.INTL(Tab_4.DISP_INEX[[#This Row],[DATA RECEBIDO]],Tab_4.DISP_INEX[[#This Row],[DATA 
FINALIZADO]],1,Lista!$U$3:$U$15)</f>
        <v>11</v>
      </c>
      <c r="AF127" s="231"/>
      <c r="AG127" s="231"/>
      <c r="AH127" s="231"/>
      <c r="AI127" s="231"/>
      <c r="AJ127" s="8" t="s">
        <v>65</v>
      </c>
      <c r="AK127" s="8" t="s">
        <v>65</v>
      </c>
      <c r="AL127" s="8" t="s">
        <v>65</v>
      </c>
      <c r="AM127" s="8" t="s">
        <v>65</v>
      </c>
      <c r="AP127" s="212">
        <v>122</v>
      </c>
      <c r="AQ127" s="213" t="str">
        <f>_xlfn.CONCAT(AP127,"_","TR","_",Tab_4.DISP_INEX[[#This Row],[FORNECEDOR]])</f>
        <v>122_TR_EMPRESABRASILDECOMUNICAÇÃOS/A–EBC</v>
      </c>
      <c r="AR127" s="213" t="str">
        <f>_xlfn.CONCAT(AP127,"_","JUST","_",Tab_4.DISP_INEX[[#This Row],[FORNECEDOR]])</f>
        <v>122_JUST_EMPRESABRASILDECOMUNICAÇÃOS/A–EBC</v>
      </c>
      <c r="AS127" s="213" t="str">
        <f>_xlfn.CONCAT(AP127,"_","RAT","_",Tab_4.DISP_INEX[[#This Row],[FORNECEDOR]])</f>
        <v>122_RAT_EMPRESABRASILDECOMUNICAÇÃOS/A–EBC</v>
      </c>
    </row>
    <row r="128" spans="2:45" x14ac:dyDescent="0.25">
      <c r="B128" s="230"/>
      <c r="C128" s="230"/>
      <c r="D128" s="231"/>
      <c r="E128" s="7"/>
      <c r="F128" s="231"/>
      <c r="G128" s="231"/>
      <c r="H128" s="231"/>
      <c r="I128" s="242"/>
      <c r="J128" s="231"/>
      <c r="K128" s="237"/>
      <c r="L128" s="231"/>
      <c r="M128" s="232"/>
      <c r="N128" s="232"/>
      <c r="O128" s="232"/>
      <c r="P128" s="232"/>
      <c r="Q128" s="232"/>
      <c r="R128" s="232"/>
      <c r="S128" s="233"/>
      <c r="T128" s="233"/>
      <c r="U128" s="243"/>
      <c r="V128" s="244"/>
      <c r="W128" s="232"/>
      <c r="X128" s="232"/>
      <c r="Y128" s="232"/>
      <c r="Z128" s="234"/>
      <c r="AB128" s="232"/>
      <c r="AC128" s="230">
        <f ca="1">TODAY()</f>
        <v>46190</v>
      </c>
      <c r="AD128" s="231">
        <f ca="1">NETWORKDAYS.INTL(Tab_4.DISP_INEX[[#This Row],[DATA RECEBIDO]],Tab_4.DISP_INEX[[#This Row],[DATA 
FINALIZADO]],1,Lista!$U$3:$U$15)</f>
        <v>32984</v>
      </c>
      <c r="AF128" s="231"/>
      <c r="AG128" s="231"/>
      <c r="AH128" s="231"/>
      <c r="AI128" s="231"/>
      <c r="AJ128" s="224"/>
      <c r="AK128" s="248"/>
      <c r="AL128" s="248"/>
      <c r="AM128" s="248"/>
      <c r="AP128" s="212">
        <v>123</v>
      </c>
      <c r="AQ128" s="213" t="str">
        <f>_xlfn.CONCAT(AP128,"_","TR","_",Tab_4.DISP_INEX[[#This Row],[FORNECEDOR]])</f>
        <v>123_TR_</v>
      </c>
      <c r="AR128" s="213" t="str">
        <f>_xlfn.CONCAT(AP128,"_","JUST","_",Tab_4.DISP_INEX[[#This Row],[FORNECEDOR]])</f>
        <v>123_JUST_</v>
      </c>
      <c r="AS128" s="213" t="str">
        <f>_xlfn.CONCAT(AP128,"_","RAT","_",Tab_4.DISP_INEX[[#This Row],[FORNECEDOR]])</f>
        <v>123_RAT_</v>
      </c>
    </row>
    <row r="129" spans="9:45" x14ac:dyDescent="0.25">
      <c r="I129" s="81"/>
      <c r="K129" s="81"/>
      <c r="AP129" s="212">
        <v>124</v>
      </c>
      <c r="AQ129" s="213" t="e">
        <f>_xlfn.CONCAT(AP129,"_","TR","_",Tab_4.DISP_INEX[[#This Row],[FORNECEDOR]])</f>
        <v>#VALUE!</v>
      </c>
      <c r="AR129" s="213" t="e">
        <f>_xlfn.CONCAT(AP129,"_","JUST","_",Tab_4.DISP_INEX[[#This Row],[FORNECEDOR]])</f>
        <v>#VALUE!</v>
      </c>
      <c r="AS129" s="213" t="e">
        <f>_xlfn.CONCAT(AP129,"_","RAT","_",Tab_4.DISP_INEX[[#This Row],[FORNECEDOR]])</f>
        <v>#VALUE!</v>
      </c>
    </row>
    <row r="130" spans="9:45" x14ac:dyDescent="0.25">
      <c r="I130" s="81"/>
      <c r="K130" s="81"/>
    </row>
    <row r="131" spans="9:45" x14ac:dyDescent="0.25">
      <c r="I131" s="81"/>
      <c r="K131" s="81"/>
    </row>
    <row r="132" spans="9:45" x14ac:dyDescent="0.25">
      <c r="I132" s="81"/>
      <c r="K132" s="81"/>
    </row>
    <row r="133" spans="9:45" x14ac:dyDescent="0.25">
      <c r="I133" s="81"/>
      <c r="K133" s="81"/>
    </row>
    <row r="134" spans="9:45" x14ac:dyDescent="0.25">
      <c r="I134" s="81"/>
      <c r="K134" s="81"/>
    </row>
    <row r="135" spans="9:45" x14ac:dyDescent="0.25">
      <c r="I135" s="81"/>
      <c r="K135" s="81"/>
    </row>
    <row r="136" spans="9:45" x14ac:dyDescent="0.25">
      <c r="I136" s="81"/>
      <c r="K136" s="81"/>
    </row>
    <row r="137" spans="9:45" x14ac:dyDescent="0.25">
      <c r="I137" s="78"/>
      <c r="J137" s="82"/>
      <c r="K137" s="81"/>
    </row>
    <row r="138" spans="9:45" x14ac:dyDescent="0.25">
      <c r="K138" s="81"/>
    </row>
    <row r="139" spans="9:45" x14ac:dyDescent="0.25">
      <c r="K139" s="81"/>
    </row>
    <row r="140" spans="9:45" x14ac:dyDescent="0.25">
      <c r="K140" s="81"/>
    </row>
    <row r="141" spans="9:45" x14ac:dyDescent="0.25">
      <c r="K141" s="81"/>
    </row>
    <row r="142" spans="9:45" x14ac:dyDescent="0.25">
      <c r="K142" s="81"/>
    </row>
    <row r="143" spans="9:45" x14ac:dyDescent="0.25">
      <c r="K143" s="81"/>
    </row>
    <row r="144" spans="9:45" x14ac:dyDescent="0.25">
      <c r="K144" s="81"/>
    </row>
    <row r="145" spans="11:11" x14ac:dyDescent="0.25">
      <c r="K145" s="81"/>
    </row>
    <row r="146" spans="11:11" x14ac:dyDescent="0.25">
      <c r="K146" s="81"/>
    </row>
    <row r="147" spans="11:11" x14ac:dyDescent="0.25">
      <c r="K147" s="81"/>
    </row>
    <row r="148" spans="11:11" x14ac:dyDescent="0.25">
      <c r="K148" s="81"/>
    </row>
    <row r="149" spans="11:11" x14ac:dyDescent="0.25">
      <c r="K149" s="81"/>
    </row>
    <row r="150" spans="11:11" x14ac:dyDescent="0.25">
      <c r="K150" s="78"/>
    </row>
  </sheetData>
  <dataConsolidate/>
  <mergeCells count="1">
    <mergeCell ref="AG3:AI3"/>
  </mergeCells>
  <phoneticPr fontId="18" type="noConversion"/>
  <conditionalFormatting sqref="D5:D82 D83:E83 D84:D118 D119:E122 E123:E128">
    <cfRule type="cellIs" dxfId="3" priority="4" operator="equal">
      <formula>"FINALIZADO"</formula>
    </cfRule>
  </conditionalFormatting>
  <conditionalFormatting sqref="D5:D82 E82 D83:E83 D84:D127">
    <cfRule type="cellIs" dxfId="2" priority="3" operator="equal">
      <formula>"EM ANDAMENTO"</formula>
    </cfRule>
  </conditionalFormatting>
  <conditionalFormatting sqref="D123:D127">
    <cfRule type="cellIs" dxfId="1" priority="1" operator="equal">
      <formula>"FINALIZADO"</formula>
    </cfRule>
  </conditionalFormatting>
  <conditionalFormatting sqref="E5:E82 E84:E118">
    <cfRule type="cellIs" dxfId="0" priority="2" operator="equal">
      <formula>"FINALIZADO"</formula>
    </cfRule>
  </conditionalFormatting>
  <hyperlinks>
    <hyperlink ref="R20" r:id="rId1" display="https://intranet2.telebras.com.br/sigaex/app/expediente/doc/exibir?sigla=TLB-ASS-2024/06974-A&amp;" xr:uid="{00000000-0004-0000-0000-000000000000}"/>
    <hyperlink ref="R27" r:id="rId2" display="https://intranet2.telebras.com.br/sigaex/app/expediente/doc/exibir?sigla=TLB-ASS-2024/11013-A&amp;" xr:uid="{00000000-0004-0000-0000-000001000000}"/>
    <hyperlink ref="R37" r:id="rId3" display="https://intranet2.telebras.com.br/sigaex/app/expediente/doc/exibir?sigla=TLB-ASS-2024/16583-A&amp;" xr:uid="{00000000-0004-0000-0000-000002000000}"/>
    <hyperlink ref="AJ107" r:id="rId4" xr:uid="{12DE4E16-DD5B-45C7-9770-6B130D4D12CF}"/>
    <hyperlink ref="AJ88" r:id="rId5" xr:uid="{2B4398ED-1EC8-4DA8-A267-4B823856CB53}"/>
    <hyperlink ref="AJ93" r:id="rId6" xr:uid="{DEAC8B62-FC9F-40FF-9367-EF129685642D}"/>
    <hyperlink ref="AJ94" r:id="rId7" xr:uid="{36830AFD-E5A9-4CA7-B37A-D30EDD7C9FFF}"/>
    <hyperlink ref="AJ96" r:id="rId8" xr:uid="{077BF485-3815-47A9-A240-B301C915030D}"/>
    <hyperlink ref="AJ98" r:id="rId9" xr:uid="{A52F1710-D00C-4491-9A2B-51C146DAE93F}"/>
    <hyperlink ref="AJ99" r:id="rId10" xr:uid="{39DF19E9-B219-4F12-B3B9-5A0B05A0CE57}"/>
    <hyperlink ref="AJ100" r:id="rId11" xr:uid="{110A420A-BED5-4D5D-BED7-1F71BC15B5F8}"/>
    <hyperlink ref="AJ101" r:id="rId12" xr:uid="{8FBD6F07-11B6-4650-A966-9D0320EACDAA}"/>
    <hyperlink ref="AJ103" r:id="rId13" xr:uid="{1794B06D-656F-43BF-8F4D-3AF0930086DA}"/>
    <hyperlink ref="AJ102" r:id="rId14" xr:uid="{7A589289-AF92-4CF2-AB02-FEA014B8D4C4}"/>
    <hyperlink ref="AJ104" r:id="rId15" xr:uid="{173A24E5-C32F-4915-89BD-AB26C8088305}"/>
    <hyperlink ref="AJ105" r:id="rId16" xr:uid="{59F3E50F-6518-4B88-9FC7-E28B0AE92303}"/>
    <hyperlink ref="AJ106" r:id="rId17" xr:uid="{FF2D0DD6-DF77-4B16-9010-A15BF40DF75E}"/>
    <hyperlink ref="AJ82" r:id="rId18" xr:uid="{344E5922-74F6-4D1E-8DB7-9E712CA9F530}"/>
    <hyperlink ref="AJ54" r:id="rId19" xr:uid="{187815CF-B569-4BBD-BA1B-488813A64619}"/>
    <hyperlink ref="AJ52" r:id="rId20" xr:uid="{97459D2B-99AE-4B78-AF50-D6A025F43F71}"/>
    <hyperlink ref="AJ53" r:id="rId21" xr:uid="{2694B3F8-E116-43AA-8E47-5E6037AF0F84}"/>
    <hyperlink ref="AJ59" r:id="rId22" xr:uid="{26C79666-2C6C-479A-BD42-5EEF545C3ED3}"/>
    <hyperlink ref="AJ62" r:id="rId23" xr:uid="{AD7C149C-ADD5-473D-8DD1-3BC2CE06E6DF}"/>
    <hyperlink ref="AJ56" r:id="rId24" xr:uid="{606F9A14-46B7-488A-96C6-B6F4E0D58D37}"/>
    <hyperlink ref="AJ57" r:id="rId25" xr:uid="{6ADF6163-3C61-4B06-9639-6263132273D7}"/>
    <hyperlink ref="AJ58" r:id="rId26" xr:uid="{6E6EB40D-984C-4B18-9DA4-5ED99438D18B}"/>
    <hyperlink ref="AJ60" r:id="rId27" xr:uid="{E2DA4656-4918-4B48-893D-F52C7B14BB0C}"/>
    <hyperlink ref="AJ64" r:id="rId28" xr:uid="{82CBB347-CCA6-43DB-B917-66CA901E5D45}"/>
    <hyperlink ref="AJ65" r:id="rId29" xr:uid="{CA5FCA68-0C37-4365-BE49-15ACA265F5DC}"/>
    <hyperlink ref="AJ66" r:id="rId30" xr:uid="{BA9BFDC2-3269-4DED-8842-31ADAD170F7E}"/>
    <hyperlink ref="AJ68" r:id="rId31" xr:uid="{F00DFBD7-0EDF-4C5D-B161-1DBBCFF699FA}"/>
    <hyperlink ref="AJ70" r:id="rId32" xr:uid="{F69BECF5-052A-4E91-960A-2812EC4A3B5A}"/>
    <hyperlink ref="AJ71" r:id="rId33" xr:uid="{9963B645-E842-4419-B194-039AB7FA83D7}"/>
    <hyperlink ref="AJ72" r:id="rId34" xr:uid="{54AAF16D-2E0B-4227-A622-FF4C29E1E791}"/>
    <hyperlink ref="AJ73" r:id="rId35" xr:uid="{B0EE9F3C-9A1C-4D0C-8A05-585A67AE54F2}"/>
    <hyperlink ref="AJ74" r:id="rId36" xr:uid="{7C1EDC13-30CB-490A-8453-51E6EAFDE554}"/>
    <hyperlink ref="AJ75" r:id="rId37" xr:uid="{9145CEE8-D58B-413C-A20C-69FE2099EBD6}"/>
    <hyperlink ref="AJ76" r:id="rId38" xr:uid="{81FF3144-8C4E-4171-AF75-F61A93F42C70}"/>
    <hyperlink ref="AJ77" r:id="rId39" xr:uid="{5ACB764C-7A95-4F8C-A6B1-F76BC381BD08}"/>
    <hyperlink ref="AJ79" r:id="rId40" xr:uid="{73A8AF0F-EB67-4500-8064-EA3ECB6AD089}"/>
    <hyperlink ref="AJ84" r:id="rId41" xr:uid="{73ECAF52-F962-417B-B875-74A7261B6DC1}"/>
    <hyperlink ref="AJ85" r:id="rId42" xr:uid="{346373B9-5C02-46EC-A22A-D555369EF308}"/>
    <hyperlink ref="AJ86" r:id="rId43" xr:uid="{377EEEFA-16F7-4E4F-816A-823EAED6F6E1}"/>
    <hyperlink ref="AJ87" r:id="rId44" xr:uid="{23F06BDE-16D2-4D09-A0CE-2D7C39839A09}"/>
    <hyperlink ref="AJ89" r:id="rId45" xr:uid="{375C3223-1C4A-455D-B59B-CF635DBE5C15}"/>
    <hyperlink ref="AJ90" r:id="rId46" xr:uid="{F5621D3A-E7DF-43A9-B605-71C22AE9ACF6}"/>
    <hyperlink ref="AJ78" r:id="rId47" xr:uid="{79D1808F-6D67-4F93-B8FA-542359FE14C7}"/>
    <hyperlink ref="AJ69" r:id="rId48" xr:uid="{84C4F12D-B0E2-425D-A837-B9CAD54B5D87}"/>
    <hyperlink ref="AJ50" r:id="rId49" xr:uid="{BEDC5F54-A4A1-49F5-8A17-5AD7071BA995}"/>
    <hyperlink ref="AJ51" r:id="rId50" xr:uid="{26064F87-F86A-4254-9976-8FDC930C8766}"/>
    <hyperlink ref="AJ55" r:id="rId51" xr:uid="{31F4DE99-4514-4FB7-BEFB-03174BFF3206}"/>
    <hyperlink ref="AJ61" r:id="rId52" xr:uid="{479C3772-1E39-4005-BD92-B6E545E48186}"/>
    <hyperlink ref="AJ63" r:id="rId53" xr:uid="{5DCD3CDC-40A3-42DE-A2F4-0E2762198396}"/>
    <hyperlink ref="AJ67" r:id="rId54" xr:uid="{FA7E2CA4-65D1-4FC1-830C-4F4FCBE0DF6A}"/>
    <hyperlink ref="AJ80" r:id="rId55" xr:uid="{1444F917-B504-44FD-903E-77F7B7523192}"/>
    <hyperlink ref="AJ81" r:id="rId56" xr:uid="{9397440C-63A4-4E40-A190-F9A7CCF8E99C}"/>
    <hyperlink ref="AJ91" r:id="rId57" xr:uid="{27794131-2778-448D-90AB-601C5F8E2528}"/>
    <hyperlink ref="AJ92" r:id="rId58" xr:uid="{9138B9A5-CF47-44AE-A8BD-24F166CF8F40}"/>
    <hyperlink ref="AJ95" r:id="rId59" xr:uid="{A9370B0C-2A99-4A01-8448-7E96A6BC9ADA}"/>
    <hyperlink ref="AJ5" r:id="rId60" xr:uid="{60425E8E-2C56-420F-A146-41ED26D049B3}"/>
    <hyperlink ref="AJ12" r:id="rId61" xr:uid="{4F72D633-108D-4A19-85D5-EBF54F5AC555}"/>
    <hyperlink ref="AJ13" r:id="rId62" xr:uid="{FB127A15-CA9F-481E-A0F1-C14E414A510C}"/>
    <hyperlink ref="AJ16" r:id="rId63" xr:uid="{6FD57F7C-9D3A-403B-A903-259648A9EBA6}"/>
    <hyperlink ref="AJ17" r:id="rId64" xr:uid="{3BAC2EEB-77BB-456B-B3E8-375113D5C4D7}"/>
    <hyperlink ref="AJ24" r:id="rId65" xr:uid="{7D2B4202-BCB5-455A-BE6B-C78AD477806F}"/>
    <hyperlink ref="AJ25" r:id="rId66" xr:uid="{14477F4C-6193-42FD-8795-E002E5DFB7D7}"/>
    <hyperlink ref="AJ27" r:id="rId67" xr:uid="{40B417C5-D307-4A97-AD12-1E61F91ECBB3}"/>
    <hyperlink ref="AJ30" r:id="rId68" xr:uid="{572F67C0-1944-4646-9722-463B6DD9DD86}"/>
    <hyperlink ref="AJ32" r:id="rId69" xr:uid="{46184062-8E40-44BD-A3AB-E0B9526D797D}"/>
    <hyperlink ref="AJ33" r:id="rId70" xr:uid="{3320BCBE-82E8-463C-BA5C-32F13F5CC7BF}"/>
    <hyperlink ref="AJ34" r:id="rId71" xr:uid="{DF30721C-FDB2-4933-AA85-AC25A258ECF2}"/>
    <hyperlink ref="AJ35" r:id="rId72" xr:uid="{9FC05FEB-BEDA-4989-84FB-E826D1219472}"/>
    <hyperlink ref="AJ36" r:id="rId73" xr:uid="{BE4B1478-4AAB-4F0C-B48A-E39668157382}"/>
    <hyperlink ref="AJ37" r:id="rId74" xr:uid="{0D834BF4-2C77-4B50-9FC7-7F57FD9A3734}"/>
    <hyperlink ref="AJ38" r:id="rId75" xr:uid="{30ACD778-C3E0-4C98-9512-B8CC1F61D2E5}"/>
    <hyperlink ref="AJ39" r:id="rId76" xr:uid="{07F0909E-D091-4A51-A3F7-60B27923CE4A}"/>
    <hyperlink ref="AJ40" r:id="rId77" xr:uid="{A9AAC9DF-90C3-4C7C-BC41-D09AD92ABF00}"/>
    <hyperlink ref="AJ41" r:id="rId78" xr:uid="{7AAFC929-C98A-449C-8CB9-7C6315FD6E9D}"/>
    <hyperlink ref="AJ42" r:id="rId79" xr:uid="{2E716E74-982C-44F8-8996-0D2B56B11D18}"/>
    <hyperlink ref="AJ43" r:id="rId80" xr:uid="{A7C6C09A-EBC2-4F15-995F-81BD4FAFA1FC}"/>
    <hyperlink ref="AJ44" r:id="rId81" xr:uid="{2EC26626-922C-4722-94DA-3DCD421D562D}"/>
    <hyperlink ref="AJ45" r:id="rId82" xr:uid="{B9BB7079-07CA-499D-9347-BE208337199C}"/>
    <hyperlink ref="AJ46" r:id="rId83" xr:uid="{7C52CE73-871E-4D65-83DE-1B5BF60CA3B9}"/>
    <hyperlink ref="AJ47" r:id="rId84" xr:uid="{F24EB2FD-9029-4168-8654-6036BBF6039A}"/>
    <hyperlink ref="AJ48" r:id="rId85" xr:uid="{6323B989-59CF-4C6C-BB00-340C424A1FBF}"/>
    <hyperlink ref="AJ49" r:id="rId86" xr:uid="{3FBCC7D7-0089-44CE-9223-7BC2708DD552}"/>
    <hyperlink ref="AJ9" r:id="rId87" xr:uid="{5231B49D-06A2-4825-B743-C46C970CBFF5}"/>
    <hyperlink ref="AJ14" r:id="rId88" xr:uid="{C0E2BCE2-EED7-46DF-B26B-A0A8EFEBB9C7}"/>
    <hyperlink ref="AJ31" r:id="rId89" xr:uid="{14F235AB-CEF7-4B42-8299-66FFDAE0736D}"/>
    <hyperlink ref="AJ29" r:id="rId90" xr:uid="{529BEF6E-E989-4EBF-B576-279DD70E6F29}"/>
    <hyperlink ref="AJ28" r:id="rId91" xr:uid="{84E7D8D3-750A-4593-A555-8C1A94C8DFE4}"/>
    <hyperlink ref="AJ26" r:id="rId92" xr:uid="{006E42A4-CA37-4FDB-958C-C926EF8C2EA8}"/>
    <hyperlink ref="AJ23" r:id="rId93" xr:uid="{4CE82278-F638-480B-B2D3-E6912EA3D92D}"/>
    <hyperlink ref="AJ22" r:id="rId94" xr:uid="{825EC09C-5FB7-4210-A4C7-E5D802CF132E}"/>
    <hyperlink ref="AJ21" r:id="rId95" xr:uid="{70B3C433-A3DF-4AA0-8043-CC545CD8244E}"/>
    <hyperlink ref="AJ20" r:id="rId96" xr:uid="{CAAE52CB-B497-4580-96BD-7B734FFA1DC3}"/>
    <hyperlink ref="AJ19" r:id="rId97" xr:uid="{1FC33A5D-740B-4FD3-B6D3-EE194CADD1DC}"/>
    <hyperlink ref="AJ18" r:id="rId98" xr:uid="{A9E7F48E-118F-45A0-B731-781507E67D44}"/>
    <hyperlink ref="AJ15" r:id="rId99" xr:uid="{E17124F8-BD76-4F2E-B0C6-45588D58B330}"/>
    <hyperlink ref="AJ11" r:id="rId100" xr:uid="{C905A5D3-309D-400B-BB23-01A580C3B690}"/>
    <hyperlink ref="AJ108" r:id="rId101" xr:uid="{949D1E5B-B902-49E6-A716-9E660C28DF89}"/>
    <hyperlink ref="AJ110" r:id="rId102" xr:uid="{3F522C34-1ED9-4553-9D48-D9E78BE3B7B0}"/>
    <hyperlink ref="AJ111" r:id="rId103" xr:uid="{A11E81A0-5AC6-4048-A97B-6FA4CD315922}"/>
    <hyperlink ref="AJ114" r:id="rId104" xr:uid="{3E29F537-3FAD-4C9D-9825-F6BB894A1D58}"/>
    <hyperlink ref="AJ115" r:id="rId105" xr:uid="{1BC68C8A-5C3F-4170-A0AC-35A5F0695529}"/>
    <hyperlink ref="AJ113" r:id="rId106" xr:uid="{1F0B6F44-AB75-4DFC-8309-7E1C0FE2512B}"/>
    <hyperlink ref="AJ112" r:id="rId107" xr:uid="{F472F38C-A39B-45C4-99FB-4B5F8F8B67BB}"/>
    <hyperlink ref="AJ116" r:id="rId108" xr:uid="{4DBBE4A2-B2B2-4ABC-8FE2-87CC380D8643}"/>
    <hyperlink ref="AJ109" r:id="rId109" xr:uid="{75A5B37D-3BE2-45CE-9EFD-AFB577D8D255}"/>
    <hyperlink ref="AJ117" r:id="rId110" xr:uid="{E32DF9B2-BF80-46EC-8E32-0D5AEA0539E3}"/>
    <hyperlink ref="AJ118" r:id="rId111" xr:uid="{77487C95-4D57-45C0-A419-36A66FFE957E}"/>
    <hyperlink ref="AL82" r:id="rId112" xr:uid="{5734E9E7-0594-48A2-B1DB-4BAEC75C52DF}"/>
    <hyperlink ref="AM82" r:id="rId113" xr:uid="{B633843F-20DA-4978-B090-947713604FDF}"/>
    <hyperlink ref="AK82" r:id="rId114" xr:uid="{C7EA34AF-E02E-45F6-A196-072753DE5BCF}"/>
    <hyperlink ref="AL88" r:id="rId115" xr:uid="{743A3F85-30DE-48EF-B8AB-84383EEFC9E8}"/>
    <hyperlink ref="AM88" r:id="rId116" xr:uid="{E78F7EE5-E343-4321-BC4C-B7768E82CAF0}"/>
    <hyperlink ref="AK88" r:id="rId117" xr:uid="{F5443B78-880C-4209-ABDA-EAE7227D1D54}"/>
    <hyperlink ref="AK93" r:id="rId118" xr:uid="{F94A56DE-7F0C-4E52-9873-B696EAE49D6B}"/>
    <hyperlink ref="AL93" r:id="rId119" xr:uid="{8F756B91-DFAE-4F2A-AC98-A655D510A368}"/>
    <hyperlink ref="AM93" r:id="rId120" xr:uid="{0D269C8A-53EF-4F1E-B107-960BCF14BD35}"/>
    <hyperlink ref="AM94" r:id="rId121" xr:uid="{4FC13A25-49EA-4DC6-8FA0-3B312BB35A45}"/>
    <hyperlink ref="AL94" r:id="rId122" xr:uid="{5E55E50E-BC7D-44E3-B606-2FD698DC28B2}"/>
    <hyperlink ref="AK94" r:id="rId123" xr:uid="{43543CD8-FD5A-4646-BE90-697EC6BFDE4D}"/>
    <hyperlink ref="AM98" r:id="rId124" xr:uid="{37CA38C5-1F8C-4DF9-A9B3-4F9C0842922D}"/>
    <hyperlink ref="AK98" r:id="rId125" xr:uid="{145595DA-10A8-4718-93BC-BB07AA2DF8A9}"/>
    <hyperlink ref="AL98" r:id="rId126" xr:uid="{87CEFC91-E70B-435A-83F6-72C0D0AB6BB7}"/>
    <hyperlink ref="AL99" r:id="rId127" xr:uid="{461E67A0-E208-4B19-BEE9-4B8F72203B48}"/>
    <hyperlink ref="AM99" r:id="rId128" xr:uid="{625D2C8E-8339-40CE-A57E-D94DACEB9190}"/>
    <hyperlink ref="AK99" r:id="rId129" xr:uid="{9B8D7E14-262C-4E04-A976-5E7EB55B55A1}"/>
    <hyperlink ref="AL100" r:id="rId130" xr:uid="{A5A9C4E3-0C9C-4304-B558-BEE87FDD1C37}"/>
    <hyperlink ref="AM100" r:id="rId131" xr:uid="{EDF9D496-CD75-4536-B1ED-7EE6853DA55B}"/>
    <hyperlink ref="AK100" r:id="rId132" xr:uid="{444C08DE-6075-4B43-B4D1-21F1FE5E962E}"/>
    <hyperlink ref="AM101" r:id="rId133" xr:uid="{DAFDD4F1-9EE3-4787-A198-2748C3D8CDD3}"/>
    <hyperlink ref="AL101" r:id="rId134" xr:uid="{7FFD8A7B-2B21-45B1-9DD5-AF6A366807CD}"/>
    <hyperlink ref="AK101" r:id="rId135" xr:uid="{17E60765-60FC-43F4-83A4-DE70D47F0B1E}"/>
    <hyperlink ref="AL102" r:id="rId136" xr:uid="{FCCDE4CD-5ECD-4ECB-A0B4-DAA3FBF84046}"/>
    <hyperlink ref="AM102" r:id="rId137" xr:uid="{DD6D4722-63C0-44F6-87CE-7E68B7B71061}"/>
    <hyperlink ref="AK102" r:id="rId138" xr:uid="{058197CB-695D-42F5-9EC5-66293C067802}"/>
    <hyperlink ref="AL103" r:id="rId139" xr:uid="{89095B56-7730-4112-828E-3605DEFB7E8E}"/>
    <hyperlink ref="AM103" r:id="rId140" xr:uid="{20F455BF-FA4E-40C5-AA7A-62D06A803482}"/>
    <hyperlink ref="AK103" r:id="rId141" xr:uid="{3AF8E42F-F44B-49DD-AE93-471DC14217AB}"/>
    <hyperlink ref="AL104" r:id="rId142" xr:uid="{1D024A11-DF12-444D-ADC3-AE80B13973A1}"/>
    <hyperlink ref="AM104" r:id="rId143" xr:uid="{2294F0D7-1E5B-4835-A8F2-5CC588F05E81}"/>
    <hyperlink ref="AK104" r:id="rId144" xr:uid="{4237179E-CA41-4DB9-B2E9-816722E5A870}"/>
    <hyperlink ref="AL105" r:id="rId145" xr:uid="{58D05113-7874-4304-B875-86F27662193A}"/>
    <hyperlink ref="AM105" r:id="rId146" xr:uid="{04CC587D-3B6D-4E8C-95A4-AB0EA950ECD1}"/>
    <hyperlink ref="AK105" r:id="rId147" xr:uid="{500D519F-BEFB-427C-8747-2E0AA3E45764}"/>
    <hyperlink ref="AL106" r:id="rId148" xr:uid="{6E5C3FE1-85EF-4BD4-8907-44F7BAF80715}"/>
    <hyperlink ref="AM106" r:id="rId149" xr:uid="{CA762B32-8C72-4549-AF8D-39D1BE9E59D3}"/>
    <hyperlink ref="AK106" r:id="rId150" xr:uid="{E965CF56-433A-428E-A1FB-DC3F499B9E49}"/>
    <hyperlink ref="AL107" r:id="rId151" xr:uid="{608C7E76-15F5-4096-811E-6600C24928CA}"/>
    <hyperlink ref="AM107" r:id="rId152" xr:uid="{8A1E21E5-9616-4CF0-BC32-BDD24449DCE2}"/>
    <hyperlink ref="AK107" r:id="rId153" xr:uid="{6FB94E21-431A-499D-9F06-0EFFFFEB27E7}"/>
    <hyperlink ref="AL108" r:id="rId154" xr:uid="{B3280443-1C73-49E5-BE75-478F34F11135}"/>
    <hyperlink ref="AM108" r:id="rId155" xr:uid="{01CF95CA-B649-48A4-A352-4AD3CAC94FEC}"/>
    <hyperlink ref="AK108" r:id="rId156" xr:uid="{F2A0212A-2E6B-46FA-911E-009B29E2AAF0}"/>
    <hyperlink ref="AL109" r:id="rId157" xr:uid="{E3BAC766-6F72-4856-AF27-D327EDC90FEC}"/>
    <hyperlink ref="AM109" r:id="rId158" xr:uid="{F8B8EF09-8E13-4BCB-A4BD-83ECC106B75E}"/>
    <hyperlink ref="AK109" r:id="rId159" xr:uid="{E25157E7-CF0E-4FEB-B353-BB932F87AA6E}"/>
    <hyperlink ref="AL110" r:id="rId160" xr:uid="{D795A92A-BAB6-4BE5-A090-F2B859A07BE0}"/>
    <hyperlink ref="AM110" r:id="rId161" xr:uid="{E6347F1F-7DA5-4471-9568-2F7AC6C671C5}"/>
    <hyperlink ref="AK110" r:id="rId162" xr:uid="{FF5AE6AB-7497-47DD-88DE-DBB7910BB7E2}"/>
    <hyperlink ref="AL111" r:id="rId163" xr:uid="{BA710E98-C7FF-48BC-BA04-F46435866841}"/>
    <hyperlink ref="AM111" r:id="rId164" xr:uid="{123FD0B9-4BF0-4C86-8D1B-5412F963D238}"/>
    <hyperlink ref="AK111" r:id="rId165" xr:uid="{1D047F3A-9C17-41FD-9B6D-73509D295178}"/>
    <hyperlink ref="AL112" r:id="rId166" xr:uid="{8B9F0BEB-C614-44BC-8F9F-8AF3C109342B}"/>
    <hyperlink ref="AM112" r:id="rId167" xr:uid="{6981BF2C-040D-4D49-8916-80440B84555B}"/>
    <hyperlink ref="AK112" r:id="rId168" xr:uid="{D859A42A-6FC3-4F92-81B4-757F86F92EE8}"/>
    <hyperlink ref="AL113" r:id="rId169" xr:uid="{1EC39489-64CF-43ED-94FE-8B62022025C5}"/>
    <hyperlink ref="AM113" r:id="rId170" xr:uid="{81A389DA-7003-47C9-A069-166E9410BDC7}"/>
    <hyperlink ref="AK113" r:id="rId171" xr:uid="{1A4528E7-0B3C-453F-8866-7F9FE10A4CD2}"/>
    <hyperlink ref="AL114" r:id="rId172" xr:uid="{782D2263-00A2-4352-BECC-CE08176DDBFE}"/>
    <hyperlink ref="AM114" r:id="rId173" xr:uid="{00C7D4EE-ABA3-4A56-94C2-A963ABDA6A97}"/>
    <hyperlink ref="AK114" r:id="rId174" xr:uid="{B678F9AA-EF71-4D26-8AF4-7CE388B0052A}"/>
    <hyperlink ref="AL115" r:id="rId175" xr:uid="{907F6EBE-31C6-40C8-B637-8CD923485D2F}"/>
    <hyperlink ref="AM115" r:id="rId176" xr:uid="{EC901FEF-7DB7-4917-8C46-9E2D2B609047}"/>
    <hyperlink ref="AK115" r:id="rId177" xr:uid="{1A5706D2-5531-4FB4-AFBA-56748556E69A}"/>
    <hyperlink ref="AL116" r:id="rId178" xr:uid="{C19C8459-E6DD-4FFC-8D38-0BB69A59C360}"/>
    <hyperlink ref="AM116" r:id="rId179" xr:uid="{6EC9DF9B-D3E2-44BA-BEC4-2118DA619E04}"/>
    <hyperlink ref="AK116" r:id="rId180" xr:uid="{CC460BD2-585E-4704-9048-F600D4676260}"/>
    <hyperlink ref="AL117" r:id="rId181" xr:uid="{ACAFA818-0507-4DB8-86D3-D67C30DA13DA}"/>
    <hyperlink ref="AM117" r:id="rId182" xr:uid="{F62678A1-A5EA-4B82-837C-53860947571C}"/>
    <hyperlink ref="AK117" r:id="rId183" xr:uid="{ECB807B1-ED2A-411D-BB79-DAC71A1D35F6}"/>
    <hyperlink ref="AL118" r:id="rId184" xr:uid="{F3B59918-63B5-48D0-B8CB-2A5B7724F3BC}"/>
    <hyperlink ref="AM118" r:id="rId185" xr:uid="{8A1FC4EA-2307-45FD-B628-17D58E020069}"/>
    <hyperlink ref="AK118" r:id="rId186" xr:uid="{B31B44D4-1957-4EE6-A1F3-020EBA5960BF}"/>
    <hyperlink ref="AJ120" r:id="rId187" xr:uid="{5F9289DE-D4DE-4E34-8E7D-1236AD65AF54}"/>
    <hyperlink ref="AJ125" r:id="rId188" xr:uid="{60E59C08-A6D8-47BF-A0C6-9C837CA78AEC}"/>
    <hyperlink ref="AJ121" r:id="rId189" xr:uid="{1FF9AA22-B857-44E7-9AF4-CBCAAF0D26AC}"/>
    <hyperlink ref="AL120" r:id="rId190" xr:uid="{F355AC4D-04D1-434E-BF35-A56F91ADAACD}"/>
    <hyperlink ref="AM120" r:id="rId191" xr:uid="{3D4ED9B6-A114-4B93-834D-9F4D5B0B0371}"/>
    <hyperlink ref="AK120" r:id="rId192" xr:uid="{C32F4A11-B470-4573-AAA8-BFE398FD8382}"/>
    <hyperlink ref="AL121" r:id="rId193" xr:uid="{D306BF1F-DC14-42D7-9B55-F58773E2F1F2}"/>
    <hyperlink ref="AM121" r:id="rId194" xr:uid="{8B24DCC7-F029-4922-9DC0-916A3B2EE99E}"/>
    <hyperlink ref="AK121" r:id="rId195" xr:uid="{C390ACE2-4BD2-47C2-AD2E-04B5108DF74B}"/>
    <hyperlink ref="AM125" r:id="rId196" xr:uid="{459E6EFF-7DDB-44C0-8E52-58006614554F}"/>
    <hyperlink ref="AK125" r:id="rId197" xr:uid="{063C15D0-5BEA-476F-8F22-79C29E13926A}"/>
    <hyperlink ref="AL125" r:id="rId198" xr:uid="{54A352D3-5E5E-4398-BBE8-2177B4D102ED}"/>
    <hyperlink ref="AL5" r:id="rId199" xr:uid="{6000173C-3999-4A2C-9223-21497726478D}"/>
    <hyperlink ref="AK5" r:id="rId200" xr:uid="{17E94B45-ADDF-43F2-95CA-395D315344CB}"/>
    <hyperlink ref="AL6" r:id="rId201" xr:uid="{0A154F72-3261-4A01-B481-4235506D8C26}"/>
    <hyperlink ref="AK6" r:id="rId202" xr:uid="{A55CB0A4-E9AE-4854-AEFE-86B944C1C522}"/>
    <hyperlink ref="AL7" r:id="rId203" xr:uid="{54B0DFC4-CDBC-4F82-B31B-64214B8E95F7}"/>
    <hyperlink ref="AK7" r:id="rId204" xr:uid="{FE54F73D-E043-4895-88CE-85AE83F7CEC4}"/>
    <hyperlink ref="AM8" r:id="rId205" xr:uid="{D70A6119-CF4E-44AD-9382-07D33654204B}"/>
    <hyperlink ref="AK8" r:id="rId206" xr:uid="{928FC704-01AD-4073-9067-B6D3185A740D}"/>
    <hyperlink ref="AL9" r:id="rId207" xr:uid="{1962168B-16C7-4965-B6CC-A5DDF8A57386}"/>
    <hyperlink ref="AM9" r:id="rId208" xr:uid="{C9FBF797-F2BD-4A66-8E96-8B282D94F8E6}"/>
    <hyperlink ref="AK9" r:id="rId209" xr:uid="{0D038BD8-4D07-45E2-AAFA-2786C139D17D}"/>
    <hyperlink ref="AL10" r:id="rId210" xr:uid="{8FB869EA-DEDD-418C-842B-1D96585655BF}"/>
    <hyperlink ref="AM10" r:id="rId211" xr:uid="{83817E98-D12F-4284-BDB6-9BC50CC27466}"/>
    <hyperlink ref="AK10" r:id="rId212" xr:uid="{C403CED9-DBE9-4C68-A104-4D9FE7F64908}"/>
    <hyperlink ref="AL11" r:id="rId213" xr:uid="{F2E08D72-3D7F-4683-BFFD-F63B569B6357}"/>
    <hyperlink ref="AM11" r:id="rId214" xr:uid="{A7885944-DB63-4A0F-AD30-CC874D240571}"/>
    <hyperlink ref="AK11" r:id="rId215" xr:uid="{766CC60A-79BE-41B4-AC5D-E391FBC726B7}"/>
    <hyperlink ref="AL12" r:id="rId216" xr:uid="{91B327DC-CDBF-4D6F-A4E5-EF6481EA84C7}"/>
    <hyperlink ref="AM12" r:id="rId217" xr:uid="{BEBD6D4A-84E4-4017-A072-C8EC5E2B8E85}"/>
    <hyperlink ref="AK12" r:id="rId218" xr:uid="{73AF4DB2-6DA7-49F5-884C-E4255B8004A0}"/>
    <hyperlink ref="AL13" r:id="rId219" xr:uid="{F5E41134-7171-4081-A0B8-FF0CC22E92C7}"/>
    <hyperlink ref="AM13" r:id="rId220" xr:uid="{72E6F409-DCED-4278-BD72-5EA79C439748}"/>
    <hyperlink ref="AK13" r:id="rId221" xr:uid="{E03C859B-FF01-4135-8B99-2729485D95F8}"/>
    <hyperlink ref="AL14" r:id="rId222" xr:uid="{B14C6685-2813-48F1-B64A-46AF1E421EF2}"/>
    <hyperlink ref="AM14" r:id="rId223" xr:uid="{E620DA42-72FF-486D-AB0C-91DF81EC60B4}"/>
    <hyperlink ref="AK14" r:id="rId224" xr:uid="{CCDCA76B-F848-4290-87EA-242683875C9A}"/>
    <hyperlink ref="AL15" r:id="rId225" xr:uid="{AB5C136A-4B06-420A-857B-853E57BD6F23}"/>
    <hyperlink ref="AM15" r:id="rId226" xr:uid="{BCD35A8E-6FE4-4D0B-AC58-264836060A11}"/>
    <hyperlink ref="AK15" r:id="rId227" xr:uid="{AF54422F-9AA0-4AD7-BCE7-039BD4F95771}"/>
    <hyperlink ref="AL16" r:id="rId228" xr:uid="{E51DB859-58CA-442A-A9A9-42D764C7F201}"/>
    <hyperlink ref="AM16" r:id="rId229" xr:uid="{86DDB05B-C67F-4AE2-94D6-F8F3E7B47FFD}"/>
    <hyperlink ref="AK16" r:id="rId230" xr:uid="{6241035C-9996-4919-B1D9-CE428CB1C2FE}"/>
    <hyperlink ref="AL17" r:id="rId231" xr:uid="{11CC7A42-0EB5-430B-8F0A-8FF06B707CAF}"/>
    <hyperlink ref="AM17" r:id="rId232" xr:uid="{0A2C9FA6-0D46-4BCB-8622-1207089142C1}"/>
    <hyperlink ref="AK17" r:id="rId233" xr:uid="{872A2317-66DB-41D1-B25F-0FCE21A06169}"/>
    <hyperlink ref="AL18" r:id="rId234" xr:uid="{E62A68EE-1280-426A-8F95-A262A2A38FAA}"/>
    <hyperlink ref="AM18" r:id="rId235" xr:uid="{B4F42698-406A-457B-AB82-A87D37D9E32D}"/>
    <hyperlink ref="AK18" r:id="rId236" xr:uid="{0BE7D493-5193-46C8-AE72-4D2EDC037732}"/>
    <hyperlink ref="AL20" r:id="rId237" xr:uid="{9FB5FBE4-309F-4D4E-968F-4C2022C8228E}"/>
    <hyperlink ref="AM20" r:id="rId238" xr:uid="{C4FA5B15-1E29-468D-A015-DCC3C82C38BC}"/>
    <hyperlink ref="AK20" r:id="rId239" xr:uid="{70A635F8-B2E3-4BF3-97A1-1AFD5C824164}"/>
    <hyperlink ref="AL21" r:id="rId240" xr:uid="{D4DD47F2-EFBD-4B84-BE5C-E866378F338D}"/>
    <hyperlink ref="AM21" r:id="rId241" xr:uid="{44A10B6E-19E8-4E3F-9E07-95008E1DE61C}"/>
    <hyperlink ref="AK21" r:id="rId242" xr:uid="{60810DAC-0947-4BB9-BE9C-C99B3507D1AA}"/>
    <hyperlink ref="AL22" r:id="rId243" xr:uid="{15C4FBA5-42A3-476B-A235-3AA886631AC2}"/>
    <hyperlink ref="AM22" r:id="rId244" xr:uid="{C5217099-6997-4046-992E-DA7E7B2866DB}"/>
    <hyperlink ref="AK22" r:id="rId245" xr:uid="{929224F7-B782-4367-8BF5-DD7ED7B800D2}"/>
    <hyperlink ref="AL23" r:id="rId246" xr:uid="{22BE3904-C0F1-4626-807D-55B124602397}"/>
    <hyperlink ref="AM23" r:id="rId247" xr:uid="{D4581CFC-EADC-4E85-AADB-F673683AA93E}"/>
    <hyperlink ref="AK23" r:id="rId248" xr:uid="{A7F13E0E-173B-4B7B-8A60-F84C773F33F3}"/>
    <hyperlink ref="AL24" r:id="rId249" xr:uid="{BF426A1A-B91C-4D34-9FBC-F3FC05006A81}"/>
    <hyperlink ref="AM24" r:id="rId250" xr:uid="{9440058E-6647-44C7-A3D4-75D435688E05}"/>
    <hyperlink ref="AK24" r:id="rId251" xr:uid="{90447A86-5B42-4CB0-83DD-A8836C41FE31}"/>
    <hyperlink ref="AL25" r:id="rId252" xr:uid="{A133DEA7-B817-4F67-95D5-073E1D36A92F}"/>
    <hyperlink ref="AM25" r:id="rId253" xr:uid="{8586A794-5549-43F2-A588-59AC7A7482D3}"/>
    <hyperlink ref="AK25" r:id="rId254" xr:uid="{61169DA9-C266-46FA-913D-44367A93DFD1}"/>
    <hyperlink ref="AL26" r:id="rId255" xr:uid="{2C761441-0234-4908-BEB2-84F7B2921A47}"/>
    <hyperlink ref="AM26" r:id="rId256" xr:uid="{6D9631B2-7B65-4FB5-981F-8957D7AD18EF}"/>
    <hyperlink ref="AK26" r:id="rId257" xr:uid="{390C9F29-CE51-4338-B9D3-BA675E8FDAFD}"/>
    <hyperlink ref="AL27" r:id="rId258" xr:uid="{400D864C-C96B-4573-928A-490AA38CF015}"/>
    <hyperlink ref="AM27" r:id="rId259" xr:uid="{5A7E827C-D2DE-4E44-8D93-826EE5602B98}"/>
    <hyperlink ref="AK27" r:id="rId260" xr:uid="{EDB600A3-5A1F-4F19-B585-4EA8050FD9B5}"/>
    <hyperlink ref="AL28" r:id="rId261" xr:uid="{AA01B680-7678-4AE8-888C-4D941CC43850}"/>
    <hyperlink ref="AM28" r:id="rId262" xr:uid="{D58C8C6E-7CAA-4F45-A6FC-F1E45E165ABE}"/>
    <hyperlink ref="AK28" r:id="rId263" xr:uid="{4BC390F1-26DD-4D93-B9FA-190F5D53BDEC}"/>
    <hyperlink ref="AL29" r:id="rId264" xr:uid="{791CEF5F-7F94-4C51-AC98-6ACA2D221514}"/>
    <hyperlink ref="AM29" r:id="rId265" xr:uid="{5DBC15C9-A32F-4397-A979-55B3A1299451}"/>
    <hyperlink ref="AK29" r:id="rId266" xr:uid="{3F60E153-F63F-4AD9-A3F3-BF5D1625734E}"/>
    <hyperlink ref="AL30" r:id="rId267" xr:uid="{9DBC96B6-BA79-4C2F-BFD3-CE770C84B2DE}"/>
    <hyperlink ref="AM30" r:id="rId268" xr:uid="{31FE848F-2072-4D2E-B472-97980449243C}"/>
    <hyperlink ref="AK30" r:id="rId269" xr:uid="{5C84F7C3-3FE5-4CBC-B268-07CEE8D9C752}"/>
    <hyperlink ref="AL31" r:id="rId270" xr:uid="{BAE811E4-D75A-443D-AD6E-BAAB49C161E3}"/>
    <hyperlink ref="AM31" r:id="rId271" xr:uid="{0874C706-FB98-4DA5-A732-C11FD160D948}"/>
    <hyperlink ref="AK31" r:id="rId272" xr:uid="{72494B1A-9EA0-4386-ADCD-20F42BBB15FC}"/>
    <hyperlink ref="AL32" r:id="rId273" xr:uid="{80292F13-32C0-4C77-9FC3-5406BC4365E3}"/>
    <hyperlink ref="AM32" r:id="rId274" xr:uid="{3A51064B-1CB7-45F8-B874-501DD6B93045}"/>
    <hyperlink ref="AK32" r:id="rId275" xr:uid="{9A7B2E81-F5F9-4B52-98DD-B40EF7EA9C1B}"/>
    <hyperlink ref="AL33" r:id="rId276" xr:uid="{33CD0CE3-52A7-436D-A141-5CAC4D58B9AF}"/>
    <hyperlink ref="AM33" r:id="rId277" xr:uid="{55EC5456-493E-4E51-BF88-CC5D357E2ABE}"/>
    <hyperlink ref="AK33" r:id="rId278" xr:uid="{D492E3E8-1B82-4884-B3EC-0B8972EFD453}"/>
    <hyperlink ref="AL34" r:id="rId279" xr:uid="{A639D34D-B582-45AC-BA2D-F2282A50A3EB}"/>
    <hyperlink ref="AM34" r:id="rId280" xr:uid="{183573A9-5BED-4776-ADD0-30A3CE3B9FF2}"/>
    <hyperlink ref="AK34" r:id="rId281" xr:uid="{58C2DA36-2F05-4D44-8646-D38454050839}"/>
    <hyperlink ref="AL35" r:id="rId282" xr:uid="{114B9985-F71D-4DCD-A535-DFFB970E7203}"/>
    <hyperlink ref="AM35" r:id="rId283" xr:uid="{4D471511-2AD6-4FAE-88BC-75F5D726A3CE}"/>
    <hyperlink ref="AK35" r:id="rId284" xr:uid="{C14BC5AD-AE8E-4992-9EFC-69A71D4D4BA1}"/>
    <hyperlink ref="AL36" r:id="rId285" xr:uid="{40E496BE-3991-4DA2-B22B-7427D33D8C8B}"/>
    <hyperlink ref="AM36" r:id="rId286" xr:uid="{E55CC3D1-E047-4DB9-BC94-B436B3E4BD81}"/>
    <hyperlink ref="AK36" r:id="rId287" xr:uid="{0480D95A-1E42-4B5C-8086-3FEFA4DE16D3}"/>
    <hyperlink ref="AL37" r:id="rId288" xr:uid="{43CCA898-2F9D-429D-8C98-ECBBDB1819AC}"/>
    <hyperlink ref="AM37" r:id="rId289" xr:uid="{14E177A3-E855-4FE9-8452-832B43FBD244}"/>
    <hyperlink ref="AK37" r:id="rId290" xr:uid="{79C49C42-B2F5-4C40-8625-F80D893A2007}"/>
    <hyperlink ref="AL38" r:id="rId291" xr:uid="{EE246345-ED69-4E42-9A5D-E1F2572EE713}"/>
    <hyperlink ref="AM38" r:id="rId292" xr:uid="{3CD8FA8D-A84A-48A1-AAD5-4CB31F4CB271}"/>
    <hyperlink ref="AK38" r:id="rId293" xr:uid="{748CDD4B-9D65-4097-8BF5-DC3D45F7526D}"/>
    <hyperlink ref="AK39" r:id="rId294" xr:uid="{AC0922F2-FC66-4FDC-A56C-C43B0B603015}"/>
    <hyperlink ref="AL39" r:id="rId295" xr:uid="{DECE2C1E-1E7A-4FEC-BE0E-761840D4593E}"/>
    <hyperlink ref="AM39" r:id="rId296" xr:uid="{D6B87D74-0D07-42F4-BAF5-90FC28DC2D31}"/>
    <hyperlink ref="AJ83" r:id="rId297" xr:uid="{52280506-7B2C-47ED-B7BD-9843286B8B0C}"/>
  </hyperlinks>
  <pageMargins left="0.511811024" right="0.511811024" top="0.78740157499999996" bottom="0.78740157499999996" header="0.31496062000000002" footer="0.31496062000000002"/>
  <pageSetup paperSize="9" orientation="portrait" r:id="rId298"/>
  <ignoredErrors>
    <ignoredError sqref="AC98:AC101 AC96 AC102:AC109 AC112:AC117 AC83" calculatedColumn="1"/>
  </ignoredErrors>
  <tableParts count="1">
    <tablePart r:id="rId299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errorTitle="Não digite!" error="Selecione a opção da célula." xr:uid="{E4D87D90-EA58-4835-8FD7-F19883BABFD2}">
          <x14:formula1>
            <xm:f>Lista!$E$3:$E$15</xm:f>
          </x14:formula1>
          <xm:sqref>E5:E81 E84:E128</xm:sqref>
        </x14:dataValidation>
        <x14:dataValidation type="list" allowBlank="1" showInputMessage="1" showErrorMessage="1" errorTitle="Não digite!" error="Selecione a opção na célula." xr:uid="{DA5F936D-036F-4ACA-8F5F-6F3B8990752B}">
          <x14:formula1>
            <xm:f>Lista!$C$3:$C$4</xm:f>
          </x14:formula1>
          <xm:sqref>E82:E83 D5:D128</xm:sqref>
        </x14:dataValidation>
        <x14:dataValidation type="list" errorStyle="warning" allowBlank="1" showInputMessage="1" showErrorMessage="1" errorTitle="Não digite!" error="Selecione a opção!" xr:uid="{B20DFFF7-E43E-4BCD-9049-28987CFA0328}">
          <x14:formula1>
            <xm:f>Lista!$G$17:$G$23</xm:f>
          </x14:formula1>
          <xm:sqref>O5:O128</xm:sqref>
        </x14:dataValidation>
        <x14:dataValidation type="list" allowBlank="1" showInputMessage="1" showErrorMessage="1" promptTitle="Não digitar! " prompt="Selecione a opção na célula." xr:uid="{A661E304-9B53-4F8B-9337-FC23424F27B1}">
          <x14:formula1>
            <xm:f>Lista!$S$3:$S$7</xm:f>
          </x14:formula1>
          <xm:sqref>G5:G128</xm:sqref>
        </x14:dataValidation>
        <x14:dataValidation type="list" allowBlank="1" showInputMessage="1" showErrorMessage="1" promptTitle="Não digite!" prompt="Selecione a opção na célula." xr:uid="{C911EB6F-1FD3-4B9E-861C-0366C67A6509}">
          <x14:formula1>
            <xm:f>Lista!$G$3:$G$7</xm:f>
          </x14:formula1>
          <xm:sqref>K5:K128</xm:sqref>
        </x14:dataValidation>
        <x14:dataValidation type="list" allowBlank="1" showInputMessage="1" showErrorMessage="1" errorTitle="Não digite!" error="Selecione a opção na célula." xr:uid="{C57A365A-8622-4303-8782-5B6A8DA889FD}">
          <x14:formula1>
            <xm:f>Lista!$M$3:$M$10</xm:f>
          </x14:formula1>
          <xm:sqref>I5:I128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BB1ED-8FDF-44BA-BB33-27BB4FC19FCD}">
  <dimension ref="B3:C28"/>
  <sheetViews>
    <sheetView showGridLines="0" workbookViewId="0">
      <selection activeCell="I7" sqref="I7"/>
    </sheetView>
  </sheetViews>
  <sheetFormatPr defaultRowHeight="15" x14ac:dyDescent="0.25"/>
  <cols>
    <col min="2" max="2" width="18" bestFit="1" customWidth="1"/>
    <col min="3" max="3" width="18.85546875" bestFit="1" customWidth="1"/>
  </cols>
  <sheetData>
    <row r="3" spans="2:3" x14ac:dyDescent="0.25">
      <c r="B3" s="28" t="s">
        <v>719</v>
      </c>
      <c r="C3" t="s">
        <v>721</v>
      </c>
    </row>
    <row r="4" spans="2:3" x14ac:dyDescent="0.25">
      <c r="B4" s="80">
        <v>45727</v>
      </c>
      <c r="C4">
        <v>2</v>
      </c>
    </row>
    <row r="5" spans="2:3" x14ac:dyDescent="0.25">
      <c r="B5" s="80">
        <v>45734</v>
      </c>
      <c r="C5">
        <v>376</v>
      </c>
    </row>
    <row r="6" spans="2:3" x14ac:dyDescent="0.25">
      <c r="B6" s="80">
        <v>45742</v>
      </c>
      <c r="C6">
        <v>1</v>
      </c>
    </row>
    <row r="7" spans="2:3" x14ac:dyDescent="0.25">
      <c r="B7" s="80">
        <v>45743</v>
      </c>
      <c r="C7">
        <v>766</v>
      </c>
    </row>
    <row r="8" spans="2:3" x14ac:dyDescent="0.25">
      <c r="B8" s="80">
        <v>45744</v>
      </c>
      <c r="C8">
        <v>62</v>
      </c>
    </row>
    <row r="9" spans="2:3" x14ac:dyDescent="0.25">
      <c r="B9" s="80">
        <v>45751</v>
      </c>
      <c r="C9">
        <v>1</v>
      </c>
    </row>
    <row r="10" spans="2:3" x14ac:dyDescent="0.25">
      <c r="B10" s="80">
        <v>45761</v>
      </c>
      <c r="C10">
        <v>3</v>
      </c>
    </row>
    <row r="11" spans="2:3" x14ac:dyDescent="0.25">
      <c r="B11" s="80">
        <v>45762</v>
      </c>
      <c r="C11">
        <v>6</v>
      </c>
    </row>
    <row r="12" spans="2:3" x14ac:dyDescent="0.25">
      <c r="B12" s="80">
        <v>45763</v>
      </c>
      <c r="C12">
        <v>314</v>
      </c>
    </row>
    <row r="13" spans="2:3" x14ac:dyDescent="0.25">
      <c r="B13" s="80">
        <v>45764</v>
      </c>
      <c r="C13">
        <v>307</v>
      </c>
    </row>
    <row r="14" spans="2:3" x14ac:dyDescent="0.25">
      <c r="B14" s="80">
        <v>45786</v>
      </c>
      <c r="C14">
        <v>1</v>
      </c>
    </row>
    <row r="15" spans="2:3" x14ac:dyDescent="0.25">
      <c r="B15" s="80">
        <v>45800</v>
      </c>
      <c r="C15">
        <v>1</v>
      </c>
    </row>
    <row r="16" spans="2:3" x14ac:dyDescent="0.25">
      <c r="B16" s="80">
        <v>45813</v>
      </c>
      <c r="C16">
        <v>1</v>
      </c>
    </row>
    <row r="17" spans="2:3" x14ac:dyDescent="0.25">
      <c r="B17" s="80">
        <v>45817</v>
      </c>
      <c r="C17">
        <v>5</v>
      </c>
    </row>
    <row r="18" spans="2:3" x14ac:dyDescent="0.25">
      <c r="B18" s="80">
        <v>45841</v>
      </c>
      <c r="C18">
        <v>1</v>
      </c>
    </row>
    <row r="19" spans="2:3" x14ac:dyDescent="0.25">
      <c r="B19" s="80">
        <v>45854</v>
      </c>
      <c r="C19">
        <v>1</v>
      </c>
    </row>
    <row r="20" spans="2:3" x14ac:dyDescent="0.25">
      <c r="B20" s="80">
        <v>45869</v>
      </c>
      <c r="C20">
        <v>6</v>
      </c>
    </row>
    <row r="21" spans="2:3" x14ac:dyDescent="0.25">
      <c r="B21" s="80">
        <v>45870</v>
      </c>
      <c r="C21">
        <v>3</v>
      </c>
    </row>
    <row r="22" spans="2:3" x14ac:dyDescent="0.25">
      <c r="B22" s="80">
        <v>45887</v>
      </c>
      <c r="C22">
        <v>2</v>
      </c>
    </row>
    <row r="23" spans="2:3" x14ac:dyDescent="0.25">
      <c r="B23" s="80">
        <v>45905</v>
      </c>
      <c r="C23">
        <v>1</v>
      </c>
    </row>
    <row r="24" spans="2:3" x14ac:dyDescent="0.25">
      <c r="B24" s="80">
        <v>45910</v>
      </c>
      <c r="C24">
        <v>4</v>
      </c>
    </row>
    <row r="25" spans="2:3" x14ac:dyDescent="0.25">
      <c r="B25" s="80">
        <v>45911</v>
      </c>
      <c r="C25">
        <v>1</v>
      </c>
    </row>
    <row r="26" spans="2:3" x14ac:dyDescent="0.25">
      <c r="B26" s="80">
        <v>45916</v>
      </c>
      <c r="C26">
        <v>1</v>
      </c>
    </row>
    <row r="27" spans="2:3" x14ac:dyDescent="0.25">
      <c r="B27" s="80">
        <v>45922</v>
      </c>
      <c r="C27">
        <v>5</v>
      </c>
    </row>
    <row r="28" spans="2:3" x14ac:dyDescent="0.25">
      <c r="B28" s="79" t="s">
        <v>720</v>
      </c>
      <c r="C28">
        <v>1871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96ECC-41FD-46D6-8473-80A8F4AC5EED}">
  <sheetPr>
    <tabColor rgb="FF00B050"/>
  </sheetPr>
  <dimension ref="B2:D8"/>
  <sheetViews>
    <sheetView workbookViewId="0">
      <selection activeCell="E18" sqref="E18"/>
    </sheetView>
  </sheetViews>
  <sheetFormatPr defaultRowHeight="15" x14ac:dyDescent="0.25"/>
  <cols>
    <col min="2" max="2" width="18.85546875" bestFit="1" customWidth="1"/>
    <col min="3" max="3" width="25.85546875" bestFit="1" customWidth="1"/>
    <col min="4" max="4" width="46.42578125" bestFit="1" customWidth="1"/>
    <col min="5" max="5" width="25.85546875" bestFit="1" customWidth="1"/>
    <col min="6" max="6" width="30.140625" bestFit="1" customWidth="1"/>
  </cols>
  <sheetData>
    <row r="2" spans="2:4" x14ac:dyDescent="0.25">
      <c r="B2" s="28" t="s">
        <v>19</v>
      </c>
      <c r="C2" t="s">
        <v>804</v>
      </c>
    </row>
    <row r="3" spans="2:4" x14ac:dyDescent="0.25">
      <c r="B3" s="28" t="s">
        <v>435</v>
      </c>
      <c r="C3" t="s">
        <v>804</v>
      </c>
      <c r="D3" s="60" t="s">
        <v>846</v>
      </c>
    </row>
    <row r="5" spans="2:4" x14ac:dyDescent="0.25">
      <c r="B5" s="28" t="s">
        <v>719</v>
      </c>
      <c r="C5" t="s">
        <v>430</v>
      </c>
      <c r="D5" t="s">
        <v>803</v>
      </c>
    </row>
    <row r="6" spans="2:4" x14ac:dyDescent="0.25">
      <c r="B6" s="79" t="s">
        <v>840</v>
      </c>
      <c r="C6" s="139">
        <v>499552.27999999997</v>
      </c>
      <c r="D6" s="138">
        <v>0.89655172413793105</v>
      </c>
    </row>
    <row r="7" spans="2:4" x14ac:dyDescent="0.25">
      <c r="B7" s="79" t="s">
        <v>845</v>
      </c>
      <c r="C7" s="139">
        <v>23685</v>
      </c>
      <c r="D7" s="138">
        <v>0.10344827586206896</v>
      </c>
    </row>
    <row r="8" spans="2:4" x14ac:dyDescent="0.25">
      <c r="B8" s="79" t="s">
        <v>720</v>
      </c>
      <c r="C8" s="139">
        <v>523237.27999999997</v>
      </c>
      <c r="D8" s="138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3:H55"/>
  <sheetViews>
    <sheetView workbookViewId="0">
      <selection activeCell="C13" sqref="C13"/>
    </sheetView>
  </sheetViews>
  <sheetFormatPr defaultRowHeight="15" x14ac:dyDescent="0.25"/>
  <cols>
    <col min="1" max="1" width="19.140625" customWidth="1"/>
    <col min="2" max="2" width="21" customWidth="1"/>
    <col min="3" max="3" width="21.140625" customWidth="1"/>
    <col min="4" max="4" width="25.140625" customWidth="1"/>
    <col min="5" max="5" width="13.7109375" customWidth="1"/>
    <col min="6" max="6" width="17.7109375" bestFit="1" customWidth="1"/>
    <col min="7" max="7" width="25.85546875" style="30" bestFit="1" customWidth="1"/>
    <col min="8" max="8" width="17.7109375" style="30" bestFit="1" customWidth="1"/>
    <col min="9" max="9" width="25.85546875" bestFit="1" customWidth="1"/>
  </cols>
  <sheetData>
    <row r="3" spans="1:8" x14ac:dyDescent="0.25">
      <c r="A3" s="28" t="s">
        <v>0</v>
      </c>
      <c r="B3" s="28" t="s">
        <v>2</v>
      </c>
      <c r="C3" s="28" t="s">
        <v>7</v>
      </c>
      <c r="D3" s="28" t="s">
        <v>6</v>
      </c>
      <c r="E3" s="28" t="s">
        <v>8</v>
      </c>
      <c r="F3" s="28" t="s">
        <v>530</v>
      </c>
      <c r="G3" t="s">
        <v>430</v>
      </c>
      <c r="H3"/>
    </row>
    <row r="4" spans="1:8" x14ac:dyDescent="0.25">
      <c r="A4" t="s">
        <v>293</v>
      </c>
      <c r="B4" t="s">
        <v>840</v>
      </c>
      <c r="C4" t="s">
        <v>418</v>
      </c>
      <c r="D4" t="s">
        <v>294</v>
      </c>
      <c r="E4" s="9">
        <v>45743</v>
      </c>
      <c r="F4" s="9">
        <v>45947</v>
      </c>
      <c r="G4" s="31">
        <v>53604</v>
      </c>
      <c r="H4"/>
    </row>
    <row r="5" spans="1:8" x14ac:dyDescent="0.25">
      <c r="A5" t="s">
        <v>308</v>
      </c>
      <c r="B5" t="s">
        <v>845</v>
      </c>
      <c r="C5" t="s">
        <v>310</v>
      </c>
      <c r="D5" t="s">
        <v>309</v>
      </c>
      <c r="E5" s="9">
        <v>45748</v>
      </c>
      <c r="F5" s="9">
        <v>46843</v>
      </c>
      <c r="G5" s="31">
        <v>29500</v>
      </c>
      <c r="H5"/>
    </row>
    <row r="6" spans="1:8" x14ac:dyDescent="0.25">
      <c r="A6" t="s">
        <v>302</v>
      </c>
      <c r="B6" t="s">
        <v>840</v>
      </c>
      <c r="C6" t="s">
        <v>303</v>
      </c>
      <c r="D6" t="s">
        <v>151</v>
      </c>
      <c r="E6" s="9">
        <v>45734</v>
      </c>
      <c r="F6" s="9">
        <v>46099</v>
      </c>
      <c r="G6" s="31">
        <v>23474</v>
      </c>
      <c r="H6"/>
    </row>
    <row r="7" spans="1:8" x14ac:dyDescent="0.25">
      <c r="A7" t="s">
        <v>147</v>
      </c>
      <c r="B7" t="s">
        <v>840</v>
      </c>
      <c r="C7" t="s">
        <v>418</v>
      </c>
      <c r="D7" t="s">
        <v>184</v>
      </c>
      <c r="E7" s="9">
        <v>45743</v>
      </c>
      <c r="F7" s="9">
        <v>46407</v>
      </c>
      <c r="G7" s="31">
        <v>122605</v>
      </c>
      <c r="H7"/>
    </row>
    <row r="8" spans="1:8" x14ac:dyDescent="0.25">
      <c r="A8" t="s">
        <v>295</v>
      </c>
      <c r="B8" t="s">
        <v>840</v>
      </c>
      <c r="C8" t="s">
        <v>297</v>
      </c>
      <c r="D8" t="s">
        <v>296</v>
      </c>
      <c r="E8" s="9">
        <v>45729</v>
      </c>
      <c r="F8" s="9">
        <v>45744</v>
      </c>
      <c r="G8" s="31">
        <v>4860</v>
      </c>
      <c r="H8"/>
    </row>
    <row r="9" spans="1:8" x14ac:dyDescent="0.25">
      <c r="A9" t="s">
        <v>299</v>
      </c>
      <c r="B9" t="s">
        <v>840</v>
      </c>
      <c r="C9" t="s">
        <v>327</v>
      </c>
      <c r="D9" t="s">
        <v>300</v>
      </c>
      <c r="E9" s="9">
        <v>45743</v>
      </c>
      <c r="F9" s="9">
        <v>45743</v>
      </c>
      <c r="G9" s="31">
        <v>1990</v>
      </c>
      <c r="H9"/>
    </row>
    <row r="10" spans="1:8" x14ac:dyDescent="0.25">
      <c r="A10" t="s">
        <v>345</v>
      </c>
      <c r="B10" t="s">
        <v>840</v>
      </c>
      <c r="C10" t="s">
        <v>297</v>
      </c>
      <c r="D10" t="s">
        <v>346</v>
      </c>
      <c r="E10" s="9">
        <v>45751</v>
      </c>
      <c r="F10" s="9">
        <v>46116</v>
      </c>
      <c r="G10" s="31">
        <v>15546</v>
      </c>
      <c r="H10"/>
    </row>
    <row r="11" spans="1:8" x14ac:dyDescent="0.25">
      <c r="A11" t="s">
        <v>433</v>
      </c>
      <c r="B11" t="s">
        <v>840</v>
      </c>
      <c r="C11" t="s">
        <v>468</v>
      </c>
      <c r="D11" t="s">
        <v>467</v>
      </c>
      <c r="E11" s="9">
        <v>45764</v>
      </c>
      <c r="F11" s="9">
        <v>45786</v>
      </c>
      <c r="G11" s="31">
        <v>180470.65</v>
      </c>
      <c r="H11"/>
    </row>
    <row r="12" spans="1:8" x14ac:dyDescent="0.25">
      <c r="A12" t="s">
        <v>470</v>
      </c>
      <c r="B12" t="s">
        <v>845</v>
      </c>
      <c r="C12" t="s">
        <v>472</v>
      </c>
      <c r="D12" t="s">
        <v>471</v>
      </c>
      <c r="E12" s="9">
        <v>45744</v>
      </c>
      <c r="F12" s="9">
        <v>46109</v>
      </c>
      <c r="G12" s="31">
        <v>6500</v>
      </c>
      <c r="H12"/>
    </row>
    <row r="13" spans="1:8" x14ac:dyDescent="0.25">
      <c r="A13" t="s">
        <v>455</v>
      </c>
      <c r="B13" t="s">
        <v>840</v>
      </c>
      <c r="C13" t="s">
        <v>461</v>
      </c>
      <c r="D13" t="s">
        <v>456</v>
      </c>
      <c r="E13" s="9">
        <v>45762</v>
      </c>
      <c r="F13" s="9">
        <v>45762</v>
      </c>
      <c r="G13" s="31">
        <v>5860</v>
      </c>
      <c r="H13"/>
    </row>
    <row r="14" spans="1:8" x14ac:dyDescent="0.25">
      <c r="A14" t="s">
        <v>457</v>
      </c>
      <c r="B14" t="s">
        <v>840</v>
      </c>
      <c r="C14" t="s">
        <v>463</v>
      </c>
      <c r="D14" t="s">
        <v>458</v>
      </c>
      <c r="E14" s="9">
        <v>45762</v>
      </c>
      <c r="F14" s="9">
        <v>45762</v>
      </c>
      <c r="G14" s="31">
        <v>2247</v>
      </c>
      <c r="H14"/>
    </row>
    <row r="15" spans="1:8" x14ac:dyDescent="0.25">
      <c r="A15" t="s">
        <v>459</v>
      </c>
      <c r="B15" t="s">
        <v>840</v>
      </c>
      <c r="C15" t="s">
        <v>507</v>
      </c>
      <c r="D15" t="s">
        <v>460</v>
      </c>
      <c r="E15" s="9">
        <v>45763</v>
      </c>
      <c r="F15" s="9">
        <v>45763</v>
      </c>
      <c r="G15" s="31">
        <v>7180.8</v>
      </c>
      <c r="H15"/>
    </row>
    <row r="16" spans="1:8" x14ac:dyDescent="0.25">
      <c r="A16" t="s">
        <v>525</v>
      </c>
      <c r="B16" t="s">
        <v>840</v>
      </c>
      <c r="C16" t="s">
        <v>507</v>
      </c>
      <c r="D16" t="s">
        <v>526</v>
      </c>
      <c r="E16" s="9">
        <v>45786</v>
      </c>
      <c r="F16" s="9">
        <v>45786</v>
      </c>
      <c r="G16" s="31">
        <v>19000</v>
      </c>
      <c r="H16"/>
    </row>
    <row r="17" spans="1:8" x14ac:dyDescent="0.25">
      <c r="A17" t="s">
        <v>519</v>
      </c>
      <c r="B17" t="s">
        <v>840</v>
      </c>
      <c r="C17" t="s">
        <v>520</v>
      </c>
      <c r="D17" t="s">
        <v>777</v>
      </c>
      <c r="E17" s="9">
        <v>45763</v>
      </c>
      <c r="F17" s="9">
        <v>47589</v>
      </c>
      <c r="G17" s="31">
        <v>5900000</v>
      </c>
      <c r="H17"/>
    </row>
    <row r="18" spans="1:8" x14ac:dyDescent="0.25">
      <c r="A18" t="s">
        <v>531</v>
      </c>
      <c r="B18" t="s">
        <v>840</v>
      </c>
      <c r="C18" t="s">
        <v>533</v>
      </c>
      <c r="D18" t="s">
        <v>532</v>
      </c>
      <c r="E18" s="9">
        <v>45803</v>
      </c>
      <c r="F18" s="9">
        <v>45803</v>
      </c>
      <c r="G18" s="31">
        <v>8250</v>
      </c>
      <c r="H18"/>
    </row>
    <row r="19" spans="1:8" x14ac:dyDescent="0.25">
      <c r="A19" t="s">
        <v>542</v>
      </c>
      <c r="B19" t="s">
        <v>840</v>
      </c>
      <c r="C19" t="s">
        <v>545</v>
      </c>
      <c r="D19" t="s">
        <v>543</v>
      </c>
      <c r="E19" s="9">
        <v>45817</v>
      </c>
      <c r="F19" s="9">
        <v>45817</v>
      </c>
      <c r="G19" s="31">
        <v>10545</v>
      </c>
      <c r="H19"/>
    </row>
    <row r="20" spans="1:8" x14ac:dyDescent="0.25">
      <c r="A20" t="s">
        <v>547</v>
      </c>
      <c r="B20" t="s">
        <v>840</v>
      </c>
      <c r="C20" t="s">
        <v>549</v>
      </c>
      <c r="D20" t="s">
        <v>548</v>
      </c>
      <c r="E20" s="9">
        <v>45817</v>
      </c>
      <c r="F20" s="9">
        <v>45818</v>
      </c>
      <c r="G20" s="31">
        <v>14700</v>
      </c>
      <c r="H20"/>
    </row>
    <row r="21" spans="1:8" x14ac:dyDescent="0.25">
      <c r="A21" t="s">
        <v>563</v>
      </c>
      <c r="B21" t="s">
        <v>840</v>
      </c>
      <c r="C21" t="s">
        <v>565</v>
      </c>
      <c r="D21" t="s">
        <v>564</v>
      </c>
      <c r="E21" s="9">
        <v>45862</v>
      </c>
      <c r="F21" s="9">
        <v>46022</v>
      </c>
      <c r="G21" s="31">
        <v>109865.44</v>
      </c>
      <c r="H21"/>
    </row>
    <row r="22" spans="1:8" x14ac:dyDescent="0.25">
      <c r="A22" t="s">
        <v>558</v>
      </c>
      <c r="B22" t="s">
        <v>840</v>
      </c>
      <c r="C22" t="s">
        <v>561</v>
      </c>
      <c r="D22" t="s">
        <v>559</v>
      </c>
      <c r="E22" s="9">
        <v>45842</v>
      </c>
      <c r="F22" s="9">
        <v>45842</v>
      </c>
      <c r="G22" s="31">
        <v>2100</v>
      </c>
      <c r="H22"/>
    </row>
    <row r="23" spans="1:8" x14ac:dyDescent="0.25">
      <c r="A23" t="s">
        <v>597</v>
      </c>
      <c r="B23" t="s">
        <v>840</v>
      </c>
      <c r="C23" t="s">
        <v>599</v>
      </c>
      <c r="D23" t="s">
        <v>598</v>
      </c>
      <c r="E23" s="9">
        <v>45869</v>
      </c>
      <c r="F23" s="9">
        <v>46022</v>
      </c>
      <c r="G23" s="31">
        <v>23350</v>
      </c>
      <c r="H23"/>
    </row>
    <row r="24" spans="1:8" x14ac:dyDescent="0.25">
      <c r="A24" t="s">
        <v>601</v>
      </c>
      <c r="B24" t="s">
        <v>840</v>
      </c>
      <c r="C24" t="s">
        <v>603</v>
      </c>
      <c r="D24" t="s">
        <v>630</v>
      </c>
      <c r="E24" s="9">
        <v>45874</v>
      </c>
      <c r="F24" s="9">
        <v>45874</v>
      </c>
      <c r="G24" s="31">
        <v>16605</v>
      </c>
      <c r="H24"/>
    </row>
    <row r="25" spans="1:8" x14ac:dyDescent="0.25">
      <c r="A25" t="s">
        <v>614</v>
      </c>
      <c r="B25" t="s">
        <v>840</v>
      </c>
      <c r="C25" t="s">
        <v>395</v>
      </c>
      <c r="D25" t="s">
        <v>615</v>
      </c>
      <c r="E25" s="9">
        <v>45888</v>
      </c>
      <c r="F25" s="9">
        <v>45888</v>
      </c>
      <c r="G25" s="31">
        <v>26800</v>
      </c>
      <c r="H25"/>
    </row>
    <row r="26" spans="1:8" x14ac:dyDescent="0.25">
      <c r="A26" t="s">
        <v>646</v>
      </c>
      <c r="B26" t="s">
        <v>840</v>
      </c>
      <c r="C26" t="s">
        <v>367</v>
      </c>
      <c r="D26" t="s">
        <v>647</v>
      </c>
      <c r="E26" s="9">
        <v>45905</v>
      </c>
      <c r="F26" s="9">
        <v>45905</v>
      </c>
      <c r="G26" s="31">
        <v>11090</v>
      </c>
      <c r="H26"/>
    </row>
    <row r="27" spans="1:8" x14ac:dyDescent="0.25">
      <c r="A27" t="s">
        <v>648</v>
      </c>
      <c r="B27" t="s">
        <v>840</v>
      </c>
      <c r="C27" t="s">
        <v>650</v>
      </c>
      <c r="D27" t="s">
        <v>649</v>
      </c>
      <c r="E27" s="9">
        <v>45910</v>
      </c>
      <c r="F27" s="9">
        <v>45910</v>
      </c>
      <c r="G27" s="31">
        <v>14840</v>
      </c>
      <c r="H27"/>
    </row>
    <row r="28" spans="1:8" x14ac:dyDescent="0.25">
      <c r="A28" t="s">
        <v>651</v>
      </c>
      <c r="B28" t="s">
        <v>840</v>
      </c>
      <c r="C28" t="s">
        <v>653</v>
      </c>
      <c r="D28" t="s">
        <v>652</v>
      </c>
      <c r="E28" s="9">
        <v>45910</v>
      </c>
      <c r="F28" s="9">
        <v>45910</v>
      </c>
      <c r="G28" s="31">
        <v>13560</v>
      </c>
      <c r="H28"/>
    </row>
    <row r="29" spans="1:8" x14ac:dyDescent="0.25">
      <c r="A29" t="s">
        <v>656</v>
      </c>
      <c r="B29" t="s">
        <v>840</v>
      </c>
      <c r="C29" t="s">
        <v>665</v>
      </c>
      <c r="D29" t="s">
        <v>659</v>
      </c>
      <c r="E29" s="9">
        <v>45911</v>
      </c>
      <c r="F29" s="9">
        <v>45911</v>
      </c>
      <c r="G29" s="31">
        <v>19508.830000000002</v>
      </c>
      <c r="H29"/>
    </row>
    <row r="30" spans="1:8" x14ac:dyDescent="0.25">
      <c r="A30" t="s">
        <v>657</v>
      </c>
      <c r="B30" t="s">
        <v>840</v>
      </c>
      <c r="C30" t="s">
        <v>667</v>
      </c>
      <c r="D30" t="s">
        <v>658</v>
      </c>
      <c r="E30" s="9">
        <v>45922</v>
      </c>
      <c r="F30" s="9">
        <v>45922</v>
      </c>
      <c r="G30" s="31">
        <v>10800</v>
      </c>
      <c r="H30"/>
    </row>
    <row r="31" spans="1:8" x14ac:dyDescent="0.25">
      <c r="A31" t="s">
        <v>670</v>
      </c>
      <c r="B31" t="s">
        <v>840</v>
      </c>
      <c r="C31" t="s">
        <v>674</v>
      </c>
      <c r="D31" t="s">
        <v>671</v>
      </c>
      <c r="E31" s="9">
        <v>45916</v>
      </c>
      <c r="F31" s="9">
        <v>45916</v>
      </c>
      <c r="G31" s="31">
        <v>4000</v>
      </c>
      <c r="H31"/>
    </row>
    <row r="32" spans="1:8" x14ac:dyDescent="0.25">
      <c r="A32" t="s">
        <v>701</v>
      </c>
      <c r="B32" t="s">
        <v>840</v>
      </c>
      <c r="C32" t="s">
        <v>358</v>
      </c>
      <c r="D32" t="s">
        <v>702</v>
      </c>
      <c r="E32" s="9">
        <v>45947</v>
      </c>
      <c r="F32" s="9">
        <v>45947</v>
      </c>
      <c r="G32" s="31">
        <v>2775</v>
      </c>
      <c r="H32"/>
    </row>
    <row r="33" spans="7:8" x14ac:dyDescent="0.25">
      <c r="G33"/>
      <c r="H33"/>
    </row>
    <row r="34" spans="7:8" x14ac:dyDescent="0.25">
      <c r="G34"/>
      <c r="H34"/>
    </row>
    <row r="35" spans="7:8" x14ac:dyDescent="0.25">
      <c r="G35"/>
      <c r="H35"/>
    </row>
    <row r="36" spans="7:8" x14ac:dyDescent="0.25">
      <c r="G36"/>
      <c r="H36"/>
    </row>
    <row r="37" spans="7:8" x14ac:dyDescent="0.25">
      <c r="G37"/>
      <c r="H37"/>
    </row>
    <row r="38" spans="7:8" x14ac:dyDescent="0.25">
      <c r="G38"/>
      <c r="H38"/>
    </row>
    <row r="39" spans="7:8" x14ac:dyDescent="0.25">
      <c r="G39"/>
      <c r="H39"/>
    </row>
    <row r="40" spans="7:8" x14ac:dyDescent="0.25">
      <c r="G40"/>
      <c r="H40"/>
    </row>
    <row r="41" spans="7:8" x14ac:dyDescent="0.25">
      <c r="G41"/>
      <c r="H41"/>
    </row>
    <row r="42" spans="7:8" x14ac:dyDescent="0.25">
      <c r="G42"/>
      <c r="H42"/>
    </row>
    <row r="43" spans="7:8" x14ac:dyDescent="0.25">
      <c r="G43"/>
      <c r="H43"/>
    </row>
    <row r="44" spans="7:8" x14ac:dyDescent="0.25">
      <c r="G44"/>
      <c r="H44"/>
    </row>
    <row r="45" spans="7:8" x14ac:dyDescent="0.25">
      <c r="G45"/>
      <c r="H45"/>
    </row>
    <row r="46" spans="7:8" x14ac:dyDescent="0.25">
      <c r="G46"/>
      <c r="H46"/>
    </row>
    <row r="47" spans="7:8" x14ac:dyDescent="0.25">
      <c r="G47"/>
      <c r="H47"/>
    </row>
    <row r="48" spans="7:8" x14ac:dyDescent="0.25">
      <c r="G48"/>
      <c r="H48"/>
    </row>
    <row r="49" spans="7:8" x14ac:dyDescent="0.25">
      <c r="G49"/>
      <c r="H49"/>
    </row>
    <row r="50" spans="7:8" x14ac:dyDescent="0.25">
      <c r="G50"/>
      <c r="H50"/>
    </row>
    <row r="51" spans="7:8" x14ac:dyDescent="0.25">
      <c r="G51"/>
      <c r="H51"/>
    </row>
    <row r="52" spans="7:8" x14ac:dyDescent="0.25">
      <c r="G52"/>
      <c r="H52"/>
    </row>
    <row r="53" spans="7:8" x14ac:dyDescent="0.25">
      <c r="G53"/>
      <c r="H53"/>
    </row>
    <row r="54" spans="7:8" x14ac:dyDescent="0.25">
      <c r="G54"/>
      <c r="H54"/>
    </row>
    <row r="55" spans="7:8" x14ac:dyDescent="0.25">
      <c r="G55"/>
      <c r="H55"/>
    </row>
  </sheetData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B1:Q37"/>
  <sheetViews>
    <sheetView showGridLines="0" topLeftCell="D1" zoomScaleNormal="100" workbookViewId="0">
      <selection activeCell="H10" sqref="H10"/>
    </sheetView>
  </sheetViews>
  <sheetFormatPr defaultRowHeight="15" x14ac:dyDescent="0.25"/>
  <cols>
    <col min="1" max="1" width="3.7109375" customWidth="1"/>
    <col min="2" max="2" width="10.42578125" customWidth="1"/>
    <col min="3" max="3" width="11.7109375" customWidth="1"/>
    <col min="4" max="4" width="18.85546875" customWidth="1"/>
    <col min="5" max="5" width="19" customWidth="1"/>
    <col min="6" max="6" width="17.28515625" customWidth="1"/>
    <col min="7" max="7" width="17" customWidth="1"/>
    <col min="8" max="8" width="18.140625" customWidth="1"/>
    <col min="9" max="9" width="10.28515625" customWidth="1"/>
    <col min="10" max="10" width="14" customWidth="1"/>
    <col min="11" max="11" width="11" customWidth="1"/>
    <col min="12" max="12" width="12.85546875" customWidth="1"/>
    <col min="13" max="13" width="12.42578125" style="30" customWidth="1"/>
    <col min="14" max="14" width="5.7109375" style="30" customWidth="1"/>
    <col min="15" max="15" width="8.5703125" customWidth="1"/>
    <col min="16" max="16" width="16.140625" style="30" customWidth="1"/>
    <col min="17" max="17" width="14.85546875" customWidth="1"/>
    <col min="18" max="18" width="2.42578125" customWidth="1"/>
  </cols>
  <sheetData>
    <row r="1" spans="2:17" x14ac:dyDescent="0.25">
      <c r="B1" t="s">
        <v>912</v>
      </c>
      <c r="C1">
        <v>925150</v>
      </c>
      <c r="E1" t="s">
        <v>913</v>
      </c>
      <c r="F1">
        <v>21172</v>
      </c>
      <c r="I1" s="30" t="s">
        <v>640</v>
      </c>
    </row>
    <row r="2" spans="2:17" ht="21" x14ac:dyDescent="0.35">
      <c r="B2" s="55" t="s">
        <v>883</v>
      </c>
      <c r="I2" s="30" t="s">
        <v>633</v>
      </c>
      <c r="J2" s="30" t="s">
        <v>634</v>
      </c>
      <c r="K2" t="s">
        <v>635</v>
      </c>
      <c r="N2" s="30">
        <v>21172</v>
      </c>
      <c r="O2" t="s">
        <v>784</v>
      </c>
    </row>
    <row r="3" spans="2:17" x14ac:dyDescent="0.25">
      <c r="B3" t="s">
        <v>516</v>
      </c>
      <c r="I3" s="30" t="s">
        <v>636</v>
      </c>
      <c r="J3" s="30" t="s">
        <v>637</v>
      </c>
      <c r="K3" t="s">
        <v>638</v>
      </c>
    </row>
    <row r="4" spans="2:17" x14ac:dyDescent="0.25">
      <c r="B4" t="s">
        <v>911</v>
      </c>
      <c r="K4" s="136"/>
    </row>
    <row r="5" spans="2:17" ht="42" customHeight="1" x14ac:dyDescent="0.25">
      <c r="B5" s="28" t="s">
        <v>5</v>
      </c>
      <c r="C5" s="28" t="s">
        <v>19</v>
      </c>
      <c r="D5" s="28" t="s">
        <v>0</v>
      </c>
      <c r="E5" s="28" t="s">
        <v>436</v>
      </c>
      <c r="F5" s="28" t="s">
        <v>435</v>
      </c>
      <c r="G5" s="28" t="s">
        <v>7</v>
      </c>
      <c r="H5" s="28" t="s">
        <v>62</v>
      </c>
      <c r="I5" s="28" t="s">
        <v>6</v>
      </c>
      <c r="J5" s="28" t="s">
        <v>20</v>
      </c>
      <c r="K5" s="28" t="s">
        <v>2</v>
      </c>
      <c r="L5" s="28" t="s">
        <v>8</v>
      </c>
      <c r="M5" s="28" t="s">
        <v>530</v>
      </c>
      <c r="N5" s="28" t="s">
        <v>915</v>
      </c>
      <c r="O5" s="28" t="s">
        <v>511</v>
      </c>
      <c r="P5" s="28" t="s">
        <v>992</v>
      </c>
      <c r="Q5" s="6" t="s">
        <v>510</v>
      </c>
    </row>
    <row r="6" spans="2:17" x14ac:dyDescent="0.25">
      <c r="M6"/>
      <c r="N6"/>
      <c r="P6"/>
    </row>
    <row r="7" spans="2:17" x14ac:dyDescent="0.25">
      <c r="M7"/>
      <c r="N7"/>
      <c r="P7"/>
    </row>
    <row r="8" spans="2:17" x14ac:dyDescent="0.25">
      <c r="M8"/>
      <c r="N8"/>
      <c r="P8"/>
    </row>
    <row r="9" spans="2:17" x14ac:dyDescent="0.25">
      <c r="M9"/>
      <c r="N9"/>
      <c r="P9"/>
    </row>
    <row r="10" spans="2:17" x14ac:dyDescent="0.25">
      <c r="M10"/>
      <c r="N10"/>
      <c r="P10"/>
    </row>
    <row r="11" spans="2:17" x14ac:dyDescent="0.25">
      <c r="M11"/>
      <c r="N11"/>
      <c r="P11"/>
    </row>
    <row r="12" spans="2:17" x14ac:dyDescent="0.25">
      <c r="M12"/>
      <c r="N12"/>
      <c r="P12"/>
    </row>
    <row r="13" spans="2:17" x14ac:dyDescent="0.25">
      <c r="M13"/>
      <c r="N13"/>
      <c r="P13"/>
    </row>
    <row r="14" spans="2:17" x14ac:dyDescent="0.25">
      <c r="M14"/>
      <c r="N14"/>
      <c r="P14"/>
    </row>
    <row r="15" spans="2:17" x14ac:dyDescent="0.25">
      <c r="M15"/>
      <c r="N15"/>
      <c r="P15"/>
    </row>
    <row r="16" spans="2:17" x14ac:dyDescent="0.25">
      <c r="M16"/>
      <c r="N16"/>
      <c r="P16"/>
    </row>
    <row r="17" spans="2:17" x14ac:dyDescent="0.25">
      <c r="M17"/>
      <c r="N17"/>
      <c r="P17"/>
    </row>
    <row r="18" spans="2:17" x14ac:dyDescent="0.25">
      <c r="M18"/>
      <c r="N18"/>
      <c r="P18"/>
    </row>
    <row r="19" spans="2:17" x14ac:dyDescent="0.25">
      <c r="M19"/>
      <c r="N19"/>
      <c r="P19"/>
    </row>
    <row r="20" spans="2:17" x14ac:dyDescent="0.25">
      <c r="M20"/>
      <c r="N20"/>
      <c r="P20"/>
    </row>
    <row r="21" spans="2:17" x14ac:dyDescent="0.25">
      <c r="M21"/>
      <c r="N21"/>
      <c r="P21"/>
    </row>
    <row r="22" spans="2:17" x14ac:dyDescent="0.25">
      <c r="M22"/>
      <c r="N22"/>
      <c r="P22"/>
    </row>
    <row r="23" spans="2:17" x14ac:dyDescent="0.25">
      <c r="M23"/>
      <c r="N23"/>
      <c r="P23"/>
    </row>
    <row r="24" spans="2:17" x14ac:dyDescent="0.25">
      <c r="M24"/>
      <c r="N24"/>
      <c r="P24"/>
    </row>
    <row r="25" spans="2:17" x14ac:dyDescent="0.25">
      <c r="M25"/>
      <c r="N25"/>
      <c r="P25"/>
    </row>
    <row r="26" spans="2:17" x14ac:dyDescent="0.25">
      <c r="M26"/>
      <c r="N26"/>
      <c r="P26"/>
    </row>
    <row r="27" spans="2:17" x14ac:dyDescent="0.25">
      <c r="M27"/>
      <c r="N27"/>
      <c r="P27"/>
    </row>
    <row r="28" spans="2:17" s="60" customFormat="1" x14ac:dyDescent="0.25"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</row>
    <row r="29" spans="2:17" s="60" customFormat="1" x14ac:dyDescent="0.25"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</row>
    <row r="30" spans="2:17" s="60" customFormat="1" x14ac:dyDescent="0.25"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</row>
    <row r="31" spans="2:17" s="60" customFormat="1" x14ac:dyDescent="0.25"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</row>
    <row r="32" spans="2:17" s="60" customFormat="1" x14ac:dyDescent="0.25"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</row>
    <row r="33" spans="2:17" s="60" customFormat="1" x14ac:dyDescent="0.25"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</row>
    <row r="34" spans="2:17" x14ac:dyDescent="0.25">
      <c r="M34"/>
      <c r="N34"/>
      <c r="P34"/>
    </row>
    <row r="35" spans="2:17" x14ac:dyDescent="0.25">
      <c r="P35"/>
    </row>
    <row r="36" spans="2:17" x14ac:dyDescent="0.25">
      <c r="P36"/>
    </row>
    <row r="37" spans="2:17" x14ac:dyDescent="0.25">
      <c r="P37"/>
    </row>
  </sheetData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4:L33"/>
  <sheetViews>
    <sheetView showGridLines="0" workbookViewId="0">
      <selection activeCell="C23" sqref="C23"/>
    </sheetView>
  </sheetViews>
  <sheetFormatPr defaultRowHeight="15" x14ac:dyDescent="0.25"/>
  <cols>
    <col min="1" max="1" width="4" customWidth="1"/>
    <col min="2" max="2" width="21.140625" customWidth="1"/>
    <col min="3" max="3" width="22.28515625" customWidth="1"/>
    <col min="4" max="4" width="19.85546875" customWidth="1"/>
    <col min="5" max="5" width="18.42578125" customWidth="1"/>
    <col min="6" max="6" width="15.85546875" customWidth="1"/>
    <col min="7" max="7" width="13" customWidth="1"/>
    <col min="8" max="8" width="13.7109375" customWidth="1"/>
    <col min="9" max="9" width="77.7109375" bestFit="1" customWidth="1"/>
    <col min="10" max="10" width="25.85546875" bestFit="1" customWidth="1"/>
    <col min="11" max="11" width="77.7109375" bestFit="1" customWidth="1"/>
    <col min="12" max="13" width="25.85546875" bestFit="1" customWidth="1"/>
  </cols>
  <sheetData>
    <row r="4" spans="2:10" x14ac:dyDescent="0.25">
      <c r="C4" s="60" t="s">
        <v>891</v>
      </c>
      <c r="G4" s="60" t="s">
        <v>539</v>
      </c>
    </row>
    <row r="5" spans="2:10" x14ac:dyDescent="0.25">
      <c r="B5" s="28" t="s">
        <v>0</v>
      </c>
      <c r="C5" s="28" t="s">
        <v>435</v>
      </c>
      <c r="D5" s="28" t="s">
        <v>2</v>
      </c>
      <c r="E5" s="28" t="s">
        <v>8</v>
      </c>
      <c r="F5" s="28" t="s">
        <v>530</v>
      </c>
      <c r="G5" s="29" t="s">
        <v>20</v>
      </c>
      <c r="H5" s="28" t="s">
        <v>6</v>
      </c>
      <c r="I5" s="28" t="s">
        <v>7</v>
      </c>
      <c r="J5" t="s">
        <v>430</v>
      </c>
    </row>
    <row r="6" spans="2:10" x14ac:dyDescent="0.25">
      <c r="B6" t="s">
        <v>725</v>
      </c>
      <c r="C6" t="s">
        <v>445</v>
      </c>
      <c r="D6" t="s">
        <v>840</v>
      </c>
      <c r="E6" s="9">
        <v>46036</v>
      </c>
      <c r="F6" s="9">
        <v>46401</v>
      </c>
      <c r="G6" t="s">
        <v>28</v>
      </c>
      <c r="H6" t="s">
        <v>726</v>
      </c>
      <c r="I6" t="s">
        <v>727</v>
      </c>
      <c r="J6" s="31">
        <v>6353.64</v>
      </c>
    </row>
    <row r="7" spans="2:10" x14ac:dyDescent="0.25">
      <c r="B7" t="s">
        <v>762</v>
      </c>
      <c r="C7" t="s">
        <v>673</v>
      </c>
      <c r="D7" t="s">
        <v>845</v>
      </c>
      <c r="E7" s="9">
        <v>46036</v>
      </c>
      <c r="F7" s="9">
        <v>46053</v>
      </c>
      <c r="G7" t="s">
        <v>23</v>
      </c>
      <c r="H7" t="s">
        <v>764</v>
      </c>
      <c r="I7" t="s">
        <v>814</v>
      </c>
      <c r="J7" s="31">
        <v>4188.1000000000004</v>
      </c>
    </row>
    <row r="8" spans="2:10" x14ac:dyDescent="0.25">
      <c r="B8" t="s">
        <v>765</v>
      </c>
      <c r="C8" t="s">
        <v>445</v>
      </c>
      <c r="D8" t="s">
        <v>840</v>
      </c>
      <c r="E8" s="9">
        <v>46038</v>
      </c>
      <c r="F8" s="9">
        <v>47864</v>
      </c>
      <c r="G8" t="s">
        <v>28</v>
      </c>
      <c r="H8" t="s">
        <v>766</v>
      </c>
      <c r="I8" t="s">
        <v>768</v>
      </c>
      <c r="J8" s="31">
        <v>1200000</v>
      </c>
    </row>
    <row r="9" spans="2:10" x14ac:dyDescent="0.25">
      <c r="B9" t="s">
        <v>796</v>
      </c>
      <c r="C9" t="s">
        <v>673</v>
      </c>
      <c r="D9" t="s">
        <v>840</v>
      </c>
      <c r="E9" s="9">
        <v>46048</v>
      </c>
      <c r="F9" s="9">
        <v>46048</v>
      </c>
      <c r="G9" t="s">
        <v>28</v>
      </c>
      <c r="H9" t="s">
        <v>802</v>
      </c>
      <c r="I9" t="s">
        <v>799</v>
      </c>
      <c r="J9" s="31">
        <v>2650</v>
      </c>
    </row>
    <row r="10" spans="2:10" x14ac:dyDescent="0.25">
      <c r="B10" t="s">
        <v>797</v>
      </c>
      <c r="C10" t="s">
        <v>673</v>
      </c>
      <c r="D10" t="s">
        <v>840</v>
      </c>
      <c r="E10" s="9">
        <v>46057</v>
      </c>
      <c r="F10" s="9">
        <v>46057</v>
      </c>
      <c r="G10" t="s">
        <v>28</v>
      </c>
      <c r="H10" t="s">
        <v>798</v>
      </c>
      <c r="I10" t="s">
        <v>395</v>
      </c>
      <c r="J10" s="31">
        <v>29900</v>
      </c>
    </row>
    <row r="11" spans="2:10" x14ac:dyDescent="0.25">
      <c r="B11" t="s">
        <v>842</v>
      </c>
      <c r="C11" t="s">
        <v>673</v>
      </c>
      <c r="D11" t="s">
        <v>840</v>
      </c>
      <c r="E11" s="9">
        <v>46049</v>
      </c>
      <c r="F11" s="9">
        <v>46049</v>
      </c>
      <c r="G11" t="s">
        <v>28</v>
      </c>
      <c r="H11" t="s">
        <v>841</v>
      </c>
      <c r="I11" t="s">
        <v>358</v>
      </c>
      <c r="J11" s="31">
        <v>5550</v>
      </c>
    </row>
    <row r="12" spans="2:10" x14ac:dyDescent="0.25">
      <c r="B12" t="s">
        <v>850</v>
      </c>
      <c r="C12" t="s">
        <v>673</v>
      </c>
      <c r="D12" t="s">
        <v>840</v>
      </c>
      <c r="E12" s="9">
        <v>46059</v>
      </c>
      <c r="F12" s="9">
        <v>46059</v>
      </c>
      <c r="G12" t="s">
        <v>28</v>
      </c>
      <c r="H12" t="s">
        <v>851</v>
      </c>
      <c r="I12" t="s">
        <v>852</v>
      </c>
      <c r="J12" s="31">
        <v>11172</v>
      </c>
    </row>
    <row r="13" spans="2:10" x14ac:dyDescent="0.25">
      <c r="B13" t="s">
        <v>854</v>
      </c>
      <c r="C13" t="s">
        <v>673</v>
      </c>
      <c r="D13" t="s">
        <v>840</v>
      </c>
      <c r="E13" s="9">
        <v>46062</v>
      </c>
      <c r="F13" s="9">
        <v>46062</v>
      </c>
      <c r="G13" t="s">
        <v>28</v>
      </c>
      <c r="H13" t="s">
        <v>855</v>
      </c>
      <c r="I13" t="s">
        <v>856</v>
      </c>
      <c r="J13" s="31">
        <v>4740</v>
      </c>
    </row>
    <row r="14" spans="2:10" x14ac:dyDescent="0.25">
      <c r="B14" t="s">
        <v>863</v>
      </c>
      <c r="C14" t="s">
        <v>673</v>
      </c>
      <c r="D14" t="s">
        <v>840</v>
      </c>
      <c r="E14" s="9">
        <v>46071</v>
      </c>
      <c r="F14" s="9">
        <v>46071</v>
      </c>
      <c r="G14" t="s">
        <v>28</v>
      </c>
      <c r="H14" t="s">
        <v>864</v>
      </c>
      <c r="I14" t="s">
        <v>358</v>
      </c>
      <c r="J14" s="31">
        <v>5000</v>
      </c>
    </row>
    <row r="15" spans="2:10" x14ac:dyDescent="0.25">
      <c r="B15" t="s">
        <v>865</v>
      </c>
      <c r="C15" t="s">
        <v>673</v>
      </c>
      <c r="D15" t="s">
        <v>840</v>
      </c>
      <c r="E15" s="9">
        <v>46071</v>
      </c>
      <c r="F15" s="9">
        <v>46071</v>
      </c>
      <c r="G15" t="s">
        <v>28</v>
      </c>
      <c r="H15" t="s">
        <v>867</v>
      </c>
      <c r="I15" t="s">
        <v>868</v>
      </c>
      <c r="J15" s="31">
        <v>3450</v>
      </c>
    </row>
    <row r="16" spans="2:10" x14ac:dyDescent="0.25">
      <c r="B16" t="s">
        <v>866</v>
      </c>
      <c r="C16" t="s">
        <v>673</v>
      </c>
      <c r="D16" t="s">
        <v>840</v>
      </c>
      <c r="E16" s="9">
        <v>46071</v>
      </c>
      <c r="F16" s="9">
        <v>46071</v>
      </c>
      <c r="G16" t="s">
        <v>28</v>
      </c>
      <c r="H16" t="s">
        <v>869</v>
      </c>
      <c r="I16" t="s">
        <v>868</v>
      </c>
      <c r="J16" s="31">
        <v>999.5</v>
      </c>
    </row>
    <row r="17" spans="1:12" x14ac:dyDescent="0.25">
      <c r="B17" t="s">
        <v>876</v>
      </c>
      <c r="C17" t="s">
        <v>673</v>
      </c>
      <c r="D17" t="s">
        <v>840</v>
      </c>
      <c r="E17" s="9">
        <v>46076</v>
      </c>
      <c r="F17" s="9">
        <v>46076</v>
      </c>
      <c r="G17" t="s">
        <v>28</v>
      </c>
      <c r="H17" t="s">
        <v>877</v>
      </c>
      <c r="I17" t="s">
        <v>878</v>
      </c>
      <c r="J17" s="31">
        <v>10500</v>
      </c>
    </row>
    <row r="18" spans="1:12" x14ac:dyDescent="0.25">
      <c r="B18" t="s">
        <v>885</v>
      </c>
      <c r="C18" t="s">
        <v>673</v>
      </c>
      <c r="D18" t="s">
        <v>840</v>
      </c>
      <c r="E18" s="9">
        <v>46097</v>
      </c>
      <c r="F18" s="9">
        <v>46097</v>
      </c>
      <c r="G18" t="s">
        <v>28</v>
      </c>
      <c r="H18" t="s">
        <v>890</v>
      </c>
      <c r="I18" t="s">
        <v>603</v>
      </c>
      <c r="J18" s="31">
        <v>15594</v>
      </c>
    </row>
    <row r="19" spans="1:12" s="60" customFormat="1" x14ac:dyDescent="0.25">
      <c r="B19" t="s">
        <v>923</v>
      </c>
      <c r="C19" t="s">
        <v>673</v>
      </c>
      <c r="D19" t="s">
        <v>840</v>
      </c>
      <c r="E19" s="9">
        <v>46093</v>
      </c>
      <c r="F19" s="9">
        <v>46093</v>
      </c>
      <c r="G19" t="s">
        <v>28</v>
      </c>
      <c r="H19" t="s">
        <v>886</v>
      </c>
      <c r="I19" t="s">
        <v>887</v>
      </c>
      <c r="J19" s="31">
        <v>7388.3</v>
      </c>
      <c r="K19"/>
      <c r="L19"/>
    </row>
    <row r="21" spans="1:12" x14ac:dyDescent="0.25">
      <c r="A21" t="s">
        <v>688</v>
      </c>
    </row>
    <row r="28" spans="1:12" s="93" customFormat="1" x14ac:dyDescent="0.25">
      <c r="B28"/>
      <c r="C28"/>
      <c r="D28"/>
      <c r="E28"/>
      <c r="F28"/>
      <c r="G28"/>
      <c r="H28"/>
      <c r="I28"/>
      <c r="J28"/>
      <c r="K28"/>
      <c r="L28"/>
    </row>
    <row r="29" spans="1:12" s="93" customFormat="1" x14ac:dyDescent="0.25">
      <c r="B29"/>
      <c r="C29"/>
      <c r="D29"/>
      <c r="E29"/>
      <c r="F29"/>
      <c r="G29"/>
      <c r="H29"/>
      <c r="I29"/>
      <c r="J29"/>
      <c r="K29"/>
      <c r="L29"/>
    </row>
    <row r="30" spans="1:12" s="93" customFormat="1" x14ac:dyDescent="0.25">
      <c r="B30"/>
      <c r="C30"/>
      <c r="D30"/>
      <c r="E30"/>
      <c r="F30"/>
      <c r="G30"/>
      <c r="H30"/>
      <c r="I30"/>
      <c r="J30"/>
      <c r="K30"/>
      <c r="L30"/>
    </row>
    <row r="31" spans="1:12" s="93" customFormat="1" x14ac:dyDescent="0.25">
      <c r="B31"/>
      <c r="C31"/>
      <c r="D31"/>
      <c r="E31"/>
      <c r="F31"/>
      <c r="G31"/>
      <c r="H31"/>
      <c r="I31"/>
      <c r="J31"/>
      <c r="K31"/>
      <c r="L31"/>
    </row>
    <row r="33" spans="1:1" x14ac:dyDescent="0.25">
      <c r="A33" t="s">
        <v>688</v>
      </c>
    </row>
  </sheetData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F4142-0DA5-4122-9169-C26A7D2B7BA2}">
  <sheetPr>
    <tabColor rgb="FFFFFF00"/>
  </sheetPr>
  <dimension ref="A1:Q109"/>
  <sheetViews>
    <sheetView showGridLines="0" topLeftCell="A12" zoomScale="70" zoomScaleNormal="70" workbookViewId="0">
      <selection activeCell="G5" sqref="G5"/>
    </sheetView>
  </sheetViews>
  <sheetFormatPr defaultRowHeight="15" x14ac:dyDescent="0.25"/>
  <cols>
    <col min="1" max="1" width="5" customWidth="1"/>
    <col min="2" max="2" width="18.85546875" style="33" customWidth="1"/>
    <col min="3" max="3" width="16.140625" style="33" customWidth="1"/>
    <col min="4" max="6" width="19.28515625" style="33" customWidth="1"/>
    <col min="7" max="7" width="20" style="33" customWidth="1"/>
    <col min="8" max="8" width="15.28515625" style="33" customWidth="1"/>
    <col min="9" max="9" width="22.85546875" style="33" customWidth="1"/>
    <col min="10" max="10" width="29.42578125" style="33" customWidth="1"/>
    <col min="11" max="11" width="22.5703125" style="43" bestFit="1" customWidth="1"/>
    <col min="12" max="12" width="24.28515625" style="33" customWidth="1"/>
    <col min="13" max="13" width="40.7109375" style="33" customWidth="1"/>
    <col min="14" max="16" width="255.7109375" style="33" customWidth="1"/>
    <col min="17" max="17" width="47.42578125" customWidth="1"/>
    <col min="18" max="18" width="56.85546875" customWidth="1"/>
  </cols>
  <sheetData>
    <row r="1" spans="1:17" x14ac:dyDescent="0.25">
      <c r="C1"/>
      <c r="D1"/>
      <c r="E1"/>
      <c r="F1"/>
      <c r="G1"/>
      <c r="H1"/>
      <c r="I1"/>
      <c r="J1"/>
      <c r="K1" s="34"/>
      <c r="L1"/>
      <c r="M1"/>
      <c r="N1"/>
      <c r="O1"/>
      <c r="P1"/>
    </row>
    <row r="2" spans="1:17" ht="15.75" x14ac:dyDescent="0.25">
      <c r="B2" s="35"/>
      <c r="C2"/>
      <c r="D2"/>
      <c r="E2"/>
      <c r="F2"/>
      <c r="G2"/>
      <c r="H2"/>
      <c r="I2"/>
      <c r="J2"/>
      <c r="K2" s="34"/>
      <c r="L2"/>
      <c r="M2"/>
      <c r="N2"/>
      <c r="O2"/>
      <c r="P2"/>
    </row>
    <row r="3" spans="1:17" ht="31.5" x14ac:dyDescent="0.5">
      <c r="B3" s="36" t="s">
        <v>884</v>
      </c>
      <c r="C3"/>
      <c r="D3"/>
      <c r="E3"/>
      <c r="F3"/>
      <c r="G3"/>
      <c r="H3"/>
      <c r="I3"/>
      <c r="J3"/>
      <c r="K3" s="34"/>
      <c r="L3"/>
      <c r="M3"/>
      <c r="N3"/>
      <c r="O3"/>
      <c r="P3"/>
    </row>
    <row r="4" spans="1:17" x14ac:dyDescent="0.25">
      <c r="B4"/>
      <c r="C4"/>
      <c r="D4"/>
      <c r="E4"/>
      <c r="F4"/>
      <c r="G4"/>
      <c r="H4"/>
      <c r="I4"/>
      <c r="J4"/>
      <c r="K4" s="34"/>
      <c r="L4"/>
      <c r="M4"/>
      <c r="N4"/>
      <c r="O4"/>
      <c r="P4"/>
    </row>
    <row r="5" spans="1:17" ht="32.25" thickBot="1" x14ac:dyDescent="0.35">
      <c r="B5" s="37" t="s">
        <v>434</v>
      </c>
      <c r="C5" s="38" t="s">
        <v>435</v>
      </c>
      <c r="D5" s="38" t="s">
        <v>436</v>
      </c>
      <c r="E5" s="38" t="s">
        <v>437</v>
      </c>
      <c r="F5" s="38" t="s">
        <v>438</v>
      </c>
      <c r="G5" s="38" t="s">
        <v>439</v>
      </c>
      <c r="H5" s="38" t="s">
        <v>440</v>
      </c>
      <c r="I5" s="38" t="s">
        <v>536</v>
      </c>
      <c r="J5" s="38" t="s">
        <v>6</v>
      </c>
      <c r="K5" s="38" t="s">
        <v>7</v>
      </c>
      <c r="L5" s="39" t="s">
        <v>441</v>
      </c>
      <c r="M5" s="180" t="s">
        <v>893</v>
      </c>
      <c r="N5"/>
      <c r="O5"/>
      <c r="P5"/>
    </row>
    <row r="6" spans="1:17" s="40" customFormat="1" ht="51.75" customHeight="1" thickBot="1" x14ac:dyDescent="0.3">
      <c r="A6" s="40">
        <v>1</v>
      </c>
      <c r="B6" s="41" t="s">
        <v>725</v>
      </c>
      <c r="C6" s="41" t="s">
        <v>445</v>
      </c>
      <c r="D6" s="41" t="s">
        <v>837</v>
      </c>
      <c r="E6" s="41" t="s">
        <v>839</v>
      </c>
      <c r="F6" s="41" t="s">
        <v>840</v>
      </c>
      <c r="G6" s="44">
        <v>46036</v>
      </c>
      <c r="H6" s="44">
        <v>46401</v>
      </c>
      <c r="I6" s="44" t="s">
        <v>28</v>
      </c>
      <c r="J6" s="41" t="s">
        <v>726</v>
      </c>
      <c r="K6" s="41" t="s">
        <v>727</v>
      </c>
      <c r="L6" s="42">
        <v>6353.64</v>
      </c>
      <c r="M6" s="40" t="str">
        <f>CONCATENATE(A6,".",D6,," ","-"," ",K6,"     ", "(","Tipo do objeto: ",Tabela1524[[#This Row],[Tipo do Objeto]],")")</f>
        <v>1.TLB-AUT-2026/00714 - SERPRO - SERVIÇO FEDERAL DE PROCESSAMENTO DE DADOS      (Tipo do objeto: Serviços)</v>
      </c>
    </row>
    <row r="7" spans="1:17" s="40" customFormat="1" ht="44.25" customHeight="1" thickBot="1" x14ac:dyDescent="0.3">
      <c r="A7" s="40">
        <v>2</v>
      </c>
      <c r="B7" s="41" t="s">
        <v>762</v>
      </c>
      <c r="C7" s="41" t="s">
        <v>673</v>
      </c>
      <c r="D7" s="41" t="s">
        <v>812</v>
      </c>
      <c r="E7" s="41" t="s">
        <v>816</v>
      </c>
      <c r="F7" s="41" t="s">
        <v>845</v>
      </c>
      <c r="G7" s="44">
        <v>46036</v>
      </c>
      <c r="H7" s="44">
        <v>46053</v>
      </c>
      <c r="I7" s="44" t="s">
        <v>23</v>
      </c>
      <c r="J7" s="41" t="s">
        <v>764</v>
      </c>
      <c r="K7" s="41" t="s">
        <v>814</v>
      </c>
      <c r="L7" s="42">
        <v>4188.1000000000004</v>
      </c>
      <c r="M7" s="40" t="str">
        <f>CONCATENATE(A7,".",D7,," ","-"," ",K7,"     ", "(","Tipo do objeto: ",Tabela1524[[#This Row],[Tipo do Objeto]],")")</f>
        <v>2.TLB-ORC-2026/00002 - G2 AR CONDICIONADO LTDA     (Tipo do objeto: Compras)</v>
      </c>
      <c r="P7" s="8"/>
      <c r="Q7" s="8"/>
    </row>
    <row r="8" spans="1:17" s="40" customFormat="1" ht="37.5" customHeight="1" thickBot="1" x14ac:dyDescent="0.3">
      <c r="A8" s="40">
        <v>3</v>
      </c>
      <c r="B8" s="41" t="s">
        <v>765</v>
      </c>
      <c r="C8" s="41" t="s">
        <v>445</v>
      </c>
      <c r="D8" s="41" t="s">
        <v>805</v>
      </c>
      <c r="E8" s="41" t="s">
        <v>807</v>
      </c>
      <c r="F8" s="41" t="s">
        <v>845</v>
      </c>
      <c r="G8" s="44">
        <v>46038</v>
      </c>
      <c r="H8" s="44">
        <v>47864</v>
      </c>
      <c r="I8" s="44" t="s">
        <v>28</v>
      </c>
      <c r="J8" s="41" t="s">
        <v>766</v>
      </c>
      <c r="K8" s="41" t="s">
        <v>768</v>
      </c>
      <c r="L8" s="42">
        <v>1200000</v>
      </c>
      <c r="M8" s="40" t="str">
        <f>CONCATENATE(A8,".",D8,," ","-"," ",K8,"     ", "(","Tipo do objeto: ",Tabela1524[[#This Row],[Tipo do Objeto]],")")</f>
        <v>3.TLB-AUT-2026/00688 - Empresa Brasileira de Correios e Telégrafos     (Tipo do objeto: Serviços)</v>
      </c>
      <c r="P8" s="8"/>
      <c r="Q8" s="8"/>
    </row>
    <row r="9" spans="1:17" s="40" customFormat="1" ht="78.75" customHeight="1" thickBot="1" x14ac:dyDescent="0.3">
      <c r="A9" s="40">
        <v>4</v>
      </c>
      <c r="B9" s="41" t="s">
        <v>796</v>
      </c>
      <c r="C9" s="41" t="s">
        <v>673</v>
      </c>
      <c r="D9" s="41" t="s">
        <v>801</v>
      </c>
      <c r="E9" s="41" t="s">
        <v>818</v>
      </c>
      <c r="F9" s="41" t="s">
        <v>840</v>
      </c>
      <c r="G9" s="44">
        <v>46048</v>
      </c>
      <c r="H9" s="44">
        <v>46048</v>
      </c>
      <c r="I9" s="44" t="s">
        <v>28</v>
      </c>
      <c r="J9" s="41" t="s">
        <v>802</v>
      </c>
      <c r="K9" s="41" t="s">
        <v>799</v>
      </c>
      <c r="L9" s="42">
        <v>2650</v>
      </c>
      <c r="M9" s="40" t="str">
        <f>CONCATENATE(A9,".",D9,," ","-"," ",K9,"     ", "(","Tipo do objeto: ",Tabela1524[[#This Row],[Tipo do Objeto]],")")</f>
        <v>4.TLB-ORC-2026/00003 - TOSTAO FURADO LTDA     (Tipo do objeto: Serviços)</v>
      </c>
      <c r="P9" s="8"/>
      <c r="Q9" s="8"/>
    </row>
    <row r="10" spans="1:17" s="40" customFormat="1" ht="90.75" customHeight="1" thickBot="1" x14ac:dyDescent="0.3">
      <c r="A10" s="40">
        <v>5</v>
      </c>
      <c r="B10" s="41" t="s">
        <v>797</v>
      </c>
      <c r="C10" s="41" t="s">
        <v>673</v>
      </c>
      <c r="D10" s="41" t="s">
        <v>857</v>
      </c>
      <c r="E10" s="41" t="s">
        <v>818</v>
      </c>
      <c r="F10" s="41" t="s">
        <v>840</v>
      </c>
      <c r="G10" s="44">
        <v>46057</v>
      </c>
      <c r="H10" s="44">
        <v>46057</v>
      </c>
      <c r="I10" s="44" t="s">
        <v>28</v>
      </c>
      <c r="J10" s="41" t="s">
        <v>798</v>
      </c>
      <c r="K10" s="41" t="s">
        <v>395</v>
      </c>
      <c r="L10" s="42">
        <v>29900</v>
      </c>
      <c r="M10" s="40" t="str">
        <f>CONCATENATE(A10,".",D10,," ","-"," ",K10,"     ", "(","Tipo do objeto: ",Tabela1524[[#This Row],[Tipo do Objeto]],")")</f>
        <v>5.TLB-ORC-2026/00006 - Ibmec Educacional Ltda     (Tipo do objeto: Serviços)</v>
      </c>
      <c r="P10" s="8"/>
      <c r="Q10" s="8"/>
    </row>
    <row r="11" spans="1:17" s="40" customFormat="1" ht="90.75" customHeight="1" thickBot="1" x14ac:dyDescent="0.3">
      <c r="A11" s="40">
        <v>6</v>
      </c>
      <c r="B11" s="173" t="s">
        <v>842</v>
      </c>
      <c r="C11" s="173" t="s">
        <v>673</v>
      </c>
      <c r="D11" s="173" t="s">
        <v>843</v>
      </c>
      <c r="E11" s="174" t="s">
        <v>210</v>
      </c>
      <c r="F11" s="175" t="s">
        <v>840</v>
      </c>
      <c r="G11" s="176">
        <v>46049</v>
      </c>
      <c r="H11" s="177">
        <v>46049</v>
      </c>
      <c r="I11" s="178" t="s">
        <v>28</v>
      </c>
      <c r="J11" s="174" t="s">
        <v>841</v>
      </c>
      <c r="K11" s="173" t="s">
        <v>358</v>
      </c>
      <c r="L11" s="179">
        <v>5550</v>
      </c>
      <c r="M11" s="40" t="str">
        <f>CONCATENATE(A11,".",D11,," ","-"," ",K11,"     ", "(","Tipo do objeto: ",Tabela1524[[#This Row],[Tipo do Objeto]],")")</f>
        <v>6.TLB-ORC-2026/00004 - Instituto dos Auditores Internos do Brasil     (Tipo do objeto: Serviços)</v>
      </c>
      <c r="P11" s="8"/>
      <c r="Q11" s="8"/>
    </row>
    <row r="12" spans="1:17" s="40" customFormat="1" ht="90.75" customHeight="1" thickBot="1" x14ac:dyDescent="0.3">
      <c r="A12" s="40">
        <v>7</v>
      </c>
      <c r="B12" s="173" t="s">
        <v>850</v>
      </c>
      <c r="C12" s="173" t="s">
        <v>673</v>
      </c>
      <c r="D12" s="173" t="s">
        <v>858</v>
      </c>
      <c r="E12" s="174" t="s">
        <v>818</v>
      </c>
      <c r="F12" s="175" t="s">
        <v>840</v>
      </c>
      <c r="G12" s="176">
        <v>46059</v>
      </c>
      <c r="H12" s="177">
        <v>46059</v>
      </c>
      <c r="I12" s="178" t="s">
        <v>28</v>
      </c>
      <c r="J12" s="174" t="s">
        <v>851</v>
      </c>
      <c r="K12" s="173" t="s">
        <v>852</v>
      </c>
      <c r="L12" s="179">
        <v>11172</v>
      </c>
      <c r="M12" s="40" t="str">
        <f>CONCATENATE(A12,".",D12,," ","-"," ",K12,"     ", "(","Tipo do objeto: ",Tabela1524[[#This Row],[Tipo do Objeto]],")")</f>
        <v>7.TLB-ORC-2026/00007 -  QSP - Centro da Qualidade, Segurança e Produtividade para o Brasil e América Latina     (Tipo do objeto: Serviços)</v>
      </c>
      <c r="P12" s="8"/>
      <c r="Q12" s="8"/>
    </row>
    <row r="13" spans="1:17" s="40" customFormat="1" ht="90.75" customHeight="1" thickBot="1" x14ac:dyDescent="0.3">
      <c r="A13" s="40">
        <v>8</v>
      </c>
      <c r="B13" s="173" t="s">
        <v>854</v>
      </c>
      <c r="C13" s="173" t="s">
        <v>673</v>
      </c>
      <c r="D13" s="173" t="s">
        <v>862</v>
      </c>
      <c r="E13" s="174" t="s">
        <v>818</v>
      </c>
      <c r="F13" s="175" t="s">
        <v>840</v>
      </c>
      <c r="G13" s="176">
        <v>46062</v>
      </c>
      <c r="H13" s="177">
        <v>46062</v>
      </c>
      <c r="I13" s="178" t="s">
        <v>28</v>
      </c>
      <c r="J13" s="174" t="s">
        <v>855</v>
      </c>
      <c r="K13" s="173" t="s">
        <v>856</v>
      </c>
      <c r="L13" s="179">
        <v>4740</v>
      </c>
      <c r="M13" s="40" t="str">
        <f>CONCATENATE(A13,".",D13,," ","-"," ",K13,"     ", "(","Tipo do objeto: ",Tabela1524[[#This Row],[Tipo do Objeto]],")")</f>
        <v>8. TLB-ORC-2026/00008 -  SUPREME CAPACITAÇÃO E TREINAMENTO LTDA     (Tipo do objeto: Serviços)</v>
      </c>
      <c r="P13" s="8"/>
      <c r="Q13" s="8"/>
    </row>
    <row r="14" spans="1:17" s="40" customFormat="1" ht="90.75" customHeight="1" thickBot="1" x14ac:dyDescent="0.3">
      <c r="A14" s="40">
        <v>9</v>
      </c>
      <c r="B14" s="173" t="s">
        <v>863</v>
      </c>
      <c r="C14" s="173" t="s">
        <v>673</v>
      </c>
      <c r="D14" s="173" t="s">
        <v>872</v>
      </c>
      <c r="E14" s="174" t="s">
        <v>818</v>
      </c>
      <c r="F14" s="175" t="s">
        <v>840</v>
      </c>
      <c r="G14" s="176">
        <v>46071</v>
      </c>
      <c r="H14" s="177">
        <v>46071</v>
      </c>
      <c r="I14" s="178" t="s">
        <v>28</v>
      </c>
      <c r="J14" s="174" t="s">
        <v>864</v>
      </c>
      <c r="K14" s="173" t="s">
        <v>358</v>
      </c>
      <c r="L14" s="179">
        <v>5000</v>
      </c>
      <c r="M14" s="40" t="str">
        <f>CONCATENATE(A14,".",D14,," ","-"," ",K14,"     ", "(","Tipo do objeto: ",Tabela1524[[#This Row],[Tipo do Objeto]],")")</f>
        <v>9. TLB-ORC-2026/00011 - Instituto dos Auditores Internos do Brasil     (Tipo do objeto: Serviços)</v>
      </c>
      <c r="P14" s="8"/>
      <c r="Q14" s="8"/>
    </row>
    <row r="15" spans="1:17" s="40" customFormat="1" ht="90.75" customHeight="1" thickBot="1" x14ac:dyDescent="0.3">
      <c r="A15" s="40">
        <v>10</v>
      </c>
      <c r="B15" s="173" t="s">
        <v>865</v>
      </c>
      <c r="C15" s="173" t="s">
        <v>673</v>
      </c>
      <c r="D15" s="173" t="s">
        <v>870</v>
      </c>
      <c r="E15" s="174" t="s">
        <v>818</v>
      </c>
      <c r="F15" s="175" t="s">
        <v>840</v>
      </c>
      <c r="G15" s="176">
        <v>46071</v>
      </c>
      <c r="H15" s="177">
        <v>46071</v>
      </c>
      <c r="I15" s="178" t="s">
        <v>28</v>
      </c>
      <c r="J15" s="174" t="s">
        <v>867</v>
      </c>
      <c r="K15" s="173" t="s">
        <v>868</v>
      </c>
      <c r="L15" s="179">
        <v>3450</v>
      </c>
      <c r="M15" s="40" t="str">
        <f>CONCATENATE(A15,".",D15,," ","-"," ",K15,"     ", "(","Tipo do objeto: ",Tabela1524[[#This Row],[Tipo do Objeto]],")")</f>
        <v>10.TLB-ORC-2026/00010 - BIOSEG BRASILIA SOLUCOES EM SEGURANCA E MEDICINA DO TRABALHO LTDA     (Tipo do objeto: Serviços)</v>
      </c>
      <c r="P15" s="8"/>
      <c r="Q15" s="8"/>
    </row>
    <row r="16" spans="1:17" s="40" customFormat="1" ht="90.75" customHeight="1" thickBot="1" x14ac:dyDescent="0.3">
      <c r="A16" s="40">
        <v>11</v>
      </c>
      <c r="B16" s="173" t="s">
        <v>866</v>
      </c>
      <c r="C16" s="173" t="s">
        <v>673</v>
      </c>
      <c r="D16" s="173" t="s">
        <v>875</v>
      </c>
      <c r="E16" s="174" t="s">
        <v>818</v>
      </c>
      <c r="F16" s="175" t="s">
        <v>840</v>
      </c>
      <c r="G16" s="176">
        <v>46071</v>
      </c>
      <c r="H16" s="177">
        <v>46071</v>
      </c>
      <c r="I16" s="178" t="s">
        <v>28</v>
      </c>
      <c r="J16" s="174" t="s">
        <v>869</v>
      </c>
      <c r="K16" s="173" t="s">
        <v>868</v>
      </c>
      <c r="L16" s="179">
        <v>999.5</v>
      </c>
      <c r="M16" s="40" t="str">
        <f>CONCATENATE(A16,".",D16,," ","-"," ",K16,"     ", "(","Tipo do objeto: ",Tabela1524[[#This Row],[Tipo do Objeto]],")")</f>
        <v>11. TLB-ORC-2026/00012 - BIOSEG BRASILIA SOLUCOES EM SEGURANCA E MEDICINA DO TRABALHO LTDA     (Tipo do objeto: Serviços)</v>
      </c>
      <c r="P16" s="8"/>
      <c r="Q16" s="8"/>
    </row>
    <row r="17" spans="1:17" s="40" customFormat="1" ht="90.75" customHeight="1" thickBot="1" x14ac:dyDescent="0.3">
      <c r="A17" s="40">
        <v>12</v>
      </c>
      <c r="B17" s="173" t="s">
        <v>876</v>
      </c>
      <c r="C17" s="173" t="s">
        <v>673</v>
      </c>
      <c r="D17" s="173" t="s">
        <v>892</v>
      </c>
      <c r="E17" s="174" t="s">
        <v>818</v>
      </c>
      <c r="F17" s="175" t="s">
        <v>840</v>
      </c>
      <c r="G17" s="176">
        <v>46076</v>
      </c>
      <c r="H17" s="177">
        <v>46076</v>
      </c>
      <c r="I17" s="178" t="s">
        <v>28</v>
      </c>
      <c r="J17" s="174" t="s">
        <v>877</v>
      </c>
      <c r="K17" s="173" t="s">
        <v>878</v>
      </c>
      <c r="L17" s="179">
        <v>10500</v>
      </c>
      <c r="M17" s="40" t="str">
        <f>CONCATENATE(A17,".",D17,," ","-"," ",K17,"     ", "(","Tipo do objeto: ",Tabela1524[[#This Row],[Tipo do Objeto]],")")</f>
        <v>12.TLB-ORC-2026/00015 - SAVE PRODUÇÕES EDITORIAIS LTDA      (Tipo do objeto: Serviços)</v>
      </c>
      <c r="P17" s="8"/>
      <c r="Q17" s="8"/>
    </row>
    <row r="18" spans="1:17" s="40" customFormat="1" ht="90.75" customHeight="1" thickBot="1" x14ac:dyDescent="0.3">
      <c r="A18" s="40">
        <v>13</v>
      </c>
      <c r="B18" s="173" t="s">
        <v>885</v>
      </c>
      <c r="C18" s="173" t="s">
        <v>673</v>
      </c>
      <c r="D18" s="173" t="s">
        <v>888</v>
      </c>
      <c r="E18" s="174" t="s">
        <v>818</v>
      </c>
      <c r="F18" s="175" t="s">
        <v>840</v>
      </c>
      <c r="G18" s="176">
        <v>46093</v>
      </c>
      <c r="H18" s="177">
        <v>46093</v>
      </c>
      <c r="I18" s="178" t="s">
        <v>28</v>
      </c>
      <c r="J18" s="174" t="s">
        <v>886</v>
      </c>
      <c r="K18" s="173" t="s">
        <v>887</v>
      </c>
      <c r="L18" s="179">
        <v>7388.3</v>
      </c>
      <c r="M18" s="40" t="str">
        <f>CONCATENATE(A18,".",D18,," ","-"," ",K18,"     ", "(","Tipo do objeto: ",Tabela1524[[#This Row],[Tipo do Objeto]],")")</f>
        <v>13.TLB-ORC-2026/00016 -  Access Intelligence, LLC     (Tipo do objeto: Serviços)</v>
      </c>
      <c r="P18" s="8"/>
      <c r="Q18" s="8"/>
    </row>
    <row r="19" spans="1:17" s="114" customFormat="1" ht="21" x14ac:dyDescent="0.35">
      <c r="A19" s="110"/>
      <c r="B19" s="111" t="s">
        <v>443</v>
      </c>
      <c r="C19" s="111"/>
      <c r="D19" s="111">
        <f>SUBTOTAL(103,Tabela1524[Nº CONTRATO])</f>
        <v>13</v>
      </c>
      <c r="E19" s="111"/>
      <c r="F19" s="112"/>
      <c r="G19" s="111"/>
      <c r="H19" s="111"/>
      <c r="I19" s="111"/>
      <c r="J19" s="111"/>
      <c r="K19" s="111"/>
      <c r="L19" s="113">
        <f>SUBTOTAL(109,Tabela1524[VALOR DO CONTRATO])</f>
        <v>1291891.54</v>
      </c>
    </row>
    <row r="20" spans="1:17" s="33" customFormat="1" x14ac:dyDescent="0.25">
      <c r="A20"/>
      <c r="B20"/>
      <c r="C20"/>
      <c r="D20"/>
      <c r="E20"/>
      <c r="F20"/>
      <c r="G20"/>
      <c r="H20"/>
      <c r="I20"/>
      <c r="J20"/>
      <c r="K20" s="34"/>
    </row>
    <row r="21" spans="1:17" s="33" customFormat="1" x14ac:dyDescent="0.25">
      <c r="A21"/>
      <c r="B21"/>
      <c r="C21"/>
      <c r="D21"/>
      <c r="E21"/>
      <c r="F21"/>
      <c r="G21"/>
      <c r="H21"/>
      <c r="I21"/>
      <c r="J21"/>
      <c r="K21" s="34"/>
    </row>
    <row r="22" spans="1:17" s="33" customFormat="1" x14ac:dyDescent="0.25">
      <c r="A22"/>
      <c r="B22"/>
      <c r="C22"/>
      <c r="D22"/>
      <c r="E22"/>
      <c r="F22"/>
      <c r="G22"/>
      <c r="H22"/>
      <c r="I22"/>
      <c r="J22"/>
      <c r="K22" s="34"/>
    </row>
    <row r="23" spans="1:17" s="33" customFormat="1" x14ac:dyDescent="0.25">
      <c r="A23"/>
      <c r="B23"/>
      <c r="C23"/>
      <c r="D23"/>
      <c r="E23"/>
      <c r="F23"/>
      <c r="G23"/>
      <c r="H23"/>
      <c r="I23"/>
      <c r="J23"/>
      <c r="K23" s="34"/>
    </row>
    <row r="24" spans="1:17" s="33" customFormat="1" x14ac:dyDescent="0.25">
      <c r="A24"/>
      <c r="B24"/>
      <c r="C24"/>
      <c r="D24"/>
      <c r="E24"/>
      <c r="F24"/>
      <c r="G24"/>
      <c r="H24"/>
      <c r="I24"/>
      <c r="J24"/>
      <c r="K24" s="34"/>
    </row>
    <row r="25" spans="1:17" s="33" customFormat="1" x14ac:dyDescent="0.25">
      <c r="A25"/>
      <c r="B25"/>
      <c r="C25"/>
      <c r="D25"/>
      <c r="E25"/>
      <c r="F25"/>
      <c r="G25"/>
      <c r="H25"/>
      <c r="I25"/>
      <c r="J25"/>
      <c r="K25" s="34"/>
    </row>
    <row r="26" spans="1:17" s="33" customFormat="1" x14ac:dyDescent="0.25">
      <c r="A26"/>
      <c r="B26"/>
      <c r="C26"/>
      <c r="D26"/>
      <c r="E26"/>
      <c r="F26"/>
      <c r="G26"/>
      <c r="H26"/>
      <c r="I26"/>
      <c r="J26"/>
      <c r="K26" s="34"/>
    </row>
    <row r="27" spans="1:17" s="33" customFormat="1" x14ac:dyDescent="0.25">
      <c r="A27"/>
      <c r="B27"/>
      <c r="C27"/>
      <c r="D27"/>
      <c r="E27"/>
      <c r="F27"/>
      <c r="G27"/>
      <c r="H27"/>
      <c r="I27"/>
      <c r="J27"/>
      <c r="K27" s="34"/>
    </row>
    <row r="28" spans="1:17" s="33" customFormat="1" x14ac:dyDescent="0.25">
      <c r="A28"/>
      <c r="B28"/>
      <c r="C28"/>
      <c r="D28"/>
      <c r="E28"/>
      <c r="F28"/>
      <c r="G28"/>
      <c r="H28"/>
      <c r="I28"/>
      <c r="J28"/>
      <c r="K28" s="34"/>
    </row>
    <row r="29" spans="1:17" s="33" customFormat="1" x14ac:dyDescent="0.25">
      <c r="A29"/>
      <c r="B29"/>
      <c r="C29"/>
      <c r="D29"/>
      <c r="E29"/>
      <c r="F29"/>
      <c r="G29"/>
      <c r="H29"/>
      <c r="I29"/>
      <c r="J29"/>
      <c r="K29" s="34"/>
    </row>
    <row r="30" spans="1:17" s="33" customFormat="1" x14ac:dyDescent="0.25">
      <c r="A30"/>
      <c r="B30"/>
      <c r="C30"/>
      <c r="D30"/>
      <c r="E30"/>
      <c r="F30"/>
      <c r="G30"/>
      <c r="H30"/>
      <c r="I30"/>
      <c r="J30"/>
      <c r="K30" s="34"/>
    </row>
    <row r="31" spans="1:17" s="33" customFormat="1" x14ac:dyDescent="0.25">
      <c r="A31"/>
      <c r="B31"/>
      <c r="C31"/>
      <c r="D31"/>
      <c r="E31"/>
      <c r="F31"/>
      <c r="G31"/>
      <c r="H31"/>
      <c r="I31"/>
      <c r="J31"/>
      <c r="K31" s="34"/>
    </row>
    <row r="32" spans="1:17" s="33" customFormat="1" x14ac:dyDescent="0.25">
      <c r="A32"/>
      <c r="B32"/>
      <c r="C32"/>
      <c r="D32"/>
      <c r="E32"/>
      <c r="F32"/>
      <c r="G32"/>
      <c r="H32"/>
      <c r="I32"/>
      <c r="J32"/>
      <c r="K32" s="34"/>
    </row>
    <row r="33" spans="1:11" s="33" customFormat="1" x14ac:dyDescent="0.25">
      <c r="A33"/>
      <c r="B33"/>
      <c r="C33"/>
      <c r="D33"/>
      <c r="E33"/>
      <c r="F33"/>
      <c r="G33"/>
      <c r="H33"/>
      <c r="I33"/>
      <c r="J33"/>
      <c r="K33" s="34"/>
    </row>
    <row r="34" spans="1:11" s="33" customFormat="1" x14ac:dyDescent="0.25">
      <c r="A34"/>
      <c r="B34"/>
      <c r="C34"/>
      <c r="D34"/>
      <c r="E34"/>
      <c r="F34"/>
      <c r="G34"/>
      <c r="H34"/>
      <c r="I34"/>
      <c r="J34"/>
      <c r="K34" s="34"/>
    </row>
    <row r="35" spans="1:11" s="33" customFormat="1" x14ac:dyDescent="0.25">
      <c r="A35"/>
      <c r="B35"/>
      <c r="C35"/>
      <c r="D35"/>
      <c r="E35"/>
      <c r="F35"/>
      <c r="G35"/>
      <c r="H35"/>
      <c r="I35"/>
      <c r="J35"/>
      <c r="K35" s="34"/>
    </row>
    <row r="36" spans="1:11" s="33" customFormat="1" x14ac:dyDescent="0.25">
      <c r="A36"/>
      <c r="B36"/>
      <c r="C36"/>
      <c r="D36"/>
      <c r="E36"/>
      <c r="F36"/>
      <c r="G36"/>
      <c r="H36"/>
      <c r="I36"/>
      <c r="J36"/>
      <c r="K36" s="34"/>
    </row>
    <row r="37" spans="1:11" s="33" customFormat="1" x14ac:dyDescent="0.25">
      <c r="A37"/>
      <c r="B37"/>
      <c r="C37"/>
      <c r="D37"/>
      <c r="E37"/>
      <c r="F37"/>
      <c r="G37"/>
      <c r="H37"/>
      <c r="I37"/>
      <c r="J37"/>
      <c r="K37" s="34"/>
    </row>
    <row r="38" spans="1:11" s="33" customFormat="1" x14ac:dyDescent="0.25">
      <c r="A38"/>
      <c r="B38"/>
      <c r="C38"/>
      <c r="D38"/>
      <c r="E38"/>
      <c r="F38"/>
      <c r="G38"/>
      <c r="H38"/>
      <c r="I38"/>
      <c r="J38"/>
      <c r="K38" s="34"/>
    </row>
    <row r="39" spans="1:11" s="33" customFormat="1" x14ac:dyDescent="0.25">
      <c r="A39"/>
      <c r="B39"/>
      <c r="C39"/>
      <c r="D39"/>
      <c r="E39"/>
      <c r="F39"/>
      <c r="G39"/>
      <c r="H39"/>
      <c r="I39"/>
      <c r="J39"/>
      <c r="K39" s="34"/>
    </row>
    <row r="40" spans="1:11" s="33" customFormat="1" x14ac:dyDescent="0.25">
      <c r="A40"/>
      <c r="B40"/>
      <c r="C40"/>
      <c r="D40"/>
      <c r="E40"/>
      <c r="F40"/>
      <c r="G40"/>
      <c r="H40"/>
      <c r="I40"/>
      <c r="J40"/>
      <c r="K40" s="34"/>
    </row>
    <row r="41" spans="1:11" s="33" customFormat="1" x14ac:dyDescent="0.25">
      <c r="A41"/>
      <c r="B41"/>
      <c r="C41"/>
      <c r="D41"/>
      <c r="E41"/>
      <c r="F41"/>
      <c r="G41"/>
      <c r="H41"/>
      <c r="I41"/>
      <c r="J41"/>
      <c r="K41" s="34"/>
    </row>
    <row r="42" spans="1:11" s="33" customFormat="1" x14ac:dyDescent="0.25">
      <c r="A42"/>
      <c r="B42"/>
      <c r="C42"/>
      <c r="D42"/>
      <c r="E42"/>
      <c r="F42"/>
      <c r="G42"/>
      <c r="H42"/>
      <c r="I42"/>
      <c r="J42"/>
      <c r="K42" s="34"/>
    </row>
    <row r="43" spans="1:11" s="33" customFormat="1" x14ac:dyDescent="0.25">
      <c r="A43"/>
      <c r="B43"/>
      <c r="C43"/>
      <c r="D43"/>
      <c r="E43"/>
      <c r="F43"/>
      <c r="G43"/>
      <c r="H43"/>
      <c r="I43"/>
      <c r="J43"/>
      <c r="K43" s="34"/>
    </row>
    <row r="44" spans="1:11" s="33" customFormat="1" x14ac:dyDescent="0.25">
      <c r="A44"/>
      <c r="B44"/>
      <c r="C44"/>
      <c r="D44"/>
      <c r="E44"/>
      <c r="F44"/>
      <c r="G44"/>
      <c r="H44"/>
      <c r="I44"/>
      <c r="J44"/>
      <c r="K44" s="34"/>
    </row>
    <row r="45" spans="1:11" s="33" customFormat="1" x14ac:dyDescent="0.25">
      <c r="A45"/>
      <c r="B45"/>
      <c r="C45"/>
      <c r="D45"/>
      <c r="E45"/>
      <c r="F45"/>
      <c r="G45"/>
      <c r="H45"/>
      <c r="I45"/>
      <c r="J45"/>
      <c r="K45" s="34"/>
    </row>
    <row r="46" spans="1:11" s="33" customFormat="1" x14ac:dyDescent="0.25">
      <c r="A46"/>
      <c r="B46"/>
      <c r="C46"/>
      <c r="D46"/>
      <c r="E46"/>
      <c r="F46"/>
      <c r="G46"/>
      <c r="H46"/>
      <c r="I46"/>
      <c r="J46"/>
      <c r="K46" s="34"/>
    </row>
    <row r="47" spans="1:11" s="33" customFormat="1" x14ac:dyDescent="0.25">
      <c r="A47"/>
      <c r="B47"/>
      <c r="C47"/>
      <c r="D47"/>
      <c r="E47"/>
      <c r="F47"/>
      <c r="G47"/>
      <c r="H47"/>
      <c r="I47"/>
      <c r="J47"/>
      <c r="K47" s="34"/>
    </row>
    <row r="48" spans="1:11" s="33" customFormat="1" x14ac:dyDescent="0.25">
      <c r="A48"/>
      <c r="B48"/>
      <c r="C48"/>
      <c r="D48"/>
      <c r="E48"/>
      <c r="F48"/>
      <c r="G48"/>
      <c r="H48"/>
      <c r="I48"/>
      <c r="J48"/>
      <c r="K48" s="34"/>
    </row>
    <row r="49" spans="1:11" s="33" customFormat="1" x14ac:dyDescent="0.25">
      <c r="A49"/>
      <c r="B49"/>
      <c r="C49"/>
      <c r="D49"/>
      <c r="E49"/>
      <c r="F49"/>
      <c r="G49"/>
      <c r="H49"/>
      <c r="I49"/>
      <c r="J49"/>
      <c r="K49" s="34"/>
    </row>
    <row r="50" spans="1:11" s="33" customFormat="1" x14ac:dyDescent="0.25">
      <c r="A50"/>
      <c r="B50"/>
      <c r="C50"/>
      <c r="D50"/>
      <c r="E50"/>
      <c r="F50"/>
      <c r="G50"/>
      <c r="H50"/>
      <c r="I50"/>
      <c r="J50"/>
      <c r="K50" s="34"/>
    </row>
    <row r="51" spans="1:11" s="33" customFormat="1" x14ac:dyDescent="0.25">
      <c r="A51"/>
      <c r="B51"/>
      <c r="C51"/>
      <c r="D51"/>
      <c r="E51"/>
      <c r="F51"/>
      <c r="G51"/>
      <c r="H51"/>
      <c r="I51"/>
      <c r="J51"/>
      <c r="K51" s="34"/>
    </row>
    <row r="52" spans="1:11" s="33" customFormat="1" x14ac:dyDescent="0.25">
      <c r="A52"/>
      <c r="B52"/>
      <c r="C52"/>
      <c r="D52"/>
      <c r="E52"/>
      <c r="F52"/>
      <c r="G52"/>
      <c r="H52"/>
      <c r="I52"/>
      <c r="J52"/>
      <c r="K52" s="34"/>
    </row>
    <row r="53" spans="1:11" s="33" customFormat="1" x14ac:dyDescent="0.25">
      <c r="A53"/>
      <c r="B53"/>
      <c r="C53"/>
      <c r="D53"/>
      <c r="E53"/>
      <c r="F53"/>
      <c r="G53"/>
      <c r="H53"/>
      <c r="I53"/>
      <c r="J53"/>
      <c r="K53" s="34"/>
    </row>
    <row r="54" spans="1:11" s="33" customFormat="1" x14ac:dyDescent="0.25">
      <c r="A54"/>
      <c r="B54"/>
      <c r="C54"/>
      <c r="D54"/>
      <c r="E54"/>
      <c r="F54"/>
      <c r="G54"/>
      <c r="H54"/>
      <c r="I54"/>
      <c r="J54"/>
      <c r="K54" s="34"/>
    </row>
    <row r="55" spans="1:11" s="33" customFormat="1" x14ac:dyDescent="0.25">
      <c r="A55"/>
      <c r="B55"/>
      <c r="C55"/>
      <c r="D55"/>
      <c r="E55"/>
      <c r="F55"/>
      <c r="G55"/>
      <c r="H55"/>
      <c r="I55"/>
      <c r="J55"/>
      <c r="K55" s="34"/>
    </row>
    <row r="56" spans="1:11" s="33" customFormat="1" x14ac:dyDescent="0.25">
      <c r="A56"/>
      <c r="B56"/>
      <c r="C56"/>
      <c r="D56"/>
      <c r="E56"/>
      <c r="F56"/>
      <c r="G56"/>
      <c r="H56"/>
      <c r="I56"/>
      <c r="J56"/>
      <c r="K56" s="34"/>
    </row>
    <row r="57" spans="1:11" s="33" customFormat="1" x14ac:dyDescent="0.25">
      <c r="A57"/>
      <c r="B57"/>
      <c r="C57"/>
      <c r="D57"/>
      <c r="E57"/>
      <c r="F57"/>
      <c r="G57"/>
      <c r="H57"/>
      <c r="I57"/>
      <c r="J57"/>
      <c r="K57" s="34"/>
    </row>
    <row r="58" spans="1:11" s="33" customFormat="1" x14ac:dyDescent="0.25">
      <c r="A58"/>
      <c r="B58"/>
      <c r="C58"/>
      <c r="D58"/>
      <c r="E58"/>
      <c r="F58"/>
      <c r="G58"/>
      <c r="H58"/>
      <c r="I58"/>
      <c r="J58"/>
      <c r="K58" s="34"/>
    </row>
    <row r="59" spans="1:11" s="33" customFormat="1" x14ac:dyDescent="0.25">
      <c r="A59"/>
      <c r="B59"/>
      <c r="C59"/>
      <c r="D59"/>
      <c r="E59"/>
      <c r="F59"/>
      <c r="G59"/>
      <c r="H59"/>
      <c r="I59"/>
      <c r="J59"/>
      <c r="K59" s="34"/>
    </row>
    <row r="60" spans="1:11" s="33" customFormat="1" x14ac:dyDescent="0.25">
      <c r="A60"/>
      <c r="B60"/>
      <c r="C60"/>
      <c r="D60"/>
      <c r="E60"/>
      <c r="F60"/>
      <c r="G60"/>
      <c r="H60"/>
      <c r="I60"/>
      <c r="J60"/>
      <c r="K60" s="34"/>
    </row>
    <row r="61" spans="1:11" s="33" customFormat="1" x14ac:dyDescent="0.25">
      <c r="A61"/>
      <c r="B61"/>
      <c r="C61"/>
      <c r="D61"/>
      <c r="E61"/>
      <c r="F61"/>
      <c r="G61"/>
      <c r="H61"/>
      <c r="I61"/>
      <c r="J61"/>
      <c r="K61" s="34"/>
    </row>
    <row r="62" spans="1:11" s="33" customFormat="1" x14ac:dyDescent="0.25">
      <c r="A62"/>
      <c r="B62"/>
      <c r="C62"/>
      <c r="D62"/>
      <c r="E62"/>
      <c r="F62"/>
      <c r="G62"/>
      <c r="H62"/>
      <c r="I62"/>
      <c r="J62"/>
      <c r="K62" s="34"/>
    </row>
    <row r="63" spans="1:11" s="33" customFormat="1" x14ac:dyDescent="0.25">
      <c r="A63"/>
      <c r="B63"/>
      <c r="C63"/>
      <c r="D63"/>
      <c r="E63"/>
      <c r="F63"/>
      <c r="G63"/>
      <c r="H63"/>
      <c r="I63"/>
      <c r="J63"/>
      <c r="K63" s="34"/>
    </row>
    <row r="64" spans="1:11" s="33" customFormat="1" x14ac:dyDescent="0.25">
      <c r="A64"/>
      <c r="B64"/>
      <c r="C64"/>
      <c r="D64"/>
      <c r="E64"/>
      <c r="F64"/>
      <c r="G64"/>
      <c r="H64"/>
      <c r="I64"/>
      <c r="J64"/>
      <c r="K64" s="34"/>
    </row>
    <row r="65" spans="1:11" s="33" customFormat="1" x14ac:dyDescent="0.25">
      <c r="A65"/>
      <c r="B65"/>
      <c r="C65"/>
      <c r="D65"/>
      <c r="E65"/>
      <c r="F65"/>
      <c r="G65"/>
      <c r="H65"/>
      <c r="I65"/>
      <c r="J65"/>
      <c r="K65" s="34"/>
    </row>
    <row r="66" spans="1:11" s="33" customFormat="1" x14ac:dyDescent="0.25">
      <c r="A66"/>
      <c r="B66"/>
      <c r="C66"/>
      <c r="D66"/>
      <c r="E66"/>
      <c r="F66"/>
      <c r="G66"/>
      <c r="H66"/>
      <c r="I66"/>
      <c r="J66"/>
      <c r="K66" s="34"/>
    </row>
    <row r="67" spans="1:11" s="33" customFormat="1" x14ac:dyDescent="0.25">
      <c r="A67"/>
      <c r="B67"/>
      <c r="C67"/>
      <c r="D67"/>
      <c r="E67"/>
      <c r="F67"/>
      <c r="G67"/>
      <c r="H67"/>
      <c r="I67"/>
      <c r="J67"/>
      <c r="K67" s="34"/>
    </row>
    <row r="68" spans="1:11" s="33" customFormat="1" x14ac:dyDescent="0.25">
      <c r="A68"/>
      <c r="B68"/>
      <c r="C68"/>
      <c r="D68"/>
      <c r="E68"/>
      <c r="F68"/>
      <c r="G68"/>
      <c r="H68"/>
      <c r="I68"/>
      <c r="J68"/>
      <c r="K68" s="34"/>
    </row>
    <row r="69" spans="1:11" s="33" customFormat="1" x14ac:dyDescent="0.25">
      <c r="A69"/>
      <c r="B69"/>
      <c r="C69"/>
      <c r="D69"/>
      <c r="E69"/>
      <c r="F69"/>
      <c r="G69"/>
      <c r="H69"/>
      <c r="I69"/>
      <c r="J69"/>
      <c r="K69" s="34"/>
    </row>
    <row r="70" spans="1:11" s="33" customFormat="1" x14ac:dyDescent="0.25">
      <c r="A70"/>
      <c r="B70"/>
      <c r="C70"/>
      <c r="D70"/>
      <c r="E70"/>
      <c r="F70"/>
      <c r="G70"/>
      <c r="H70"/>
      <c r="I70"/>
      <c r="J70"/>
      <c r="K70" s="34"/>
    </row>
    <row r="71" spans="1:11" s="33" customFormat="1" x14ac:dyDescent="0.25">
      <c r="A71"/>
      <c r="B71"/>
      <c r="C71"/>
      <c r="D71"/>
      <c r="E71"/>
      <c r="F71"/>
      <c r="G71"/>
      <c r="H71"/>
      <c r="I71"/>
      <c r="J71"/>
      <c r="K71" s="34"/>
    </row>
    <row r="72" spans="1:11" s="33" customFormat="1" x14ac:dyDescent="0.25">
      <c r="A72"/>
      <c r="B72"/>
      <c r="C72"/>
      <c r="D72"/>
      <c r="E72"/>
      <c r="F72"/>
      <c r="G72"/>
      <c r="H72"/>
      <c r="I72"/>
      <c r="J72"/>
      <c r="K72" s="34"/>
    </row>
    <row r="73" spans="1:11" s="33" customFormat="1" x14ac:dyDescent="0.25">
      <c r="A73"/>
      <c r="B73"/>
      <c r="C73"/>
      <c r="D73"/>
      <c r="E73"/>
      <c r="F73"/>
      <c r="G73"/>
      <c r="H73"/>
      <c r="I73"/>
      <c r="J73"/>
      <c r="K73" s="34"/>
    </row>
    <row r="74" spans="1:11" s="33" customFormat="1" x14ac:dyDescent="0.25">
      <c r="A74"/>
      <c r="B74"/>
      <c r="C74"/>
      <c r="D74"/>
      <c r="E74"/>
      <c r="F74"/>
      <c r="G74"/>
      <c r="H74"/>
      <c r="I74"/>
      <c r="J74"/>
      <c r="K74" s="34"/>
    </row>
    <row r="75" spans="1:11" s="33" customFormat="1" x14ac:dyDescent="0.25">
      <c r="A75"/>
      <c r="B75"/>
      <c r="C75"/>
      <c r="D75"/>
      <c r="E75"/>
      <c r="F75"/>
      <c r="G75"/>
      <c r="H75"/>
      <c r="I75"/>
      <c r="J75"/>
      <c r="K75" s="34"/>
    </row>
    <row r="76" spans="1:11" s="33" customFormat="1" x14ac:dyDescent="0.25">
      <c r="A76"/>
      <c r="B76"/>
      <c r="C76"/>
      <c r="D76"/>
      <c r="E76"/>
      <c r="F76"/>
      <c r="G76"/>
      <c r="H76"/>
      <c r="I76"/>
      <c r="J76"/>
      <c r="K76" s="34"/>
    </row>
    <row r="77" spans="1:11" s="33" customFormat="1" x14ac:dyDescent="0.25">
      <c r="A77"/>
      <c r="B77"/>
      <c r="C77"/>
      <c r="D77"/>
      <c r="E77"/>
      <c r="F77"/>
      <c r="G77"/>
      <c r="H77"/>
      <c r="I77"/>
      <c r="J77"/>
      <c r="K77" s="34"/>
    </row>
    <row r="78" spans="1:11" s="33" customFormat="1" x14ac:dyDescent="0.25">
      <c r="A78"/>
      <c r="B78"/>
      <c r="C78"/>
      <c r="D78"/>
      <c r="E78"/>
      <c r="F78"/>
      <c r="G78"/>
      <c r="H78"/>
      <c r="I78"/>
      <c r="J78"/>
      <c r="K78" s="34"/>
    </row>
    <row r="79" spans="1:11" s="33" customFormat="1" x14ac:dyDescent="0.25">
      <c r="A79"/>
      <c r="B79"/>
      <c r="C79"/>
      <c r="D79"/>
      <c r="E79"/>
      <c r="F79"/>
      <c r="G79"/>
      <c r="H79"/>
      <c r="I79"/>
      <c r="J79"/>
      <c r="K79" s="34"/>
    </row>
    <row r="80" spans="1:11" s="33" customFormat="1" x14ac:dyDescent="0.25">
      <c r="A80"/>
      <c r="B80"/>
      <c r="C80"/>
      <c r="D80"/>
      <c r="E80"/>
      <c r="F80"/>
      <c r="G80"/>
      <c r="H80"/>
      <c r="I80"/>
      <c r="J80"/>
      <c r="K80" s="34"/>
    </row>
    <row r="81" spans="1:11" s="33" customFormat="1" x14ac:dyDescent="0.25">
      <c r="A81"/>
      <c r="B81"/>
      <c r="C81"/>
      <c r="D81"/>
      <c r="E81"/>
      <c r="F81"/>
      <c r="G81"/>
      <c r="H81"/>
      <c r="I81"/>
      <c r="J81"/>
      <c r="K81" s="34"/>
    </row>
    <row r="82" spans="1:11" s="33" customFormat="1" x14ac:dyDescent="0.25">
      <c r="A82"/>
      <c r="B82"/>
      <c r="C82"/>
      <c r="D82"/>
      <c r="E82"/>
      <c r="F82"/>
      <c r="G82"/>
      <c r="H82"/>
      <c r="I82"/>
      <c r="J82"/>
      <c r="K82" s="34"/>
    </row>
    <row r="83" spans="1:11" s="33" customFormat="1" x14ac:dyDescent="0.25">
      <c r="A83"/>
      <c r="B83"/>
      <c r="C83"/>
      <c r="D83"/>
      <c r="E83"/>
      <c r="F83"/>
      <c r="G83"/>
      <c r="H83"/>
      <c r="I83"/>
      <c r="J83"/>
      <c r="K83" s="34"/>
    </row>
    <row r="84" spans="1:11" s="33" customFormat="1" x14ac:dyDescent="0.25">
      <c r="A84"/>
      <c r="B84"/>
      <c r="C84"/>
      <c r="D84"/>
      <c r="E84"/>
      <c r="F84"/>
      <c r="G84"/>
      <c r="H84"/>
      <c r="I84"/>
      <c r="J84"/>
      <c r="K84" s="34"/>
    </row>
    <row r="85" spans="1:11" s="33" customFormat="1" x14ac:dyDescent="0.25">
      <c r="A85"/>
      <c r="B85"/>
      <c r="C85"/>
      <c r="D85"/>
      <c r="E85"/>
      <c r="F85"/>
      <c r="G85"/>
      <c r="H85"/>
      <c r="I85"/>
      <c r="J85"/>
      <c r="K85" s="34"/>
    </row>
    <row r="86" spans="1:11" s="33" customFormat="1" x14ac:dyDescent="0.25">
      <c r="A86"/>
      <c r="B86"/>
      <c r="C86"/>
      <c r="D86"/>
      <c r="E86"/>
      <c r="F86"/>
      <c r="G86"/>
      <c r="H86"/>
      <c r="I86"/>
      <c r="J86"/>
      <c r="K86" s="34"/>
    </row>
    <row r="87" spans="1:11" s="33" customFormat="1" x14ac:dyDescent="0.25">
      <c r="A87"/>
      <c r="B87"/>
      <c r="C87"/>
      <c r="D87"/>
      <c r="E87"/>
      <c r="F87"/>
      <c r="G87"/>
      <c r="H87"/>
      <c r="I87"/>
      <c r="J87"/>
      <c r="K87" s="34"/>
    </row>
    <row r="88" spans="1:11" s="33" customFormat="1" x14ac:dyDescent="0.25">
      <c r="A88"/>
      <c r="B88"/>
      <c r="C88"/>
      <c r="D88"/>
      <c r="E88"/>
      <c r="F88"/>
      <c r="G88"/>
      <c r="H88"/>
      <c r="I88"/>
      <c r="J88"/>
      <c r="K88" s="34"/>
    </row>
    <row r="89" spans="1:11" s="33" customFormat="1" x14ac:dyDescent="0.25">
      <c r="A89"/>
      <c r="B89"/>
      <c r="C89"/>
      <c r="D89"/>
      <c r="E89"/>
      <c r="F89"/>
      <c r="G89"/>
      <c r="H89"/>
      <c r="I89"/>
      <c r="J89"/>
      <c r="K89" s="34"/>
    </row>
    <row r="90" spans="1:11" s="33" customFormat="1" x14ac:dyDescent="0.25">
      <c r="A90"/>
      <c r="B90"/>
      <c r="C90"/>
      <c r="D90"/>
      <c r="E90"/>
      <c r="F90"/>
      <c r="G90"/>
      <c r="H90"/>
      <c r="I90"/>
      <c r="J90"/>
      <c r="K90" s="34"/>
    </row>
    <row r="91" spans="1:11" s="33" customFormat="1" x14ac:dyDescent="0.25">
      <c r="A91"/>
      <c r="B91"/>
      <c r="C91"/>
      <c r="D91"/>
      <c r="E91"/>
      <c r="F91"/>
      <c r="G91"/>
      <c r="H91"/>
      <c r="I91"/>
      <c r="J91"/>
      <c r="K91" s="34"/>
    </row>
    <row r="92" spans="1:11" s="33" customFormat="1" x14ac:dyDescent="0.25">
      <c r="A92"/>
      <c r="B92"/>
      <c r="C92"/>
      <c r="D92"/>
      <c r="E92"/>
      <c r="F92"/>
      <c r="G92"/>
      <c r="H92"/>
      <c r="I92"/>
      <c r="J92"/>
      <c r="K92" s="34"/>
    </row>
    <row r="93" spans="1:11" s="33" customFormat="1" x14ac:dyDescent="0.25">
      <c r="A93"/>
      <c r="B93"/>
      <c r="C93"/>
      <c r="D93"/>
      <c r="E93"/>
      <c r="F93"/>
      <c r="G93"/>
      <c r="H93"/>
      <c r="I93"/>
      <c r="J93"/>
      <c r="K93" s="34"/>
    </row>
    <row r="94" spans="1:11" s="33" customFormat="1" x14ac:dyDescent="0.25">
      <c r="A94"/>
      <c r="B94"/>
      <c r="C94"/>
      <c r="D94"/>
      <c r="E94"/>
      <c r="F94"/>
      <c r="G94"/>
      <c r="H94"/>
      <c r="I94"/>
      <c r="J94"/>
      <c r="K94" s="34"/>
    </row>
    <row r="95" spans="1:11" s="33" customFormat="1" x14ac:dyDescent="0.25">
      <c r="A95"/>
      <c r="B95"/>
      <c r="C95"/>
      <c r="D95"/>
      <c r="E95"/>
      <c r="F95"/>
      <c r="G95"/>
      <c r="H95"/>
      <c r="I95"/>
      <c r="J95"/>
      <c r="K95" s="34"/>
    </row>
    <row r="96" spans="1:11" s="33" customFormat="1" x14ac:dyDescent="0.25">
      <c r="A96"/>
      <c r="B96"/>
      <c r="C96"/>
      <c r="D96"/>
      <c r="E96"/>
      <c r="F96"/>
      <c r="G96"/>
      <c r="H96"/>
      <c r="I96"/>
      <c r="J96"/>
      <c r="K96" s="34"/>
    </row>
    <row r="97" spans="1:11" s="33" customFormat="1" x14ac:dyDescent="0.25">
      <c r="A97"/>
      <c r="B97"/>
      <c r="C97"/>
      <c r="D97"/>
      <c r="E97"/>
      <c r="F97"/>
      <c r="G97"/>
      <c r="H97"/>
      <c r="I97"/>
      <c r="J97"/>
      <c r="K97" s="34"/>
    </row>
    <row r="98" spans="1:11" s="33" customFormat="1" x14ac:dyDescent="0.25">
      <c r="A98"/>
      <c r="B98"/>
      <c r="C98"/>
      <c r="D98"/>
      <c r="E98"/>
      <c r="F98"/>
      <c r="G98"/>
      <c r="H98"/>
      <c r="I98"/>
      <c r="J98"/>
      <c r="K98" s="34"/>
    </row>
    <row r="99" spans="1:11" s="33" customFormat="1" x14ac:dyDescent="0.25">
      <c r="A99"/>
      <c r="B99"/>
      <c r="C99"/>
      <c r="D99"/>
      <c r="E99"/>
      <c r="F99"/>
      <c r="G99"/>
      <c r="H99"/>
      <c r="I99"/>
      <c r="J99"/>
      <c r="K99" s="34"/>
    </row>
    <row r="100" spans="1:11" s="33" customFormat="1" x14ac:dyDescent="0.25">
      <c r="A100"/>
      <c r="B100"/>
      <c r="C100"/>
      <c r="D100"/>
      <c r="E100"/>
      <c r="F100"/>
      <c r="G100"/>
      <c r="H100"/>
      <c r="I100"/>
      <c r="J100"/>
      <c r="K100" s="34"/>
    </row>
    <row r="101" spans="1:11" s="33" customFormat="1" x14ac:dyDescent="0.25">
      <c r="A101"/>
      <c r="B101"/>
      <c r="C101"/>
      <c r="D101"/>
      <c r="E101"/>
      <c r="F101"/>
      <c r="G101"/>
      <c r="H101"/>
      <c r="I101"/>
      <c r="J101"/>
      <c r="K101" s="34"/>
    </row>
    <row r="102" spans="1:11" s="33" customFormat="1" x14ac:dyDescent="0.25">
      <c r="A102"/>
      <c r="B102"/>
      <c r="C102"/>
      <c r="D102"/>
      <c r="E102"/>
      <c r="F102"/>
      <c r="G102"/>
      <c r="H102"/>
      <c r="I102"/>
      <c r="J102"/>
      <c r="K102" s="34"/>
    </row>
    <row r="103" spans="1:11" s="33" customFormat="1" x14ac:dyDescent="0.25">
      <c r="A103"/>
      <c r="B103"/>
      <c r="C103"/>
      <c r="D103"/>
      <c r="E103"/>
      <c r="F103"/>
      <c r="G103"/>
      <c r="H103"/>
      <c r="I103"/>
      <c r="J103"/>
      <c r="K103" s="34"/>
    </row>
    <row r="104" spans="1:11" s="33" customFormat="1" x14ac:dyDescent="0.25">
      <c r="A104"/>
      <c r="B104"/>
      <c r="C104"/>
      <c r="D104"/>
      <c r="E104"/>
      <c r="F104"/>
      <c r="G104"/>
      <c r="H104"/>
      <c r="I104"/>
      <c r="J104"/>
      <c r="K104" s="34"/>
    </row>
    <row r="105" spans="1:11" s="33" customFormat="1" x14ac:dyDescent="0.25">
      <c r="A105"/>
      <c r="B105"/>
      <c r="C105"/>
      <c r="D105"/>
      <c r="E105"/>
      <c r="F105"/>
      <c r="G105"/>
      <c r="H105"/>
      <c r="I105"/>
      <c r="J105"/>
      <c r="K105" s="34"/>
    </row>
    <row r="106" spans="1:11" s="33" customFormat="1" x14ac:dyDescent="0.25">
      <c r="A106"/>
      <c r="B106"/>
      <c r="C106"/>
      <c r="D106"/>
      <c r="E106"/>
      <c r="F106"/>
      <c r="G106"/>
      <c r="H106"/>
      <c r="I106"/>
      <c r="J106"/>
      <c r="K106" s="34"/>
    </row>
    <row r="107" spans="1:11" s="33" customFormat="1" x14ac:dyDescent="0.25">
      <c r="A107"/>
      <c r="B107"/>
      <c r="C107"/>
      <c r="D107"/>
      <c r="E107"/>
      <c r="F107"/>
      <c r="G107"/>
      <c r="H107"/>
      <c r="I107"/>
      <c r="J107"/>
      <c r="K107" s="34"/>
    </row>
    <row r="108" spans="1:11" s="33" customFormat="1" x14ac:dyDescent="0.25">
      <c r="A108"/>
      <c r="C108"/>
      <c r="K108" s="43"/>
    </row>
    <row r="109" spans="1:11" s="33" customFormat="1" x14ac:dyDescent="0.25">
      <c r="A109"/>
      <c r="C109"/>
      <c r="K109" s="43"/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:Q125"/>
  <sheetViews>
    <sheetView showGridLines="0" topLeftCell="A6" zoomScale="70" zoomScaleNormal="70" workbookViewId="0">
      <selection activeCell="H37" sqref="H37"/>
    </sheetView>
  </sheetViews>
  <sheetFormatPr defaultRowHeight="15" x14ac:dyDescent="0.25"/>
  <cols>
    <col min="1" max="1" width="5" customWidth="1"/>
    <col min="2" max="2" width="18.85546875" style="33" customWidth="1"/>
    <col min="3" max="3" width="16.140625" style="33" customWidth="1"/>
    <col min="4" max="6" width="19.28515625" style="33" customWidth="1"/>
    <col min="7" max="7" width="20" style="33" customWidth="1"/>
    <col min="8" max="8" width="15.28515625" style="33" customWidth="1"/>
    <col min="9" max="9" width="22.85546875" style="33" customWidth="1"/>
    <col min="10" max="10" width="29.42578125" style="33" customWidth="1"/>
    <col min="11" max="11" width="22.5703125" style="43" bestFit="1" customWidth="1"/>
    <col min="12" max="12" width="24.28515625" style="33" customWidth="1"/>
    <col min="13" max="13" width="40.7109375" style="33" customWidth="1"/>
    <col min="14" max="16" width="255.7109375" style="33" customWidth="1"/>
    <col min="17" max="17" width="47.42578125" customWidth="1"/>
    <col min="18" max="18" width="56.85546875" customWidth="1"/>
  </cols>
  <sheetData>
    <row r="1" spans="1:17" x14ac:dyDescent="0.25">
      <c r="C1"/>
      <c r="D1"/>
      <c r="E1"/>
      <c r="F1"/>
      <c r="G1"/>
      <c r="H1"/>
      <c r="I1"/>
      <c r="J1"/>
      <c r="K1" s="34"/>
      <c r="L1"/>
      <c r="M1"/>
      <c r="N1"/>
      <c r="O1"/>
      <c r="P1"/>
    </row>
    <row r="2" spans="1:17" ht="15.75" x14ac:dyDescent="0.25">
      <c r="B2" s="35"/>
      <c r="C2"/>
      <c r="D2"/>
      <c r="E2"/>
      <c r="F2"/>
      <c r="G2"/>
      <c r="H2"/>
      <c r="I2"/>
      <c r="J2"/>
      <c r="K2" s="34"/>
      <c r="L2"/>
      <c r="M2"/>
      <c r="N2"/>
      <c r="O2"/>
      <c r="P2"/>
    </row>
    <row r="3" spans="1:17" ht="31.5" x14ac:dyDescent="0.5">
      <c r="B3" s="36" t="s">
        <v>444</v>
      </c>
      <c r="C3"/>
      <c r="D3"/>
      <c r="E3"/>
      <c r="F3"/>
      <c r="G3"/>
      <c r="H3"/>
      <c r="I3"/>
      <c r="J3"/>
      <c r="K3" s="34"/>
      <c r="L3"/>
      <c r="M3"/>
      <c r="N3"/>
      <c r="O3"/>
      <c r="P3"/>
    </row>
    <row r="4" spans="1:17" x14ac:dyDescent="0.25">
      <c r="B4"/>
      <c r="C4"/>
      <c r="D4"/>
      <c r="E4"/>
      <c r="F4"/>
      <c r="G4"/>
      <c r="H4"/>
      <c r="I4"/>
      <c r="J4"/>
      <c r="K4" s="34"/>
      <c r="L4"/>
      <c r="M4"/>
      <c r="N4"/>
      <c r="O4"/>
      <c r="P4"/>
    </row>
    <row r="5" spans="1:17" ht="32.25" thickBot="1" x14ac:dyDescent="0.3">
      <c r="B5" s="37" t="s">
        <v>434</v>
      </c>
      <c r="C5" s="38" t="s">
        <v>435</v>
      </c>
      <c r="D5" s="38" t="s">
        <v>436</v>
      </c>
      <c r="E5" s="38" t="s">
        <v>437</v>
      </c>
      <c r="F5" s="38" t="s">
        <v>438</v>
      </c>
      <c r="G5" s="38" t="s">
        <v>439</v>
      </c>
      <c r="H5" s="38" t="s">
        <v>440</v>
      </c>
      <c r="I5" s="38" t="s">
        <v>536</v>
      </c>
      <c r="J5" s="38" t="s">
        <v>6</v>
      </c>
      <c r="K5" s="38" t="s">
        <v>7</v>
      </c>
      <c r="L5" s="39" t="s">
        <v>441</v>
      </c>
      <c r="M5"/>
      <c r="N5"/>
      <c r="O5"/>
      <c r="P5"/>
    </row>
    <row r="6" spans="1:17" s="40" customFormat="1" ht="51.75" customHeight="1" thickBot="1" x14ac:dyDescent="0.3">
      <c r="A6" s="40">
        <v>1</v>
      </c>
      <c r="B6" s="41" t="s">
        <v>302</v>
      </c>
      <c r="C6" s="41" t="s">
        <v>449</v>
      </c>
      <c r="D6" s="41" t="s">
        <v>305</v>
      </c>
      <c r="E6" s="41" t="s">
        <v>205</v>
      </c>
      <c r="F6" s="41" t="s">
        <v>4</v>
      </c>
      <c r="G6" s="44">
        <v>45734</v>
      </c>
      <c r="H6" s="44">
        <v>46099</v>
      </c>
      <c r="I6" s="44" t="s">
        <v>28</v>
      </c>
      <c r="J6" s="41" t="s">
        <v>151</v>
      </c>
      <c r="K6" s="41" t="s">
        <v>303</v>
      </c>
      <c r="L6" s="42">
        <v>23474</v>
      </c>
      <c r="M6" s="40" t="str">
        <f>CONCATENATE(A6,".",D6,," ","-"," ",K6,"     ", "(","Tipo do objeto: ",Tabela152[[#This Row],[Tipo do Objeto]],")")</f>
        <v>1.2025NE000538 - Instituto Brasileiro de Governança Corporativa - IBGC     (Tipo do objeto: Serviços)</v>
      </c>
    </row>
    <row r="7" spans="1:17" s="40" customFormat="1" ht="44.25" customHeight="1" thickBot="1" x14ac:dyDescent="0.3">
      <c r="A7" s="40">
        <v>2</v>
      </c>
      <c r="B7" s="41" t="s">
        <v>295</v>
      </c>
      <c r="C7" s="41" t="s">
        <v>449</v>
      </c>
      <c r="D7" s="41" t="s">
        <v>319</v>
      </c>
      <c r="E7" s="41" t="s">
        <v>260</v>
      </c>
      <c r="F7" s="41" t="s">
        <v>4</v>
      </c>
      <c r="G7" s="44">
        <v>45729</v>
      </c>
      <c r="H7" s="44">
        <v>45744</v>
      </c>
      <c r="I7" s="44" t="s">
        <v>28</v>
      </c>
      <c r="J7" s="41" t="s">
        <v>296</v>
      </c>
      <c r="K7" s="41" t="s">
        <v>297</v>
      </c>
      <c r="L7" s="42">
        <v>4860</v>
      </c>
      <c r="M7" s="40" t="str">
        <f>CONCATENATE(A7,".",D7,," ","-"," ",K7,"     ", "(","Tipo do objeto: ",Tabela152[[#This Row],[Tipo do Objeto]],")")</f>
        <v>2.2025NE000539 - Zênite Informação e Consultoria S/A     (Tipo do objeto: Serviços)</v>
      </c>
      <c r="P7" s="8"/>
      <c r="Q7" s="8"/>
    </row>
    <row r="8" spans="1:17" s="40" customFormat="1" ht="37.5" customHeight="1" thickBot="1" x14ac:dyDescent="0.3">
      <c r="A8" s="40">
        <v>3</v>
      </c>
      <c r="B8" s="41" t="s">
        <v>299</v>
      </c>
      <c r="C8" s="41" t="s">
        <v>449</v>
      </c>
      <c r="D8" s="41" t="s">
        <v>317</v>
      </c>
      <c r="E8" s="41" t="s">
        <v>301</v>
      </c>
      <c r="F8" s="41" t="s">
        <v>4</v>
      </c>
      <c r="G8" s="44">
        <v>45743</v>
      </c>
      <c r="H8" s="44">
        <v>45743</v>
      </c>
      <c r="I8" s="44" t="s">
        <v>28</v>
      </c>
      <c r="J8" s="41" t="s">
        <v>300</v>
      </c>
      <c r="K8" s="41" t="s">
        <v>327</v>
      </c>
      <c r="L8" s="42">
        <v>1990</v>
      </c>
      <c r="M8" s="40" t="str">
        <f>CONCATENATE(A8,".",D8,," ","-"," ",K8,"     ", "(","Tipo do objeto: ",Tabela152[[#This Row],[Tipo do Objeto]],")")</f>
        <v>3.2025NE000572 - Inove Treinamentos e Capacitação Ltda     (Tipo do objeto: Serviços)</v>
      </c>
      <c r="P8" s="8"/>
      <c r="Q8" s="8"/>
    </row>
    <row r="9" spans="1:17" s="40" customFormat="1" ht="78.75" customHeight="1" thickBot="1" x14ac:dyDescent="0.3">
      <c r="A9" s="40">
        <v>4</v>
      </c>
      <c r="B9" s="41" t="s">
        <v>345</v>
      </c>
      <c r="C9" s="41" t="s">
        <v>449</v>
      </c>
      <c r="D9" s="41" t="s">
        <v>431</v>
      </c>
      <c r="E9" s="41" t="s">
        <v>260</v>
      </c>
      <c r="F9" s="41" t="s">
        <v>4</v>
      </c>
      <c r="G9" s="44">
        <v>45751</v>
      </c>
      <c r="H9" s="44">
        <v>46116</v>
      </c>
      <c r="I9" s="44" t="s">
        <v>28</v>
      </c>
      <c r="J9" s="41" t="s">
        <v>346</v>
      </c>
      <c r="K9" s="41" t="s">
        <v>297</v>
      </c>
      <c r="L9" s="42">
        <v>15546</v>
      </c>
      <c r="M9" s="40" t="str">
        <f>CONCATENATE(A9,".",D9,," ","-"," ",K9,"     ", "(","Tipo do objeto: ",Tabela152[[#This Row],[Tipo do Objeto]],")")</f>
        <v>4.2025NE000588 - Zênite Informação e Consultoria S/A     (Tipo do objeto: Serviços)</v>
      </c>
      <c r="P9" s="8"/>
      <c r="Q9" s="8"/>
    </row>
    <row r="10" spans="1:17" s="40" customFormat="1" ht="90.75" customHeight="1" thickBot="1" x14ac:dyDescent="0.3">
      <c r="A10" s="40">
        <v>5</v>
      </c>
      <c r="B10" s="41" t="s">
        <v>433</v>
      </c>
      <c r="C10" s="41" t="s">
        <v>445</v>
      </c>
      <c r="D10" s="41" t="s">
        <v>490</v>
      </c>
      <c r="E10" s="41" t="s">
        <v>222</v>
      </c>
      <c r="F10" s="41" t="s">
        <v>4</v>
      </c>
      <c r="G10" s="44">
        <v>45764</v>
      </c>
      <c r="H10" s="44">
        <v>45786</v>
      </c>
      <c r="I10" s="44" t="s">
        <v>28</v>
      </c>
      <c r="J10" s="41" t="s">
        <v>467</v>
      </c>
      <c r="K10" s="41" t="s">
        <v>468</v>
      </c>
      <c r="L10" s="42">
        <v>180470.65</v>
      </c>
      <c r="M10" s="40" t="str">
        <f>CONCATENATE(A10,".",D10,," ","-"," ",K10,"     ", "(","Tipo do objeto: ",Tabela152[[#This Row],[Tipo do Objeto]],")")</f>
        <v>5.TA nº 04720000_2025NE000613 - ABRINT     (Tipo do objeto: Serviços)</v>
      </c>
      <c r="P10" s="8"/>
      <c r="Q10" s="8"/>
    </row>
    <row r="11" spans="1:17" s="40" customFormat="1" ht="45.75" thickBot="1" x14ac:dyDescent="0.3">
      <c r="A11" s="40">
        <v>6</v>
      </c>
      <c r="B11" s="41" t="s">
        <v>455</v>
      </c>
      <c r="C11" s="41" t="s">
        <v>449</v>
      </c>
      <c r="D11" s="41" t="s">
        <v>480</v>
      </c>
      <c r="E11" s="41" t="s">
        <v>482</v>
      </c>
      <c r="F11" s="41" t="s">
        <v>4</v>
      </c>
      <c r="G11" s="44">
        <v>45762</v>
      </c>
      <c r="H11" s="44">
        <v>45762</v>
      </c>
      <c r="I11" s="44" t="s">
        <v>28</v>
      </c>
      <c r="J11" s="41" t="s">
        <v>456</v>
      </c>
      <c r="K11" s="41" t="s">
        <v>461</v>
      </c>
      <c r="L11" s="42">
        <v>5860</v>
      </c>
      <c r="M11" s="40" t="str">
        <f>CONCATENATE(A11,".",D11,," ","-"," ",K11,"     ", "(","Tipo do objeto: ",Tabela152[[#This Row],[Tipo do Objeto]],")")</f>
        <v>6.2025NE000608 - KPMG Business School |Treinamentos Corporativos     (Tipo do objeto: Serviços)</v>
      </c>
      <c r="P11" s="8"/>
      <c r="Q11" s="8"/>
    </row>
    <row r="12" spans="1:17" s="40" customFormat="1" ht="60.75" thickBot="1" x14ac:dyDescent="0.3">
      <c r="A12" s="40">
        <v>7</v>
      </c>
      <c r="B12" s="41" t="s">
        <v>457</v>
      </c>
      <c r="C12" s="41" t="s">
        <v>449</v>
      </c>
      <c r="D12" s="41" t="s">
        <v>484</v>
      </c>
      <c r="E12" s="41" t="s">
        <v>482</v>
      </c>
      <c r="F12" s="41" t="s">
        <v>4</v>
      </c>
      <c r="G12" s="44">
        <v>45762</v>
      </c>
      <c r="H12" s="44">
        <v>45762</v>
      </c>
      <c r="I12" s="44" t="s">
        <v>28</v>
      </c>
      <c r="J12" s="41" t="s">
        <v>458</v>
      </c>
      <c r="K12" s="41" t="s">
        <v>463</v>
      </c>
      <c r="L12" s="42">
        <v>2247</v>
      </c>
      <c r="M12" s="40" t="str">
        <f>CONCATENATE(A12,".",D12,," ","-"," ",K12,"     ", "(","Tipo do objeto: ",Tabela152[[#This Row],[Tipo do Objeto]],")")</f>
        <v>7.2025NE000607 - MODERNPMO GESTAO E TECNOLOGIA LTDA GESTAO E TECNOLOGIA LTDA     (Tipo do objeto: Serviços)</v>
      </c>
      <c r="P12" s="8"/>
      <c r="Q12" s="8"/>
    </row>
    <row r="13" spans="1:17" s="40" customFormat="1" ht="30.75" thickBot="1" x14ac:dyDescent="0.3">
      <c r="A13" s="40">
        <v>8</v>
      </c>
      <c r="B13" s="41" t="s">
        <v>459</v>
      </c>
      <c r="C13" s="41" t="s">
        <v>449</v>
      </c>
      <c r="D13" s="41" t="s">
        <v>486</v>
      </c>
      <c r="E13" s="41" t="s">
        <v>482</v>
      </c>
      <c r="F13" s="41" t="s">
        <v>4</v>
      </c>
      <c r="G13" s="44">
        <v>45763</v>
      </c>
      <c r="H13" s="44">
        <v>45763</v>
      </c>
      <c r="I13" s="44" t="s">
        <v>28</v>
      </c>
      <c r="J13" s="41" t="s">
        <v>460</v>
      </c>
      <c r="K13" s="41" t="s">
        <v>465</v>
      </c>
      <c r="L13" s="42">
        <v>7180.8</v>
      </c>
      <c r="M13" s="40" t="str">
        <f>CONCATENATE(A13,".",D13,," ","-"," ",K13,"     ", "(","Tipo do objeto: ",Tabela152[[#This Row],[Tipo do Objeto]],")")</f>
        <v>8.2025NE000610 - FK PARTNERS     (Tipo do objeto: Serviços)</v>
      </c>
      <c r="P13" s="8"/>
      <c r="Q13" s="8"/>
    </row>
    <row r="14" spans="1:17" s="40" customFormat="1" ht="45.75" thickBot="1" x14ac:dyDescent="0.3">
      <c r="A14" s="40">
        <v>9</v>
      </c>
      <c r="B14" s="41" t="s">
        <v>525</v>
      </c>
      <c r="C14" s="41" t="s">
        <v>449</v>
      </c>
      <c r="D14" s="41" t="s">
        <v>528</v>
      </c>
      <c r="E14" s="41" t="s">
        <v>482</v>
      </c>
      <c r="F14" s="44" t="s">
        <v>4</v>
      </c>
      <c r="G14" s="44">
        <v>45786</v>
      </c>
      <c r="H14" s="44">
        <v>45786</v>
      </c>
      <c r="I14" s="44" t="s">
        <v>28</v>
      </c>
      <c r="J14" s="41" t="s">
        <v>526</v>
      </c>
      <c r="K14" s="41" t="s">
        <v>507</v>
      </c>
      <c r="L14" s="42">
        <v>19000</v>
      </c>
      <c r="M14" s="40" t="str">
        <f>CONCATENATE(A14,".",D14,," ","-"," ",K14,"     ", "(","Tipo do objeto: ",Tabela152[[#This Row],[Tipo do Objeto]],")")</f>
        <v>9.2025NE000690 - A. F. Comércio de Livros e Cursos Especializados Ltda     (Tipo do objeto: Serviços)</v>
      </c>
      <c r="P14" s="8"/>
      <c r="Q14" s="8"/>
    </row>
    <row r="15" spans="1:17" s="40" customFormat="1" ht="75.75" thickBot="1" x14ac:dyDescent="0.3">
      <c r="A15" s="40">
        <v>10</v>
      </c>
      <c r="B15" s="41" t="s">
        <v>531</v>
      </c>
      <c r="C15" s="41" t="s">
        <v>449</v>
      </c>
      <c r="D15" s="41" t="s">
        <v>540</v>
      </c>
      <c r="E15" s="41" t="s">
        <v>260</v>
      </c>
      <c r="F15" s="41" t="s">
        <v>4</v>
      </c>
      <c r="G15" s="44">
        <v>45800</v>
      </c>
      <c r="H15" s="44">
        <v>45800</v>
      </c>
      <c r="I15" s="44" t="s">
        <v>28</v>
      </c>
      <c r="J15" s="41" t="s">
        <v>532</v>
      </c>
      <c r="K15" s="41" t="s">
        <v>533</v>
      </c>
      <c r="L15" s="42">
        <v>8250</v>
      </c>
      <c r="M15" s="40" t="str">
        <f>CONCATENATE(A15,".",D15,," ","-"," ",K15,"     ", "(","Tipo do objeto: ",Tabela152[[#This Row],[Tipo do Objeto]],")")</f>
        <v>10.2025NE000716 - 3R CAPACITA COMERCIO DE MATERIAIS DIDATICOS E SERVICOS EDUCACIONAIS LTDA     (Tipo do objeto: Serviços)</v>
      </c>
      <c r="P15" s="8"/>
      <c r="Q15" s="8"/>
    </row>
    <row r="16" spans="1:17" s="40" customFormat="1" ht="90.75" thickBot="1" x14ac:dyDescent="0.3">
      <c r="A16" s="40">
        <v>11</v>
      </c>
      <c r="B16" s="41" t="s">
        <v>542</v>
      </c>
      <c r="C16" s="41" t="s">
        <v>449</v>
      </c>
      <c r="D16" s="41" t="s">
        <v>546</v>
      </c>
      <c r="E16" s="41" t="s">
        <v>210</v>
      </c>
      <c r="F16" s="41" t="s">
        <v>4</v>
      </c>
      <c r="G16" s="44">
        <v>45813</v>
      </c>
      <c r="H16" s="44">
        <v>46022</v>
      </c>
      <c r="I16" s="44" t="s">
        <v>28</v>
      </c>
      <c r="J16" s="41" t="s">
        <v>576</v>
      </c>
      <c r="K16" s="41" t="s">
        <v>545</v>
      </c>
      <c r="L16" s="42">
        <v>10545</v>
      </c>
      <c r="M16" s="40" t="str">
        <f>CONCATENATE(A16,".",D16,," ","-"," ",K16,"     ", "(","Tipo do objeto: ",Tabela152[[#This Row],[Tipo do Objeto]],")")</f>
        <v>11.2025NE761 - QSP - CENTRO DA QUALIDADE, SEGURANCA E PRODUTIVIDADE PARA O BRASIL E AMERICA LATINA     (Tipo do objeto: Serviços)</v>
      </c>
      <c r="P16" s="8"/>
      <c r="Q16" s="8"/>
    </row>
    <row r="17" spans="1:17" s="40" customFormat="1" ht="76.5" customHeight="1" thickBot="1" x14ac:dyDescent="0.3">
      <c r="A17" s="40">
        <v>12</v>
      </c>
      <c r="B17" s="41" t="s">
        <v>547</v>
      </c>
      <c r="C17" s="41" t="s">
        <v>449</v>
      </c>
      <c r="D17" s="41" t="s">
        <v>560</v>
      </c>
      <c r="E17" s="41" t="s">
        <v>210</v>
      </c>
      <c r="F17" s="41" t="s">
        <v>4</v>
      </c>
      <c r="G17" s="44">
        <v>45817</v>
      </c>
      <c r="H17" s="44">
        <v>46022</v>
      </c>
      <c r="I17" s="44" t="s">
        <v>28</v>
      </c>
      <c r="J17" s="41" t="s">
        <v>575</v>
      </c>
      <c r="K17" s="41" t="s">
        <v>549</v>
      </c>
      <c r="L17" s="42">
        <v>14700</v>
      </c>
      <c r="M17" s="40" t="str">
        <f>CONCATENATE(A17,".",D17,," ","-"," ",K17,"     ", "(","Tipo do objeto: ",Tabela152[[#This Row],[Tipo do Objeto]],")")</f>
        <v>12.2025NE774 - ABRH- Associação Brasileira de Recursos Humanos     (Tipo do objeto: Serviços)</v>
      </c>
      <c r="P17" s="8"/>
      <c r="Q17" s="8"/>
    </row>
    <row r="18" spans="1:17" s="40" customFormat="1" ht="89.25" customHeight="1" thickBot="1" x14ac:dyDescent="0.3">
      <c r="A18" s="40">
        <v>13</v>
      </c>
      <c r="B18" s="41" t="s">
        <v>558</v>
      </c>
      <c r="C18" s="41" t="s">
        <v>449</v>
      </c>
      <c r="D18" s="41" t="s">
        <v>568</v>
      </c>
      <c r="E18" s="41" t="s">
        <v>578</v>
      </c>
      <c r="F18" s="41" t="s">
        <v>4</v>
      </c>
      <c r="G18" s="44">
        <v>45842</v>
      </c>
      <c r="H18" s="44">
        <v>46022</v>
      </c>
      <c r="I18" s="44" t="s">
        <v>28</v>
      </c>
      <c r="J18" s="41" t="s">
        <v>574</v>
      </c>
      <c r="K18" s="41" t="s">
        <v>561</v>
      </c>
      <c r="L18" s="42">
        <v>2100</v>
      </c>
      <c r="M18" s="40" t="str">
        <f>CONCATENATE(A18,".",D18,," ","-"," ",K18,"     ", "(","Tipo do objeto: ",Tabela152[[#This Row],[Tipo do Objeto]],")")</f>
        <v>13.2025NE846 - CONSELHO REGIONAL DE CONTABILIDADE DO DISTRITO FEDERAL     (Tipo do objeto: Serviços)</v>
      </c>
      <c r="P18" s="8"/>
      <c r="Q18" s="8"/>
    </row>
    <row r="19" spans="1:17" s="40" customFormat="1" ht="89.25" customHeight="1" thickBot="1" x14ac:dyDescent="0.3">
      <c r="A19" s="40">
        <v>14</v>
      </c>
      <c r="B19" s="41" t="s">
        <v>597</v>
      </c>
      <c r="C19" s="41" t="s">
        <v>449</v>
      </c>
      <c r="D19" s="41" t="s">
        <v>605</v>
      </c>
      <c r="E19" s="73" t="s">
        <v>210</v>
      </c>
      <c r="F19" s="74" t="s">
        <v>4</v>
      </c>
      <c r="G19" s="75">
        <v>45869</v>
      </c>
      <c r="H19" s="76">
        <v>46022</v>
      </c>
      <c r="I19" s="44" t="s">
        <v>28</v>
      </c>
      <c r="J19" s="73" t="s">
        <v>598</v>
      </c>
      <c r="K19" s="41" t="s">
        <v>599</v>
      </c>
      <c r="L19" s="77">
        <v>23350</v>
      </c>
      <c r="M19" s="40" t="str">
        <f>CONCATENATE(A19,".",D19,," ","-"," ",K19,"     ", "(","Tipo do objeto: ",Tabela152[[#This Row],[Tipo do Objeto]],")")</f>
        <v>14.2025NE000953 - RENATO DE PAULA - APRESENTACOES INTELIGENTES LTDA (PPTPLAY)     (Tipo do objeto: Serviços)</v>
      </c>
      <c r="P19" s="8"/>
      <c r="Q19" s="8"/>
    </row>
    <row r="20" spans="1:17" s="40" customFormat="1" ht="89.25" customHeight="1" thickBot="1" x14ac:dyDescent="0.3">
      <c r="A20" s="40">
        <v>15</v>
      </c>
      <c r="B20" s="41" t="s">
        <v>601</v>
      </c>
      <c r="C20" s="41" t="s">
        <v>449</v>
      </c>
      <c r="D20" s="41" t="s">
        <v>608</v>
      </c>
      <c r="E20" s="41" t="s">
        <v>210</v>
      </c>
      <c r="F20" s="41" t="s">
        <v>4</v>
      </c>
      <c r="G20" s="44">
        <v>45874</v>
      </c>
      <c r="H20" s="44">
        <v>45874</v>
      </c>
      <c r="I20" s="44" t="s">
        <v>28</v>
      </c>
      <c r="J20" s="41" t="s">
        <v>602</v>
      </c>
      <c r="K20" s="41" t="s">
        <v>603</v>
      </c>
      <c r="L20" s="42">
        <v>16605</v>
      </c>
      <c r="M20" s="40" t="str">
        <f>CONCATENATE(A20,".",D20,," ","-"," ",K20,"     ", "(","Tipo do objeto: ",Tabela152[[#This Row],[Tipo do Objeto]],")")</f>
        <v>15.2025NE001029 - Neurobox Tecnologia em Informática Ltda     (Tipo do objeto: Serviços)</v>
      </c>
      <c r="P20" s="8"/>
      <c r="Q20" s="8"/>
    </row>
    <row r="21" spans="1:17" s="40" customFormat="1" ht="89.25" customHeight="1" thickBot="1" x14ac:dyDescent="0.3">
      <c r="A21" s="40">
        <v>16</v>
      </c>
      <c r="B21" s="41" t="s">
        <v>614</v>
      </c>
      <c r="C21" s="41" t="s">
        <v>449</v>
      </c>
      <c r="D21" s="41" t="s">
        <v>618</v>
      </c>
      <c r="E21" s="41" t="s">
        <v>210</v>
      </c>
      <c r="F21" s="41" t="s">
        <v>4</v>
      </c>
      <c r="G21" s="44">
        <v>45888</v>
      </c>
      <c r="H21" s="44">
        <v>45888</v>
      </c>
      <c r="I21" s="44" t="s">
        <v>28</v>
      </c>
      <c r="J21" s="41" t="s">
        <v>615</v>
      </c>
      <c r="K21" s="41" t="s">
        <v>395</v>
      </c>
      <c r="L21" s="42">
        <v>26800</v>
      </c>
      <c r="M21" s="40" t="str">
        <f>CONCATENATE(A21,".",D21,," ","-"," ",K21,"     ", "(","Tipo do objeto: ",Tabela152[[#This Row],[Tipo do Objeto]],")")</f>
        <v>16.2025NE001047 - Ibmec Educacional Ltda     (Tipo do objeto: Serviços)</v>
      </c>
      <c r="P21" s="8"/>
      <c r="Q21" s="8"/>
    </row>
    <row r="22" spans="1:17" s="40" customFormat="1" ht="89.25" customHeight="1" thickBot="1" x14ac:dyDescent="0.3">
      <c r="A22" s="40">
        <v>17</v>
      </c>
      <c r="B22" s="41" t="s">
        <v>646</v>
      </c>
      <c r="C22" s="41" t="s">
        <v>449</v>
      </c>
      <c r="D22" s="41" t="s">
        <v>655</v>
      </c>
      <c r="E22" s="41" t="s">
        <v>210</v>
      </c>
      <c r="F22" s="41" t="s">
        <v>4</v>
      </c>
      <c r="G22" s="44">
        <v>45905</v>
      </c>
      <c r="H22" s="44">
        <v>45905</v>
      </c>
      <c r="I22" s="44" t="s">
        <v>28</v>
      </c>
      <c r="J22" s="41" t="s">
        <v>647</v>
      </c>
      <c r="K22" s="41" t="s">
        <v>367</v>
      </c>
      <c r="L22" s="42">
        <v>11090</v>
      </c>
      <c r="M22" s="40" t="str">
        <f>CONCATENATE(A22,".",D22,," ","-"," ",K22,"     ", "(","Tipo do objeto: ",Tabela152[[#This Row],[Tipo do Objeto]],")")</f>
        <v>17.2025NE001089 - Instituto Brasileiro de Governança Corporativa     (Tipo do objeto: Serviços)</v>
      </c>
      <c r="P22" s="8"/>
      <c r="Q22" s="8"/>
    </row>
    <row r="23" spans="1:17" s="40" customFormat="1" ht="89.25" customHeight="1" thickBot="1" x14ac:dyDescent="0.3">
      <c r="A23" s="40">
        <v>18</v>
      </c>
      <c r="B23" s="41" t="s">
        <v>648</v>
      </c>
      <c r="C23" s="41" t="s">
        <v>449</v>
      </c>
      <c r="D23" s="41" t="s">
        <v>660</v>
      </c>
      <c r="E23" s="41" t="s">
        <v>210</v>
      </c>
      <c r="F23" s="41" t="s">
        <v>4</v>
      </c>
      <c r="G23" s="44">
        <v>45910</v>
      </c>
      <c r="H23" s="44">
        <v>45910</v>
      </c>
      <c r="I23" s="44" t="s">
        <v>28</v>
      </c>
      <c r="J23" s="41" t="s">
        <v>649</v>
      </c>
      <c r="K23" s="41" t="s">
        <v>650</v>
      </c>
      <c r="L23" s="42">
        <v>14840</v>
      </c>
      <c r="M23" s="40" t="str">
        <f>CONCATENATE(A23,".",D23,," ","-"," ",K23,"     ", "(","Tipo do objeto: ",Tabela152[[#This Row],[Tipo do Objeto]],")")</f>
        <v>18.2025NE001096 - Congresso Brasileiro de Auditoria Interna     (Tipo do objeto: Serviços)</v>
      </c>
      <c r="P23" s="8"/>
      <c r="Q23" s="8"/>
    </row>
    <row r="24" spans="1:17" s="40" customFormat="1" ht="89.25" customHeight="1" thickBot="1" x14ac:dyDescent="0.3">
      <c r="A24" s="40">
        <v>19</v>
      </c>
      <c r="B24" s="41" t="s">
        <v>651</v>
      </c>
      <c r="C24" s="41" t="s">
        <v>449</v>
      </c>
      <c r="D24" s="41" t="s">
        <v>662</v>
      </c>
      <c r="E24" s="41" t="s">
        <v>210</v>
      </c>
      <c r="F24" s="41" t="s">
        <v>4</v>
      </c>
      <c r="G24" s="44">
        <v>45910</v>
      </c>
      <c r="H24" s="44">
        <v>45910</v>
      </c>
      <c r="I24" s="44" t="s">
        <v>28</v>
      </c>
      <c r="J24" s="41" t="s">
        <v>652</v>
      </c>
      <c r="K24" s="41" t="s">
        <v>653</v>
      </c>
      <c r="L24" s="42">
        <v>13560</v>
      </c>
      <c r="M24" s="40" t="str">
        <f>CONCATENATE(A24,".",D24,," ","-"," ",K24,"     ", "(","Tipo do objeto: ",Tabela152[[#This Row],[Tipo do Objeto]],")")</f>
        <v>19.2025NE001103 - Informa Markets Ltda     (Tipo do objeto: Serviços)</v>
      </c>
      <c r="P24" s="8"/>
      <c r="Q24" s="8"/>
    </row>
    <row r="25" spans="1:17" s="40" customFormat="1" ht="89.25" customHeight="1" thickBot="1" x14ac:dyDescent="0.3">
      <c r="A25" s="40">
        <v>20</v>
      </c>
      <c r="B25" s="41" t="s">
        <v>656</v>
      </c>
      <c r="C25" s="41" t="s">
        <v>449</v>
      </c>
      <c r="D25" s="41" t="s">
        <v>664</v>
      </c>
      <c r="E25" s="41" t="s">
        <v>210</v>
      </c>
      <c r="F25" s="41" t="s">
        <v>4</v>
      </c>
      <c r="G25" s="44">
        <v>45911</v>
      </c>
      <c r="H25" s="44">
        <v>45911</v>
      </c>
      <c r="I25" s="44" t="s">
        <v>28</v>
      </c>
      <c r="J25" s="41" t="s">
        <v>659</v>
      </c>
      <c r="K25" s="41" t="s">
        <v>665</v>
      </c>
      <c r="L25" s="42">
        <v>19508.830000000002</v>
      </c>
      <c r="M25" s="40" t="str">
        <f>CONCATENATE(A25,".",D25,," ","-"," ",K25,"     ", "(","Tipo do objeto: ",Tabela152[[#This Row],[Tipo do Objeto]],")")</f>
        <v>20.2025NE001105 - DLR (Deutsches Zentrum für Luft- und Raumfahrt)     (Tipo do objeto: Serviços)</v>
      </c>
      <c r="P25" s="8"/>
      <c r="Q25" s="8"/>
    </row>
    <row r="26" spans="1:17" s="40" customFormat="1" ht="89.25" customHeight="1" thickBot="1" x14ac:dyDescent="0.3">
      <c r="A26" s="40">
        <v>21</v>
      </c>
      <c r="B26" s="41" t="s">
        <v>657</v>
      </c>
      <c r="C26" s="41" t="s">
        <v>673</v>
      </c>
      <c r="D26" s="41" t="s">
        <v>681</v>
      </c>
      <c r="E26" s="41" t="s">
        <v>210</v>
      </c>
      <c r="F26" s="41" t="s">
        <v>4</v>
      </c>
      <c r="G26" s="44">
        <v>45922</v>
      </c>
      <c r="H26" s="44">
        <v>45922</v>
      </c>
      <c r="I26" s="44" t="s">
        <v>28</v>
      </c>
      <c r="J26" s="41" t="s">
        <v>658</v>
      </c>
      <c r="K26" s="41" t="s">
        <v>667</v>
      </c>
      <c r="L26" s="42">
        <v>10800</v>
      </c>
      <c r="M26" s="40" t="str">
        <f>CONCATENATE(A26,".",D26,," ","-"," ",K26,"     ", "(","Tipo do objeto: ",Tabela152[[#This Row],[Tipo do Objeto]],")")</f>
        <v>21. TLB-ORC-2025/00003 - GLASBERG COMUNICAÇÕES LTDA     (Tipo do objeto: Serviços)</v>
      </c>
      <c r="P26" s="8"/>
      <c r="Q26" s="8"/>
    </row>
    <row r="27" spans="1:17" s="40" customFormat="1" ht="89.25" customHeight="1" thickBot="1" x14ac:dyDescent="0.3">
      <c r="A27" s="40">
        <v>22</v>
      </c>
      <c r="B27" s="41" t="s">
        <v>670</v>
      </c>
      <c r="C27" s="41" t="s">
        <v>673</v>
      </c>
      <c r="D27" s="41" t="s">
        <v>672</v>
      </c>
      <c r="E27" s="41" t="s">
        <v>210</v>
      </c>
      <c r="F27" s="41" t="s">
        <v>4</v>
      </c>
      <c r="G27" s="44">
        <v>45916</v>
      </c>
      <c r="H27" s="44">
        <v>45916</v>
      </c>
      <c r="I27" s="44" t="s">
        <v>28</v>
      </c>
      <c r="J27" s="41" t="s">
        <v>671</v>
      </c>
      <c r="K27" s="41" t="s">
        <v>674</v>
      </c>
      <c r="L27" s="42">
        <v>4000</v>
      </c>
      <c r="M27" s="40" t="str">
        <f>CONCATENATE(A27,".",D27,," ","-"," ",K27,"     ", "(","Tipo do objeto: ",Tabela152[[#This Row],[Tipo do Objeto]],")")</f>
        <v>22.TLB-ORC-2025/00002 - INSTITUTO BRASILEIRO DE DIREITO ADMINISTRATIVO - IBDA     (Tipo do objeto: Serviços)</v>
      </c>
      <c r="P27" s="8"/>
      <c r="Q27" s="8"/>
    </row>
    <row r="28" spans="1:17" s="40" customFormat="1" ht="89.25" customHeight="1" thickBot="1" x14ac:dyDescent="0.3">
      <c r="A28" s="40">
        <v>23</v>
      </c>
      <c r="B28" s="41" t="s">
        <v>701</v>
      </c>
      <c r="C28" s="41" t="s">
        <v>673</v>
      </c>
      <c r="D28" s="41" t="s">
        <v>704</v>
      </c>
      <c r="E28" s="41" t="s">
        <v>210</v>
      </c>
      <c r="F28" s="41" t="s">
        <v>4</v>
      </c>
      <c r="G28" s="44">
        <v>45947</v>
      </c>
      <c r="H28" s="44">
        <v>45947</v>
      </c>
      <c r="I28" s="44" t="s">
        <v>28</v>
      </c>
      <c r="J28" s="41" t="s">
        <v>702</v>
      </c>
      <c r="K28" s="41" t="s">
        <v>358</v>
      </c>
      <c r="L28" s="42">
        <v>2775</v>
      </c>
      <c r="M28" s="40" t="str">
        <f>CONCATENATE(A28,".",D28,," ","-"," ",K28,"     ", "(","Tipo do objeto: ",Tabela152[[#This Row],[Tipo do Objeto]],")")</f>
        <v>23. TLB-ORC-2025/00006 - Instituto dos Auditores Internos do Brasil     (Tipo do objeto: Serviços)</v>
      </c>
      <c r="P28" s="8"/>
      <c r="Q28" s="8"/>
    </row>
    <row r="29" spans="1:17" s="40" customFormat="1" ht="89.25" customHeight="1" thickBot="1" x14ac:dyDescent="0.3">
      <c r="A29" s="40">
        <v>24</v>
      </c>
      <c r="B29" s="41" t="s">
        <v>706</v>
      </c>
      <c r="C29" s="41" t="s">
        <v>673</v>
      </c>
      <c r="D29" s="41" t="s">
        <v>709</v>
      </c>
      <c r="E29" s="41" t="s">
        <v>210</v>
      </c>
      <c r="F29" s="41" t="s">
        <v>4</v>
      </c>
      <c r="G29" s="44">
        <v>45958</v>
      </c>
      <c r="H29" s="44">
        <v>45958</v>
      </c>
      <c r="I29" s="44" t="s">
        <v>28</v>
      </c>
      <c r="J29" s="41" t="s">
        <v>708</v>
      </c>
      <c r="K29" s="41" t="s">
        <v>707</v>
      </c>
      <c r="L29" s="42">
        <v>17500</v>
      </c>
      <c r="M29" s="40" t="str">
        <f>CONCATENATE(A29,".",D29,," ","-"," ",K29,"     ", "(","Tipo do objeto: ",Tabela152[[#This Row],[Tipo do Objeto]],")")</f>
        <v>24.TLB-ORC-2025/00007 - MCI BRASIL LTDA     (Tipo do objeto: Serviços)</v>
      </c>
      <c r="P29" s="8"/>
      <c r="Q29" s="8"/>
    </row>
    <row r="30" spans="1:17" s="40" customFormat="1" ht="89.25" customHeight="1" thickBot="1" x14ac:dyDescent="0.3">
      <c r="A30" s="40">
        <v>25</v>
      </c>
      <c r="B30" s="41" t="s">
        <v>711</v>
      </c>
      <c r="C30" s="41" t="s">
        <v>673</v>
      </c>
      <c r="D30" s="41" t="s">
        <v>714</v>
      </c>
      <c r="E30" s="41" t="s">
        <v>210</v>
      </c>
      <c r="F30" s="41" t="s">
        <v>4</v>
      </c>
      <c r="G30" s="44">
        <v>45966</v>
      </c>
      <c r="H30" s="44">
        <v>45966</v>
      </c>
      <c r="I30" s="44" t="s">
        <v>28</v>
      </c>
      <c r="J30" s="41" t="s">
        <v>712</v>
      </c>
      <c r="K30" s="41" t="s">
        <v>367</v>
      </c>
      <c r="L30" s="42">
        <v>25500</v>
      </c>
      <c r="M30" s="40" t="str">
        <f>CONCATENATE(A30,".",D30,," ","-"," ",K30,"     ", "(","Tipo do objeto: ",Tabela152[[#This Row],[Tipo do Objeto]],")")</f>
        <v>25.TLB-ORC-2025/00008 - Instituto Brasileiro de Governança Corporativa     (Tipo do objeto: Serviços)</v>
      </c>
      <c r="P30" s="8"/>
      <c r="Q30" s="8"/>
    </row>
    <row r="31" spans="1:17" s="40" customFormat="1" ht="89.25" customHeight="1" thickBot="1" x14ac:dyDescent="0.3">
      <c r="A31" s="40">
        <v>26</v>
      </c>
      <c r="B31" s="41" t="s">
        <v>716</v>
      </c>
      <c r="C31" s="41" t="s">
        <v>673</v>
      </c>
      <c r="D31" s="41" t="s">
        <v>722</v>
      </c>
      <c r="E31" s="41" t="s">
        <v>723</v>
      </c>
      <c r="F31" s="41" t="s">
        <v>4</v>
      </c>
      <c r="G31" s="44">
        <v>45972</v>
      </c>
      <c r="H31" s="44">
        <v>45972</v>
      </c>
      <c r="I31" s="44" t="s">
        <v>28</v>
      </c>
      <c r="J31" s="41" t="s">
        <v>717</v>
      </c>
      <c r="K31" s="41" t="s">
        <v>395</v>
      </c>
      <c r="L31" s="42">
        <v>17000</v>
      </c>
      <c r="M31" s="40" t="str">
        <f>CONCATENATE(A31,".",D31,," ","-"," ",K31,"     ", "(","Tipo do objeto: ",Tabela152[[#This Row],[Tipo do Objeto]],")")</f>
        <v>26. TLB-ORC-2025/00010 - Ibmec Educacional Ltda     (Tipo do objeto: Serviços)</v>
      </c>
      <c r="P31" s="8"/>
      <c r="Q31" s="8"/>
    </row>
    <row r="32" spans="1:17" s="40" customFormat="1" ht="89.25" customHeight="1" thickBot="1" x14ac:dyDescent="0.3">
      <c r="A32" s="40">
        <v>27</v>
      </c>
      <c r="B32" s="41" t="s">
        <v>729</v>
      </c>
      <c r="C32" s="41" t="s">
        <v>673</v>
      </c>
      <c r="D32" s="41" t="s">
        <v>735</v>
      </c>
      <c r="E32" s="41" t="s">
        <v>85</v>
      </c>
      <c r="F32" s="41" t="s">
        <v>732</v>
      </c>
      <c r="G32" s="44">
        <v>45932</v>
      </c>
      <c r="H32" s="44">
        <v>45952</v>
      </c>
      <c r="I32" s="44" t="s">
        <v>23</v>
      </c>
      <c r="J32" s="41" t="s">
        <v>730</v>
      </c>
      <c r="K32" s="41" t="s">
        <v>733</v>
      </c>
      <c r="L32" s="42">
        <v>7760</v>
      </c>
      <c r="M32" s="40" t="str">
        <f>CONCATENATE(A32,".",D32,," ","-"," ",K32,"     ", "(","Tipo do objeto: ",Tabela152[[#This Row],[Tipo do Objeto]],")")</f>
        <v>27.TLB-ORC-2025/00004 - MARFAP COMERCIAL LTDA     (Tipo do objeto: Compras)</v>
      </c>
      <c r="P32" s="8"/>
      <c r="Q32" s="8"/>
    </row>
    <row r="33" spans="1:17" s="40" customFormat="1" ht="89.25" customHeight="1" thickBot="1" x14ac:dyDescent="0.3">
      <c r="A33" s="40">
        <v>28</v>
      </c>
      <c r="B33" s="41" t="s">
        <v>737</v>
      </c>
      <c r="C33" s="41" t="s">
        <v>673</v>
      </c>
      <c r="D33" s="41" t="s">
        <v>742</v>
      </c>
      <c r="E33" s="41" t="s">
        <v>743</v>
      </c>
      <c r="F33" s="41" t="s">
        <v>732</v>
      </c>
      <c r="G33" s="44">
        <v>45982</v>
      </c>
      <c r="H33" s="44">
        <v>46003</v>
      </c>
      <c r="I33" s="44" t="s">
        <v>23</v>
      </c>
      <c r="J33" s="41" t="s">
        <v>738</v>
      </c>
      <c r="K33" s="41" t="s">
        <v>740</v>
      </c>
      <c r="L33" s="42">
        <v>12680</v>
      </c>
      <c r="M33" s="40" t="str">
        <f>CONCATENATE(A33,".",D33,," ","-"," ",K33,"     ", "(","Tipo do objeto: ",Tabela152[[#This Row],[Tipo do Objeto]],")")</f>
        <v>28.TLB-ORC-2025/00011 - SOUL DISTRIBUIDORA DE PRODUTOS E EQUIPAMENTOS INDUSTRIAIS LTDA     (Tipo do objeto: Compras)</v>
      </c>
      <c r="P33" s="8"/>
      <c r="Q33" s="8"/>
    </row>
    <row r="34" spans="1:17" s="115" customFormat="1" ht="89.25" customHeight="1" thickBot="1" x14ac:dyDescent="0.3">
      <c r="A34" s="115">
        <v>29</v>
      </c>
      <c r="B34" s="52" t="s">
        <v>824</v>
      </c>
      <c r="C34" s="52" t="s">
        <v>449</v>
      </c>
      <c r="D34" s="52" t="s">
        <v>573</v>
      </c>
      <c r="E34" s="52" t="s">
        <v>826</v>
      </c>
      <c r="F34" s="52" t="s">
        <v>845</v>
      </c>
      <c r="G34" s="53">
        <v>45845</v>
      </c>
      <c r="H34" s="53">
        <v>46022</v>
      </c>
      <c r="I34" s="53" t="s">
        <v>23</v>
      </c>
      <c r="J34" s="52" t="s">
        <v>570</v>
      </c>
      <c r="K34" s="52" t="s">
        <v>571</v>
      </c>
      <c r="L34" s="54">
        <v>3245</v>
      </c>
      <c r="M34" s="40" t="str">
        <f>CONCATENATE(A34,".",D34,," ","-"," ",K34,"     ", "(","Tipo do objeto: ",Tabela152[[#This Row],[Tipo do Objeto]],")")</f>
        <v>29.2025NE000855 - M &amp; J REFRIGERACAO LTDA     (Tipo do objeto: Compras)</v>
      </c>
      <c r="P34" s="116"/>
      <c r="Q34" s="116"/>
    </row>
    <row r="35" spans="1:17" s="114" customFormat="1" ht="21" x14ac:dyDescent="0.35">
      <c r="A35" s="110"/>
      <c r="B35" s="111" t="s">
        <v>443</v>
      </c>
      <c r="C35" s="111"/>
      <c r="D35" s="111">
        <f>SUBTOTAL(103,Tabela152[Nº CONTRATO])</f>
        <v>29</v>
      </c>
      <c r="E35" s="111"/>
      <c r="F35" s="112"/>
      <c r="G35" s="111"/>
      <c r="H35" s="111"/>
      <c r="I35" s="111"/>
      <c r="J35" s="111"/>
      <c r="K35" s="111"/>
      <c r="L35" s="113">
        <f>SUBTOTAL(109,Tabela152[VALOR DO CONTRATO])</f>
        <v>523237.27999999997</v>
      </c>
    </row>
    <row r="36" spans="1:17" s="33" customFormat="1" x14ac:dyDescent="0.25">
      <c r="A36"/>
      <c r="B36"/>
      <c r="C36"/>
      <c r="D36"/>
      <c r="E36"/>
      <c r="F36"/>
      <c r="G36"/>
      <c r="H36"/>
      <c r="I36"/>
      <c r="J36"/>
      <c r="K36" s="34"/>
    </row>
    <row r="37" spans="1:17" s="33" customFormat="1" x14ac:dyDescent="0.25">
      <c r="A37"/>
      <c r="B37"/>
      <c r="C37"/>
      <c r="D37"/>
      <c r="E37"/>
      <c r="F37"/>
      <c r="G37"/>
      <c r="H37"/>
      <c r="I37"/>
      <c r="J37"/>
      <c r="K37" s="34"/>
    </row>
    <row r="38" spans="1:17" s="33" customFormat="1" x14ac:dyDescent="0.25">
      <c r="A38"/>
      <c r="B38"/>
      <c r="C38"/>
      <c r="D38"/>
      <c r="E38"/>
      <c r="F38"/>
      <c r="G38"/>
      <c r="H38"/>
      <c r="I38"/>
      <c r="J38"/>
      <c r="K38" s="34"/>
    </row>
    <row r="39" spans="1:17" s="33" customFormat="1" x14ac:dyDescent="0.25">
      <c r="A39"/>
      <c r="B39"/>
      <c r="C39"/>
      <c r="D39"/>
      <c r="E39"/>
      <c r="F39"/>
      <c r="G39"/>
      <c r="H39"/>
      <c r="I39"/>
      <c r="J39"/>
      <c r="K39" s="34"/>
    </row>
    <row r="40" spans="1:17" s="33" customFormat="1" x14ac:dyDescent="0.25">
      <c r="A40"/>
      <c r="B40"/>
      <c r="C40"/>
      <c r="D40"/>
      <c r="E40"/>
      <c r="F40"/>
      <c r="G40"/>
      <c r="H40"/>
      <c r="I40"/>
      <c r="J40"/>
      <c r="K40" s="34"/>
    </row>
    <row r="41" spans="1:17" s="33" customFormat="1" x14ac:dyDescent="0.25">
      <c r="A41"/>
      <c r="B41"/>
      <c r="C41"/>
      <c r="D41"/>
      <c r="E41"/>
      <c r="F41"/>
      <c r="G41"/>
      <c r="H41"/>
      <c r="I41"/>
      <c r="J41"/>
      <c r="K41" s="34"/>
    </row>
    <row r="42" spans="1:17" s="33" customFormat="1" x14ac:dyDescent="0.25">
      <c r="A42"/>
      <c r="B42"/>
      <c r="C42"/>
      <c r="D42"/>
      <c r="E42"/>
      <c r="F42"/>
      <c r="G42"/>
      <c r="H42"/>
      <c r="I42"/>
      <c r="J42"/>
      <c r="K42" s="34"/>
    </row>
    <row r="43" spans="1:17" s="33" customFormat="1" x14ac:dyDescent="0.25">
      <c r="A43"/>
      <c r="B43"/>
      <c r="C43"/>
      <c r="D43"/>
      <c r="E43"/>
      <c r="F43"/>
      <c r="G43"/>
      <c r="H43"/>
      <c r="I43"/>
      <c r="J43"/>
      <c r="K43" s="34"/>
    </row>
    <row r="44" spans="1:17" s="33" customFormat="1" x14ac:dyDescent="0.25">
      <c r="A44"/>
      <c r="B44"/>
      <c r="C44"/>
      <c r="D44"/>
      <c r="E44"/>
      <c r="F44"/>
      <c r="G44"/>
      <c r="H44"/>
      <c r="I44"/>
      <c r="J44"/>
      <c r="K44" s="34"/>
    </row>
    <row r="45" spans="1:17" s="33" customFormat="1" x14ac:dyDescent="0.25">
      <c r="A45"/>
      <c r="B45"/>
      <c r="C45"/>
      <c r="D45"/>
      <c r="E45"/>
      <c r="F45"/>
      <c r="G45"/>
      <c r="H45"/>
      <c r="I45"/>
      <c r="J45"/>
      <c r="K45" s="34"/>
    </row>
    <row r="46" spans="1:17" s="33" customFormat="1" x14ac:dyDescent="0.25">
      <c r="A46"/>
      <c r="B46"/>
      <c r="C46"/>
      <c r="D46"/>
      <c r="E46"/>
      <c r="F46"/>
      <c r="G46"/>
      <c r="H46"/>
      <c r="I46"/>
      <c r="J46"/>
      <c r="K46" s="34"/>
    </row>
    <row r="47" spans="1:17" s="33" customFormat="1" x14ac:dyDescent="0.25">
      <c r="A47"/>
      <c r="B47"/>
      <c r="C47"/>
      <c r="D47"/>
      <c r="E47"/>
      <c r="F47"/>
      <c r="G47"/>
      <c r="H47"/>
      <c r="I47"/>
      <c r="J47"/>
      <c r="K47" s="34"/>
    </row>
    <row r="48" spans="1:17" s="33" customFormat="1" x14ac:dyDescent="0.25">
      <c r="A48"/>
      <c r="B48"/>
      <c r="C48"/>
      <c r="D48"/>
      <c r="E48"/>
      <c r="F48"/>
      <c r="G48"/>
      <c r="H48"/>
      <c r="I48"/>
      <c r="J48"/>
      <c r="K48" s="34"/>
    </row>
    <row r="49" spans="1:11" s="33" customFormat="1" x14ac:dyDescent="0.25">
      <c r="A49"/>
      <c r="B49"/>
      <c r="C49"/>
      <c r="D49"/>
      <c r="E49"/>
      <c r="F49"/>
      <c r="G49"/>
      <c r="H49"/>
      <c r="I49"/>
      <c r="J49"/>
      <c r="K49" s="34"/>
    </row>
    <row r="50" spans="1:11" s="33" customFormat="1" x14ac:dyDescent="0.25">
      <c r="A50"/>
      <c r="B50"/>
      <c r="C50"/>
      <c r="D50"/>
      <c r="E50"/>
      <c r="F50"/>
      <c r="G50"/>
      <c r="H50"/>
      <c r="I50"/>
      <c r="J50"/>
      <c r="K50" s="34"/>
    </row>
    <row r="51" spans="1:11" s="33" customFormat="1" x14ac:dyDescent="0.25">
      <c r="A51"/>
      <c r="B51"/>
      <c r="C51"/>
      <c r="D51"/>
      <c r="E51"/>
      <c r="F51"/>
      <c r="G51"/>
      <c r="H51"/>
      <c r="I51"/>
      <c r="J51"/>
      <c r="K51" s="34"/>
    </row>
    <row r="52" spans="1:11" s="33" customFormat="1" x14ac:dyDescent="0.25">
      <c r="A52"/>
      <c r="B52"/>
      <c r="C52"/>
      <c r="D52"/>
      <c r="E52"/>
      <c r="F52"/>
      <c r="G52"/>
      <c r="H52"/>
      <c r="I52"/>
      <c r="J52"/>
      <c r="K52" s="34"/>
    </row>
    <row r="53" spans="1:11" s="33" customFormat="1" x14ac:dyDescent="0.25">
      <c r="A53"/>
      <c r="B53"/>
      <c r="C53"/>
      <c r="D53"/>
      <c r="E53"/>
      <c r="F53"/>
      <c r="G53"/>
      <c r="H53"/>
      <c r="I53"/>
      <c r="J53"/>
      <c r="K53" s="34"/>
    </row>
    <row r="54" spans="1:11" s="33" customFormat="1" x14ac:dyDescent="0.25">
      <c r="A54"/>
      <c r="B54"/>
      <c r="C54"/>
      <c r="D54"/>
      <c r="E54"/>
      <c r="F54"/>
      <c r="G54"/>
      <c r="H54"/>
      <c r="I54"/>
      <c r="J54"/>
      <c r="K54" s="34"/>
    </row>
    <row r="55" spans="1:11" s="33" customFormat="1" x14ac:dyDescent="0.25">
      <c r="A55"/>
      <c r="B55"/>
      <c r="C55"/>
      <c r="D55"/>
      <c r="E55"/>
      <c r="F55"/>
      <c r="G55"/>
      <c r="H55"/>
      <c r="I55"/>
      <c r="J55"/>
      <c r="K55" s="34"/>
    </row>
    <row r="56" spans="1:11" s="33" customFormat="1" x14ac:dyDescent="0.25">
      <c r="A56"/>
      <c r="B56"/>
      <c r="C56"/>
      <c r="D56"/>
      <c r="E56"/>
      <c r="F56"/>
      <c r="G56"/>
      <c r="H56"/>
      <c r="I56"/>
      <c r="J56"/>
      <c r="K56" s="34"/>
    </row>
    <row r="57" spans="1:11" s="33" customFormat="1" x14ac:dyDescent="0.25">
      <c r="A57"/>
      <c r="B57"/>
      <c r="C57"/>
      <c r="D57"/>
      <c r="E57"/>
      <c r="F57"/>
      <c r="G57"/>
      <c r="H57"/>
      <c r="I57"/>
      <c r="J57"/>
      <c r="K57" s="34"/>
    </row>
    <row r="58" spans="1:11" s="33" customFormat="1" x14ac:dyDescent="0.25">
      <c r="A58"/>
      <c r="B58"/>
      <c r="C58"/>
      <c r="D58"/>
      <c r="E58"/>
      <c r="F58"/>
      <c r="G58"/>
      <c r="H58"/>
      <c r="I58"/>
      <c r="J58"/>
      <c r="K58" s="34"/>
    </row>
    <row r="59" spans="1:11" s="33" customFormat="1" x14ac:dyDescent="0.25">
      <c r="A59"/>
      <c r="B59"/>
      <c r="C59"/>
      <c r="D59"/>
      <c r="E59"/>
      <c r="F59"/>
      <c r="G59"/>
      <c r="H59"/>
      <c r="I59"/>
      <c r="J59"/>
      <c r="K59" s="34"/>
    </row>
    <row r="60" spans="1:11" s="33" customFormat="1" x14ac:dyDescent="0.25">
      <c r="A60"/>
      <c r="B60"/>
      <c r="C60"/>
      <c r="D60"/>
      <c r="E60"/>
      <c r="F60"/>
      <c r="G60"/>
      <c r="H60"/>
      <c r="I60"/>
      <c r="J60"/>
      <c r="K60" s="34"/>
    </row>
    <row r="61" spans="1:11" s="33" customFormat="1" x14ac:dyDescent="0.25">
      <c r="A61"/>
      <c r="B61"/>
      <c r="C61"/>
      <c r="D61"/>
      <c r="E61"/>
      <c r="F61"/>
      <c r="G61"/>
      <c r="H61"/>
      <c r="I61"/>
      <c r="J61"/>
      <c r="K61" s="34"/>
    </row>
    <row r="62" spans="1:11" s="33" customFormat="1" x14ac:dyDescent="0.25">
      <c r="A62"/>
      <c r="B62"/>
      <c r="C62"/>
      <c r="D62"/>
      <c r="E62"/>
      <c r="F62"/>
      <c r="G62"/>
      <c r="H62"/>
      <c r="I62"/>
      <c r="J62"/>
      <c r="K62" s="34"/>
    </row>
    <row r="63" spans="1:11" s="33" customFormat="1" x14ac:dyDescent="0.25">
      <c r="A63"/>
      <c r="B63"/>
      <c r="C63"/>
      <c r="D63"/>
      <c r="E63"/>
      <c r="F63"/>
      <c r="G63"/>
      <c r="H63"/>
      <c r="I63"/>
      <c r="J63"/>
      <c r="K63" s="34"/>
    </row>
    <row r="64" spans="1:11" s="33" customFormat="1" x14ac:dyDescent="0.25">
      <c r="A64"/>
      <c r="B64"/>
      <c r="C64"/>
      <c r="D64"/>
      <c r="E64"/>
      <c r="F64"/>
      <c r="G64"/>
      <c r="H64"/>
      <c r="I64"/>
      <c r="J64"/>
      <c r="K64" s="34"/>
    </row>
    <row r="65" spans="1:11" s="33" customFormat="1" x14ac:dyDescent="0.25">
      <c r="A65"/>
      <c r="B65"/>
      <c r="C65"/>
      <c r="D65"/>
      <c r="E65"/>
      <c r="F65"/>
      <c r="G65"/>
      <c r="H65"/>
      <c r="I65"/>
      <c r="J65"/>
      <c r="K65" s="34"/>
    </row>
    <row r="66" spans="1:11" s="33" customFormat="1" x14ac:dyDescent="0.25">
      <c r="A66"/>
      <c r="B66"/>
      <c r="C66"/>
      <c r="D66"/>
      <c r="E66"/>
      <c r="F66"/>
      <c r="G66"/>
      <c r="H66"/>
      <c r="I66"/>
      <c r="J66"/>
      <c r="K66" s="34"/>
    </row>
    <row r="67" spans="1:11" s="33" customFormat="1" x14ac:dyDescent="0.25">
      <c r="A67"/>
      <c r="B67"/>
      <c r="C67"/>
      <c r="D67"/>
      <c r="E67"/>
      <c r="F67"/>
      <c r="G67"/>
      <c r="H67"/>
      <c r="I67"/>
      <c r="J67"/>
      <c r="K67" s="34"/>
    </row>
    <row r="68" spans="1:11" s="33" customFormat="1" x14ac:dyDescent="0.25">
      <c r="A68"/>
      <c r="B68"/>
      <c r="C68"/>
      <c r="D68"/>
      <c r="E68"/>
      <c r="F68"/>
      <c r="G68"/>
      <c r="H68"/>
      <c r="I68"/>
      <c r="J68"/>
      <c r="K68" s="34"/>
    </row>
    <row r="69" spans="1:11" s="33" customFormat="1" x14ac:dyDescent="0.25">
      <c r="A69"/>
      <c r="B69"/>
      <c r="C69"/>
      <c r="D69"/>
      <c r="E69"/>
      <c r="F69"/>
      <c r="G69"/>
      <c r="H69"/>
      <c r="I69"/>
      <c r="J69"/>
      <c r="K69" s="34"/>
    </row>
    <row r="70" spans="1:11" s="33" customFormat="1" x14ac:dyDescent="0.25">
      <c r="A70"/>
      <c r="B70"/>
      <c r="C70"/>
      <c r="D70"/>
      <c r="E70"/>
      <c r="F70"/>
      <c r="G70"/>
      <c r="H70"/>
      <c r="I70"/>
      <c r="J70"/>
      <c r="K70" s="34"/>
    </row>
    <row r="71" spans="1:11" s="33" customFormat="1" x14ac:dyDescent="0.25">
      <c r="A71"/>
      <c r="B71"/>
      <c r="C71"/>
      <c r="D71"/>
      <c r="E71"/>
      <c r="F71"/>
      <c r="G71"/>
      <c r="H71"/>
      <c r="I71"/>
      <c r="J71"/>
      <c r="K71" s="34"/>
    </row>
    <row r="72" spans="1:11" s="33" customFormat="1" x14ac:dyDescent="0.25">
      <c r="A72"/>
      <c r="B72"/>
      <c r="C72"/>
      <c r="D72"/>
      <c r="E72"/>
      <c r="F72"/>
      <c r="G72"/>
      <c r="H72"/>
      <c r="I72"/>
      <c r="J72"/>
      <c r="K72" s="34"/>
    </row>
    <row r="73" spans="1:11" s="33" customFormat="1" x14ac:dyDescent="0.25">
      <c r="A73"/>
      <c r="B73"/>
      <c r="C73"/>
      <c r="D73"/>
      <c r="E73"/>
      <c r="F73"/>
      <c r="G73"/>
      <c r="H73"/>
      <c r="I73"/>
      <c r="J73"/>
      <c r="K73" s="34"/>
    </row>
    <row r="74" spans="1:11" s="33" customFormat="1" x14ac:dyDescent="0.25">
      <c r="A74"/>
      <c r="B74"/>
      <c r="C74"/>
      <c r="D74"/>
      <c r="E74"/>
      <c r="F74"/>
      <c r="G74"/>
      <c r="H74"/>
      <c r="I74"/>
      <c r="J74"/>
      <c r="K74" s="34"/>
    </row>
    <row r="75" spans="1:11" s="33" customFormat="1" x14ac:dyDescent="0.25">
      <c r="A75"/>
      <c r="B75"/>
      <c r="C75"/>
      <c r="D75"/>
      <c r="E75"/>
      <c r="F75"/>
      <c r="G75"/>
      <c r="H75"/>
      <c r="I75"/>
      <c r="J75"/>
      <c r="K75" s="34"/>
    </row>
    <row r="76" spans="1:11" s="33" customFormat="1" x14ac:dyDescent="0.25">
      <c r="A76"/>
      <c r="B76"/>
      <c r="C76"/>
      <c r="D76"/>
      <c r="E76"/>
      <c r="F76"/>
      <c r="G76"/>
      <c r="H76"/>
      <c r="I76"/>
      <c r="J76"/>
      <c r="K76" s="34"/>
    </row>
    <row r="77" spans="1:11" s="33" customFormat="1" x14ac:dyDescent="0.25">
      <c r="A77"/>
      <c r="B77"/>
      <c r="C77"/>
      <c r="D77"/>
      <c r="E77"/>
      <c r="F77"/>
      <c r="G77"/>
      <c r="H77"/>
      <c r="I77"/>
      <c r="J77"/>
      <c r="K77" s="34"/>
    </row>
    <row r="78" spans="1:11" s="33" customFormat="1" x14ac:dyDescent="0.25">
      <c r="A78"/>
      <c r="B78"/>
      <c r="C78"/>
      <c r="D78"/>
      <c r="E78"/>
      <c r="F78"/>
      <c r="G78"/>
      <c r="H78"/>
      <c r="I78"/>
      <c r="J78"/>
      <c r="K78" s="34"/>
    </row>
    <row r="79" spans="1:11" s="33" customFormat="1" x14ac:dyDescent="0.25">
      <c r="A79"/>
      <c r="B79"/>
      <c r="C79"/>
      <c r="D79"/>
      <c r="E79"/>
      <c r="F79"/>
      <c r="G79"/>
      <c r="H79"/>
      <c r="I79"/>
      <c r="J79"/>
      <c r="K79" s="34"/>
    </row>
    <row r="80" spans="1:11" s="33" customFormat="1" x14ac:dyDescent="0.25">
      <c r="A80"/>
      <c r="B80"/>
      <c r="C80"/>
      <c r="D80"/>
      <c r="E80"/>
      <c r="F80"/>
      <c r="G80"/>
      <c r="H80"/>
      <c r="I80"/>
      <c r="J80"/>
      <c r="K80" s="34"/>
    </row>
    <row r="81" spans="1:11" s="33" customFormat="1" x14ac:dyDescent="0.25">
      <c r="A81"/>
      <c r="B81"/>
      <c r="C81"/>
      <c r="D81"/>
      <c r="E81"/>
      <c r="F81"/>
      <c r="G81"/>
      <c r="H81"/>
      <c r="I81"/>
      <c r="J81"/>
      <c r="K81" s="34"/>
    </row>
    <row r="82" spans="1:11" s="33" customFormat="1" x14ac:dyDescent="0.25">
      <c r="A82"/>
      <c r="B82"/>
      <c r="C82"/>
      <c r="D82"/>
      <c r="E82"/>
      <c r="F82"/>
      <c r="G82"/>
      <c r="H82"/>
      <c r="I82"/>
      <c r="J82"/>
      <c r="K82" s="34"/>
    </row>
    <row r="83" spans="1:11" s="33" customFormat="1" x14ac:dyDescent="0.25">
      <c r="A83"/>
      <c r="B83"/>
      <c r="C83"/>
      <c r="D83"/>
      <c r="E83"/>
      <c r="F83"/>
      <c r="G83"/>
      <c r="H83"/>
      <c r="I83"/>
      <c r="J83"/>
      <c r="K83" s="34"/>
    </row>
    <row r="84" spans="1:11" s="33" customFormat="1" x14ac:dyDescent="0.25">
      <c r="A84"/>
      <c r="B84"/>
      <c r="C84"/>
      <c r="D84"/>
      <c r="E84"/>
      <c r="F84"/>
      <c r="G84"/>
      <c r="H84"/>
      <c r="I84"/>
      <c r="J84"/>
      <c r="K84" s="34"/>
    </row>
    <row r="85" spans="1:11" s="33" customFormat="1" x14ac:dyDescent="0.25">
      <c r="A85"/>
      <c r="B85"/>
      <c r="C85"/>
      <c r="D85"/>
      <c r="E85"/>
      <c r="F85"/>
      <c r="G85"/>
      <c r="H85"/>
      <c r="I85"/>
      <c r="J85"/>
      <c r="K85" s="34"/>
    </row>
    <row r="86" spans="1:11" s="33" customFormat="1" x14ac:dyDescent="0.25">
      <c r="A86"/>
      <c r="B86"/>
      <c r="C86"/>
      <c r="D86"/>
      <c r="E86"/>
      <c r="F86"/>
      <c r="G86"/>
      <c r="H86"/>
      <c r="I86"/>
      <c r="J86"/>
      <c r="K86" s="34"/>
    </row>
    <row r="87" spans="1:11" s="33" customFormat="1" x14ac:dyDescent="0.25">
      <c r="A87"/>
      <c r="B87"/>
      <c r="C87"/>
      <c r="D87"/>
      <c r="E87"/>
      <c r="F87"/>
      <c r="G87"/>
      <c r="H87"/>
      <c r="I87"/>
      <c r="J87"/>
      <c r="K87" s="34"/>
    </row>
    <row r="88" spans="1:11" s="33" customFormat="1" x14ac:dyDescent="0.25">
      <c r="A88"/>
      <c r="B88"/>
      <c r="C88"/>
      <c r="D88"/>
      <c r="E88"/>
      <c r="F88"/>
      <c r="G88"/>
      <c r="H88"/>
      <c r="I88"/>
      <c r="J88"/>
      <c r="K88" s="34"/>
    </row>
    <row r="89" spans="1:11" s="33" customFormat="1" x14ac:dyDescent="0.25">
      <c r="A89"/>
      <c r="B89"/>
      <c r="C89"/>
      <c r="D89"/>
      <c r="E89"/>
      <c r="F89"/>
      <c r="G89"/>
      <c r="H89"/>
      <c r="I89"/>
      <c r="J89"/>
      <c r="K89" s="34"/>
    </row>
    <row r="90" spans="1:11" s="33" customFormat="1" x14ac:dyDescent="0.25">
      <c r="A90"/>
      <c r="B90"/>
      <c r="C90"/>
      <c r="D90"/>
      <c r="E90"/>
      <c r="F90"/>
      <c r="G90"/>
      <c r="H90"/>
      <c r="I90"/>
      <c r="J90"/>
      <c r="K90" s="34"/>
    </row>
    <row r="91" spans="1:11" s="33" customFormat="1" x14ac:dyDescent="0.25">
      <c r="A91"/>
      <c r="B91"/>
      <c r="C91"/>
      <c r="D91"/>
      <c r="E91"/>
      <c r="F91"/>
      <c r="G91"/>
      <c r="H91"/>
      <c r="I91"/>
      <c r="J91"/>
      <c r="K91" s="34"/>
    </row>
    <row r="92" spans="1:11" s="33" customFormat="1" x14ac:dyDescent="0.25">
      <c r="A92"/>
      <c r="B92"/>
      <c r="C92"/>
      <c r="D92"/>
      <c r="E92"/>
      <c r="F92"/>
      <c r="G92"/>
      <c r="H92"/>
      <c r="I92"/>
      <c r="J92"/>
      <c r="K92" s="34"/>
    </row>
    <row r="93" spans="1:11" s="33" customFormat="1" x14ac:dyDescent="0.25">
      <c r="A93"/>
      <c r="B93"/>
      <c r="C93"/>
      <c r="D93"/>
      <c r="E93"/>
      <c r="F93"/>
      <c r="G93"/>
      <c r="H93"/>
      <c r="I93"/>
      <c r="J93"/>
      <c r="K93" s="34"/>
    </row>
    <row r="94" spans="1:11" s="33" customFormat="1" x14ac:dyDescent="0.25">
      <c r="A94"/>
      <c r="B94"/>
      <c r="C94"/>
      <c r="D94"/>
      <c r="E94"/>
      <c r="F94"/>
      <c r="G94"/>
      <c r="H94"/>
      <c r="I94"/>
      <c r="J94"/>
      <c r="K94" s="34"/>
    </row>
    <row r="95" spans="1:11" s="33" customFormat="1" x14ac:dyDescent="0.25">
      <c r="A95"/>
      <c r="B95"/>
      <c r="C95"/>
      <c r="D95"/>
      <c r="E95"/>
      <c r="F95"/>
      <c r="G95"/>
      <c r="H95"/>
      <c r="I95"/>
      <c r="J95"/>
      <c r="K95" s="34"/>
    </row>
    <row r="96" spans="1:11" s="33" customFormat="1" x14ac:dyDescent="0.25">
      <c r="A96"/>
      <c r="B96"/>
      <c r="C96"/>
      <c r="D96"/>
      <c r="E96"/>
      <c r="F96"/>
      <c r="G96"/>
      <c r="H96"/>
      <c r="I96"/>
      <c r="J96"/>
      <c r="K96" s="34"/>
    </row>
    <row r="97" spans="1:11" s="33" customFormat="1" x14ac:dyDescent="0.25">
      <c r="A97"/>
      <c r="B97"/>
      <c r="C97"/>
      <c r="D97"/>
      <c r="E97"/>
      <c r="F97"/>
      <c r="G97"/>
      <c r="H97"/>
      <c r="I97"/>
      <c r="J97"/>
      <c r="K97" s="34"/>
    </row>
    <row r="98" spans="1:11" s="33" customFormat="1" x14ac:dyDescent="0.25">
      <c r="A98"/>
      <c r="B98"/>
      <c r="C98"/>
      <c r="D98"/>
      <c r="E98"/>
      <c r="F98"/>
      <c r="G98"/>
      <c r="H98"/>
      <c r="I98"/>
      <c r="J98"/>
      <c r="K98" s="34"/>
    </row>
    <row r="99" spans="1:11" s="33" customFormat="1" x14ac:dyDescent="0.25">
      <c r="A99"/>
      <c r="B99"/>
      <c r="C99"/>
      <c r="D99"/>
      <c r="E99"/>
      <c r="F99"/>
      <c r="G99"/>
      <c r="H99"/>
      <c r="I99"/>
      <c r="J99"/>
      <c r="K99" s="34"/>
    </row>
    <row r="100" spans="1:11" s="33" customFormat="1" x14ac:dyDescent="0.25">
      <c r="A100"/>
      <c r="B100"/>
      <c r="C100"/>
      <c r="D100"/>
      <c r="E100"/>
      <c r="F100"/>
      <c r="G100"/>
      <c r="H100"/>
      <c r="I100"/>
      <c r="J100"/>
      <c r="K100" s="34"/>
    </row>
    <row r="101" spans="1:11" s="33" customFormat="1" x14ac:dyDescent="0.25">
      <c r="A101"/>
      <c r="B101"/>
      <c r="C101"/>
      <c r="D101"/>
      <c r="E101"/>
      <c r="F101"/>
      <c r="G101"/>
      <c r="H101"/>
      <c r="I101"/>
      <c r="J101"/>
      <c r="K101" s="34"/>
    </row>
    <row r="102" spans="1:11" s="33" customFormat="1" x14ac:dyDescent="0.25">
      <c r="A102"/>
      <c r="B102"/>
      <c r="C102"/>
      <c r="D102"/>
      <c r="E102"/>
      <c r="F102"/>
      <c r="G102"/>
      <c r="H102"/>
      <c r="I102"/>
      <c r="J102"/>
      <c r="K102" s="34"/>
    </row>
    <row r="103" spans="1:11" s="33" customFormat="1" x14ac:dyDescent="0.25">
      <c r="A103"/>
      <c r="B103"/>
      <c r="C103"/>
      <c r="D103"/>
      <c r="E103"/>
      <c r="F103"/>
      <c r="G103"/>
      <c r="H103"/>
      <c r="I103"/>
      <c r="J103"/>
      <c r="K103" s="34"/>
    </row>
    <row r="104" spans="1:11" s="33" customFormat="1" x14ac:dyDescent="0.25">
      <c r="A104"/>
      <c r="B104"/>
      <c r="C104"/>
      <c r="D104"/>
      <c r="E104"/>
      <c r="F104"/>
      <c r="G104"/>
      <c r="H104"/>
      <c r="I104"/>
      <c r="J104"/>
      <c r="K104" s="34"/>
    </row>
    <row r="105" spans="1:11" s="33" customFormat="1" x14ac:dyDescent="0.25">
      <c r="A105"/>
      <c r="B105"/>
      <c r="C105"/>
      <c r="D105"/>
      <c r="E105"/>
      <c r="F105"/>
      <c r="G105"/>
      <c r="H105"/>
      <c r="I105"/>
      <c r="J105"/>
      <c r="K105" s="34"/>
    </row>
    <row r="106" spans="1:11" s="33" customFormat="1" x14ac:dyDescent="0.25">
      <c r="A106"/>
      <c r="B106"/>
      <c r="C106"/>
      <c r="D106"/>
      <c r="E106"/>
      <c r="F106"/>
      <c r="G106"/>
      <c r="H106"/>
      <c r="I106"/>
      <c r="J106"/>
      <c r="K106" s="34"/>
    </row>
    <row r="107" spans="1:11" s="33" customFormat="1" x14ac:dyDescent="0.25">
      <c r="A107"/>
      <c r="B107"/>
      <c r="C107"/>
      <c r="D107"/>
      <c r="E107"/>
      <c r="F107"/>
      <c r="G107"/>
      <c r="H107"/>
      <c r="I107"/>
      <c r="J107"/>
      <c r="K107" s="34"/>
    </row>
    <row r="108" spans="1:11" s="33" customFormat="1" x14ac:dyDescent="0.25">
      <c r="A108"/>
      <c r="B108"/>
      <c r="C108"/>
      <c r="D108"/>
      <c r="E108"/>
      <c r="F108"/>
      <c r="G108"/>
      <c r="H108"/>
      <c r="I108"/>
      <c r="J108"/>
      <c r="K108" s="34"/>
    </row>
    <row r="109" spans="1:11" s="33" customFormat="1" x14ac:dyDescent="0.25">
      <c r="A109"/>
      <c r="B109"/>
      <c r="C109"/>
      <c r="D109"/>
      <c r="E109"/>
      <c r="F109"/>
      <c r="G109"/>
      <c r="H109"/>
      <c r="I109"/>
      <c r="J109"/>
      <c r="K109" s="34"/>
    </row>
    <row r="110" spans="1:11" s="33" customFormat="1" x14ac:dyDescent="0.25">
      <c r="A110"/>
      <c r="B110"/>
      <c r="C110"/>
      <c r="D110"/>
      <c r="E110"/>
      <c r="F110"/>
      <c r="G110"/>
      <c r="H110"/>
      <c r="I110"/>
      <c r="J110"/>
      <c r="K110" s="34"/>
    </row>
    <row r="111" spans="1:11" s="33" customFormat="1" x14ac:dyDescent="0.25">
      <c r="A111"/>
      <c r="B111"/>
      <c r="C111"/>
      <c r="D111"/>
      <c r="E111"/>
      <c r="F111"/>
      <c r="G111"/>
      <c r="H111"/>
      <c r="I111"/>
      <c r="J111"/>
      <c r="K111" s="34"/>
    </row>
    <row r="112" spans="1:11" s="33" customFormat="1" x14ac:dyDescent="0.25">
      <c r="A112"/>
      <c r="B112"/>
      <c r="C112"/>
      <c r="D112"/>
      <c r="E112"/>
      <c r="F112"/>
      <c r="G112"/>
      <c r="H112"/>
      <c r="I112"/>
      <c r="J112"/>
      <c r="K112" s="34"/>
    </row>
    <row r="113" spans="1:11" s="33" customFormat="1" x14ac:dyDescent="0.25">
      <c r="A113"/>
      <c r="B113"/>
      <c r="C113"/>
      <c r="D113"/>
      <c r="E113"/>
      <c r="F113"/>
      <c r="G113"/>
      <c r="H113"/>
      <c r="I113"/>
      <c r="J113"/>
      <c r="K113" s="34"/>
    </row>
    <row r="114" spans="1:11" s="33" customFormat="1" x14ac:dyDescent="0.25">
      <c r="A114"/>
      <c r="B114"/>
      <c r="C114"/>
      <c r="D114"/>
      <c r="E114"/>
      <c r="F114"/>
      <c r="G114"/>
      <c r="H114"/>
      <c r="I114"/>
      <c r="J114"/>
      <c r="K114" s="34"/>
    </row>
    <row r="115" spans="1:11" s="33" customFormat="1" x14ac:dyDescent="0.25">
      <c r="A115"/>
      <c r="B115"/>
      <c r="C115"/>
      <c r="D115"/>
      <c r="E115"/>
      <c r="F115"/>
      <c r="G115"/>
      <c r="H115"/>
      <c r="I115"/>
      <c r="J115"/>
      <c r="K115" s="34"/>
    </row>
    <row r="116" spans="1:11" s="33" customFormat="1" x14ac:dyDescent="0.25">
      <c r="A116"/>
      <c r="B116"/>
      <c r="C116"/>
      <c r="D116"/>
      <c r="E116"/>
      <c r="F116"/>
      <c r="G116"/>
      <c r="H116"/>
      <c r="I116"/>
      <c r="J116"/>
      <c r="K116" s="34"/>
    </row>
    <row r="117" spans="1:11" s="33" customFormat="1" x14ac:dyDescent="0.25">
      <c r="A117"/>
      <c r="B117"/>
      <c r="C117"/>
      <c r="D117"/>
      <c r="E117"/>
      <c r="F117"/>
      <c r="G117"/>
      <c r="H117"/>
      <c r="I117"/>
      <c r="J117"/>
      <c r="K117" s="34"/>
    </row>
    <row r="118" spans="1:11" s="33" customFormat="1" x14ac:dyDescent="0.25">
      <c r="A118"/>
      <c r="B118"/>
      <c r="C118"/>
      <c r="D118"/>
      <c r="E118"/>
      <c r="F118"/>
      <c r="G118"/>
      <c r="H118"/>
      <c r="I118"/>
      <c r="J118"/>
      <c r="K118" s="34"/>
    </row>
    <row r="119" spans="1:11" s="33" customFormat="1" x14ac:dyDescent="0.25">
      <c r="A119"/>
      <c r="B119"/>
      <c r="C119"/>
      <c r="D119"/>
      <c r="E119"/>
      <c r="F119"/>
      <c r="G119"/>
      <c r="H119"/>
      <c r="I119"/>
      <c r="J119"/>
      <c r="K119" s="34"/>
    </row>
    <row r="120" spans="1:11" s="33" customFormat="1" x14ac:dyDescent="0.25">
      <c r="A120"/>
      <c r="B120"/>
      <c r="C120"/>
      <c r="D120"/>
      <c r="E120"/>
      <c r="F120"/>
      <c r="G120"/>
      <c r="H120"/>
      <c r="I120"/>
      <c r="J120"/>
      <c r="K120" s="34"/>
    </row>
    <row r="121" spans="1:11" s="33" customFormat="1" x14ac:dyDescent="0.25">
      <c r="A121"/>
      <c r="B121"/>
      <c r="C121"/>
      <c r="D121"/>
      <c r="E121"/>
      <c r="F121"/>
      <c r="G121"/>
      <c r="H121"/>
      <c r="I121"/>
      <c r="J121"/>
      <c r="K121" s="34"/>
    </row>
    <row r="122" spans="1:11" s="33" customFormat="1" x14ac:dyDescent="0.25">
      <c r="A122"/>
      <c r="B122"/>
      <c r="C122"/>
      <c r="D122"/>
      <c r="E122"/>
      <c r="F122"/>
      <c r="G122"/>
      <c r="H122"/>
      <c r="I122"/>
      <c r="J122"/>
      <c r="K122" s="34"/>
    </row>
    <row r="123" spans="1:11" s="33" customFormat="1" x14ac:dyDescent="0.25">
      <c r="A123"/>
      <c r="B123"/>
      <c r="C123"/>
      <c r="D123"/>
      <c r="E123"/>
      <c r="F123"/>
      <c r="G123"/>
      <c r="H123"/>
      <c r="I123"/>
      <c r="J123"/>
      <c r="K123" s="34"/>
    </row>
    <row r="124" spans="1:11" s="33" customFormat="1" x14ac:dyDescent="0.25">
      <c r="A124"/>
      <c r="C124"/>
      <c r="K124" s="43"/>
    </row>
    <row r="125" spans="1:11" s="33" customFormat="1" x14ac:dyDescent="0.25">
      <c r="A125"/>
      <c r="C125"/>
      <c r="K125" s="43"/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C2:AB23"/>
  <sheetViews>
    <sheetView showGridLines="0" workbookViewId="0">
      <selection activeCell="C3" sqref="C3"/>
    </sheetView>
  </sheetViews>
  <sheetFormatPr defaultRowHeight="15" x14ac:dyDescent="0.25"/>
  <cols>
    <col min="1" max="1" width="3.5703125" customWidth="1"/>
    <col min="2" max="2" width="4" customWidth="1"/>
    <col min="3" max="3" width="46.7109375" bestFit="1" customWidth="1"/>
    <col min="4" max="4" width="5.28515625" customWidth="1"/>
    <col min="5" max="5" width="63" bestFit="1" customWidth="1"/>
    <col min="6" max="6" width="5.85546875" customWidth="1"/>
    <col min="7" max="7" width="26.140625" bestFit="1" customWidth="1"/>
    <col min="8" max="8" width="2.5703125" customWidth="1"/>
    <col min="10" max="10" width="3.140625" customWidth="1"/>
    <col min="11" max="11" width="16.140625" customWidth="1"/>
    <col min="12" max="12" width="1.85546875" customWidth="1"/>
    <col min="13" max="13" width="15.42578125" bestFit="1" customWidth="1"/>
    <col min="14" max="14" width="2" customWidth="1"/>
    <col min="15" max="15" width="19.5703125" customWidth="1"/>
    <col min="16" max="16" width="1.7109375" customWidth="1"/>
    <col min="17" max="17" width="14.42578125" customWidth="1"/>
    <col min="18" max="18" width="3.28515625" customWidth="1"/>
    <col min="19" max="19" width="11" bestFit="1" customWidth="1"/>
    <col min="20" max="20" width="3.42578125" customWidth="1"/>
    <col min="21" max="21" width="14.28515625" bestFit="1" customWidth="1"/>
    <col min="22" max="22" width="13.42578125" bestFit="1" customWidth="1"/>
    <col min="23" max="23" width="3.85546875" customWidth="1"/>
    <col min="24" max="24" width="24.42578125" bestFit="1" customWidth="1"/>
    <col min="25" max="25" width="3.5703125" customWidth="1"/>
    <col min="26" max="26" width="21.5703125" bestFit="1" customWidth="1"/>
    <col min="28" max="28" width="28.140625" bestFit="1" customWidth="1"/>
  </cols>
  <sheetData>
    <row r="2" spans="3:28" x14ac:dyDescent="0.25">
      <c r="C2" s="12" t="s">
        <v>1</v>
      </c>
      <c r="E2" s="12" t="s">
        <v>1000</v>
      </c>
      <c r="G2" s="12" t="s">
        <v>3</v>
      </c>
      <c r="I2" s="12" t="s">
        <v>13</v>
      </c>
      <c r="K2" s="12" t="s">
        <v>16</v>
      </c>
      <c r="M2" s="12" t="s">
        <v>20</v>
      </c>
      <c r="O2" s="12" t="s">
        <v>21</v>
      </c>
      <c r="Q2" s="12" t="s">
        <v>34</v>
      </c>
      <c r="S2" s="12" t="s">
        <v>33</v>
      </c>
      <c r="U2" s="252" t="s">
        <v>36</v>
      </c>
      <c r="V2" s="252"/>
      <c r="X2" s="12" t="s">
        <v>67</v>
      </c>
      <c r="Z2" s="12" t="s">
        <v>74</v>
      </c>
      <c r="AB2" s="12" t="s">
        <v>20</v>
      </c>
    </row>
    <row r="3" spans="3:28" x14ac:dyDescent="0.25">
      <c r="C3" t="s">
        <v>936</v>
      </c>
      <c r="E3" t="s">
        <v>993</v>
      </c>
      <c r="G3" t="s">
        <v>840</v>
      </c>
      <c r="I3" t="s">
        <v>14</v>
      </c>
      <c r="K3" t="s">
        <v>17</v>
      </c>
      <c r="M3" t="s">
        <v>22</v>
      </c>
      <c r="O3" t="s">
        <v>29</v>
      </c>
      <c r="Q3" t="s">
        <v>57</v>
      </c>
      <c r="S3" t="s">
        <v>44</v>
      </c>
      <c r="U3" s="9">
        <v>45292</v>
      </c>
      <c r="V3" t="s">
        <v>37</v>
      </c>
      <c r="X3" t="s">
        <v>68</v>
      </c>
      <c r="Z3" t="s">
        <v>75</v>
      </c>
      <c r="AB3" t="s">
        <v>22</v>
      </c>
    </row>
    <row r="4" spans="3:28" x14ac:dyDescent="0.25">
      <c r="C4" t="s">
        <v>53</v>
      </c>
      <c r="E4" t="s">
        <v>994</v>
      </c>
      <c r="G4" t="s">
        <v>845</v>
      </c>
      <c r="I4" t="s">
        <v>15</v>
      </c>
      <c r="K4" t="s">
        <v>18</v>
      </c>
      <c r="M4" t="s">
        <v>23</v>
      </c>
      <c r="O4" t="s">
        <v>30</v>
      </c>
      <c r="Q4" t="s">
        <v>66</v>
      </c>
      <c r="S4" t="s">
        <v>45</v>
      </c>
      <c r="U4" s="9">
        <v>45334</v>
      </c>
      <c r="V4" t="s">
        <v>37</v>
      </c>
      <c r="X4" t="s">
        <v>69</v>
      </c>
      <c r="Z4" t="s">
        <v>76</v>
      </c>
      <c r="AB4" t="s">
        <v>23</v>
      </c>
    </row>
    <row r="5" spans="3:28" x14ac:dyDescent="0.25">
      <c r="E5" t="s">
        <v>995</v>
      </c>
      <c r="M5" t="s">
        <v>24</v>
      </c>
      <c r="O5" t="s">
        <v>31</v>
      </c>
      <c r="Q5" t="s">
        <v>55</v>
      </c>
      <c r="S5" t="s">
        <v>46</v>
      </c>
      <c r="U5" s="9">
        <v>45335</v>
      </c>
      <c r="V5" t="s">
        <v>38</v>
      </c>
      <c r="X5" t="s">
        <v>70</v>
      </c>
      <c r="Z5" t="s">
        <v>57</v>
      </c>
      <c r="AB5" t="s">
        <v>24</v>
      </c>
    </row>
    <row r="6" spans="3:28" x14ac:dyDescent="0.25">
      <c r="E6" t="s">
        <v>996</v>
      </c>
      <c r="M6" t="s">
        <v>25</v>
      </c>
      <c r="O6" t="s">
        <v>32</v>
      </c>
      <c r="Q6" t="s">
        <v>56</v>
      </c>
      <c r="S6" t="s">
        <v>47</v>
      </c>
      <c r="U6" s="9">
        <v>45380</v>
      </c>
      <c r="V6" t="s">
        <v>39</v>
      </c>
      <c r="X6" t="s">
        <v>71</v>
      </c>
      <c r="Z6" t="s">
        <v>66</v>
      </c>
      <c r="AB6" t="s">
        <v>535</v>
      </c>
    </row>
    <row r="7" spans="3:28" x14ac:dyDescent="0.25">
      <c r="E7" t="s">
        <v>997</v>
      </c>
      <c r="M7" t="s">
        <v>26</v>
      </c>
      <c r="Q7" t="s">
        <v>794</v>
      </c>
      <c r="S7" t="s">
        <v>48</v>
      </c>
      <c r="U7" s="9">
        <v>45403</v>
      </c>
      <c r="V7" t="s">
        <v>40</v>
      </c>
      <c r="X7" t="s">
        <v>72</v>
      </c>
      <c r="Z7" t="s">
        <v>55</v>
      </c>
      <c r="AB7" t="s">
        <v>25</v>
      </c>
    </row>
    <row r="8" spans="3:28" x14ac:dyDescent="0.25">
      <c r="E8" t="s">
        <v>998</v>
      </c>
      <c r="M8" t="s">
        <v>27</v>
      </c>
      <c r="Q8" t="s">
        <v>795</v>
      </c>
      <c r="U8" s="9">
        <v>45413</v>
      </c>
      <c r="V8" t="s">
        <v>41</v>
      </c>
      <c r="Z8" t="s">
        <v>56</v>
      </c>
      <c r="AB8" t="s">
        <v>26</v>
      </c>
    </row>
    <row r="9" spans="3:28" x14ac:dyDescent="0.25">
      <c r="E9" t="s">
        <v>1001</v>
      </c>
      <c r="M9" t="s">
        <v>28</v>
      </c>
      <c r="U9" s="9">
        <v>45442</v>
      </c>
      <c r="V9" t="s">
        <v>42</v>
      </c>
      <c r="Z9" t="s">
        <v>52</v>
      </c>
      <c r="AB9" t="s">
        <v>27</v>
      </c>
    </row>
    <row r="10" spans="3:28" x14ac:dyDescent="0.25">
      <c r="E10" t="s">
        <v>999</v>
      </c>
      <c r="M10" t="s">
        <v>1074</v>
      </c>
      <c r="U10" s="9">
        <v>45542</v>
      </c>
      <c r="V10" t="s">
        <v>43</v>
      </c>
      <c r="AB10" t="s">
        <v>28</v>
      </c>
    </row>
    <row r="11" spans="3:28" x14ac:dyDescent="0.25">
      <c r="E11" t="s">
        <v>1002</v>
      </c>
      <c r="U11" s="9">
        <v>45577</v>
      </c>
      <c r="V11" t="s">
        <v>43</v>
      </c>
    </row>
    <row r="12" spans="3:28" x14ac:dyDescent="0.25">
      <c r="E12" t="s">
        <v>53</v>
      </c>
      <c r="U12" s="9">
        <v>45598</v>
      </c>
      <c r="V12" t="s">
        <v>43</v>
      </c>
    </row>
    <row r="13" spans="3:28" x14ac:dyDescent="0.25">
      <c r="E13" t="s">
        <v>1003</v>
      </c>
      <c r="U13" s="9">
        <v>45611</v>
      </c>
      <c r="V13" t="s">
        <v>39</v>
      </c>
    </row>
    <row r="14" spans="3:28" x14ac:dyDescent="0.25">
      <c r="E14" t="s">
        <v>1004</v>
      </c>
      <c r="U14" s="9">
        <v>45616</v>
      </c>
      <c r="V14" t="s">
        <v>41</v>
      </c>
    </row>
    <row r="15" spans="3:28" x14ac:dyDescent="0.25">
      <c r="E15" t="s">
        <v>1005</v>
      </c>
      <c r="U15" s="9">
        <v>45651</v>
      </c>
      <c r="V15" t="s">
        <v>41</v>
      </c>
    </row>
    <row r="16" spans="3:28" x14ac:dyDescent="0.25">
      <c r="G16" s="12" t="s">
        <v>435</v>
      </c>
    </row>
    <row r="17" spans="7:7" x14ac:dyDescent="0.25">
      <c r="G17" t="s">
        <v>442</v>
      </c>
    </row>
    <row r="18" spans="7:7" x14ac:dyDescent="0.25">
      <c r="G18" t="s">
        <v>449</v>
      </c>
    </row>
    <row r="19" spans="7:7" x14ac:dyDescent="0.25">
      <c r="G19" t="s">
        <v>445</v>
      </c>
    </row>
    <row r="20" spans="7:7" x14ac:dyDescent="0.25">
      <c r="G20" t="s">
        <v>446</v>
      </c>
    </row>
    <row r="21" spans="7:7" x14ac:dyDescent="0.25">
      <c r="G21" t="s">
        <v>447</v>
      </c>
    </row>
    <row r="22" spans="7:7" x14ac:dyDescent="0.25">
      <c r="G22" t="s">
        <v>448</v>
      </c>
    </row>
    <row r="23" spans="7:7" x14ac:dyDescent="0.25">
      <c r="G23" t="s">
        <v>673</v>
      </c>
    </row>
  </sheetData>
  <mergeCells count="1">
    <mergeCell ref="U2:V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4. DISPENSA E INEXIGIBILIDADE</vt:lpstr>
      <vt:lpstr>ÍNDICES GGE</vt:lpstr>
      <vt:lpstr>Relatório de Gestão GCC</vt:lpstr>
      <vt:lpstr>RAG 1</vt:lpstr>
      <vt:lpstr>Din_Pub_OC_PNCP_2026</vt:lpstr>
      <vt:lpstr>Din_Pub_OC_SITE_2026</vt:lpstr>
      <vt:lpstr>TAB_PUB_OC_site 2026</vt:lpstr>
      <vt:lpstr>Pub__NE 2025</vt:lpstr>
      <vt:lpstr>Lista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Arnaud Ferreira Diniz</dc:creator>
  <cp:lastModifiedBy>Pedro Arnaud Ferreira Diniz</cp:lastModifiedBy>
  <dcterms:created xsi:type="dcterms:W3CDTF">2024-07-02T19:41:45Z</dcterms:created>
  <dcterms:modified xsi:type="dcterms:W3CDTF">2026-06-17T18:21:59Z</dcterms:modified>
</cp:coreProperties>
</file>